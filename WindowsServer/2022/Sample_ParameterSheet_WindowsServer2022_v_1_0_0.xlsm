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workbookPr filterPrivacy="1" defaultThemeVersion="166925"/>
  <xr:revisionPtr revIDLastSave="0" documentId="13_ncr:1_{B7EB2366-AFA5-4F8E-8E8A-0982FC1AF3FB}" xr6:coauthVersionLast="47" xr6:coauthVersionMax="47" xr10:uidLastSave="{00000000-0000-0000-0000-000000000000}"/>
  <bookViews>
    <workbookView xWindow="-120" yWindow="-120" windowWidth="29040" windowHeight="15720" xr2:uid="{1BD84561-A30D-7547-B2E3-2EFC754C31EE}"/>
  </bookViews>
  <sheets>
    <sheet name="表紙" sheetId="1" r:id="rId1"/>
    <sheet name="改訂履歴" sheetId="44" r:id="rId2"/>
    <sheet name="目次" sheetId="2" r:id="rId3"/>
    <sheet name="説明" sheetId="40" r:id="rId4"/>
    <sheet name="1.仮想マシン環境" sheetId="43" r:id="rId5"/>
    <sheet name="2.インストール設定" sheetId="7" r:id="rId6"/>
    <sheet name="3.Windows基本設定" sheetId="42" r:id="rId7"/>
    <sheet name="3.1.ネットワーク" sheetId="25" r:id="rId8"/>
    <sheet name="3.1.2.ルーティング" sheetId="28" r:id="rId9"/>
    <sheet name="3.2.Windows Defenderファイアウォール" sheetId="17" r:id="rId10"/>
    <sheet name="3.2.1.ファイアウォール規則(受信)" sheetId="18" r:id="rId11"/>
    <sheet name="3.2.2.ファイアウォール規則(送信)" sheetId="19" r:id="rId12"/>
    <sheet name="3.3.コントロールパネル(共通)" sheetId="33" r:id="rId13"/>
    <sheet name="4.ディスク" sheetId="11" r:id="rId14"/>
    <sheet name="4.2.ボリューム" sheetId="26" r:id="rId15"/>
    <sheet name="4.3.ドライブのデフラグと最適化" sheetId="10" r:id="rId16"/>
    <sheet name="4.4.シャドウコピー" sheetId="27" r:id="rId17"/>
    <sheet name="4.5.クォータ" sheetId="34" r:id="rId18"/>
    <sheet name="5.役割と機能" sheetId="24" r:id="rId19"/>
    <sheet name="6.プログラム" sheetId="30" r:id="rId20"/>
    <sheet name="6.1.更新プログラム" sheetId="31" r:id="rId21"/>
    <sheet name="7.サービス" sheetId="16" r:id="rId22"/>
    <sheet name="8.イベントビューアー" sheetId="12" r:id="rId23"/>
    <sheet name="9.タスクスケジューラー" sheetId="14" r:id="rId24"/>
    <sheet name="10.ローカルセキュリティポリシー" sheetId="20" r:id="rId25"/>
    <sheet name="10.1.ローカルセキュリティポリシー2" sheetId="21" r:id="rId26"/>
    <sheet name="11.ユーザー" sheetId="35" r:id="rId27"/>
    <sheet name="12.グループ" sheetId="36" r:id="rId28"/>
    <sheet name="16.共有" sheetId="37" r:id="rId29"/>
    <sheet name="work" sheetId="4" r:id="rId30"/>
  </sheets>
  <definedNames>
    <definedName name="_xlnm._FilterDatabase" localSheetId="23" hidden="1">'9.タスクスケジューラー'!$A$6:$AD$190</definedName>
    <definedName name="list_SheetNames">GET.WORKBOOK(1)</definedName>
    <definedName name="work_アクセス許可">work!$C$2:$C$3</definedName>
    <definedName name="work_オンオフ">work!$D$2:$D$3</definedName>
    <definedName name="work_チェックボックス">work!$B$2:$B$3</definedName>
    <definedName name="work_ラジオボタン">work!$A$2:$A$3</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5" i="2" l="1"/>
  <c r="B6" i="2" s="1"/>
  <c r="B7" i="2" s="1"/>
  <c r="B8" i="2" s="1"/>
  <c r="B9" i="2" s="1"/>
  <c r="B10" i="2" s="1"/>
  <c r="B11" i="2" s="1"/>
  <c r="B12" i="2" s="1"/>
  <c r="B13" i="2" s="1"/>
  <c r="B14" i="2" s="1"/>
  <c r="B15" i="2" s="1"/>
  <c r="B16" i="2" s="1"/>
  <c r="B17" i="2" s="1"/>
  <c r="B18" i="2" s="1"/>
  <c r="B19" i="2" s="1"/>
  <c r="B20" i="2" s="1"/>
  <c r="B21" i="2" s="1"/>
  <c r="B22" i="2" s="1"/>
  <c r="B23" i="2" s="1"/>
  <c r="B24" i="2" s="1"/>
  <c r="B25" i="2" s="1"/>
  <c r="B26" i="2" s="1"/>
  <c r="B27" i="2" s="1"/>
  <c r="B28" i="2" s="1"/>
  <c r="B29" i="2" s="1"/>
  <c r="B30" i="2" s="1"/>
  <c r="B31" i="2" s="1"/>
  <c r="B32" i="2" s="1"/>
  <c r="B4" i="2"/>
  <c r="F6" i="28"/>
  <c r="A6" i="43"/>
  <c r="A7" i="43" s="1"/>
  <c r="A8" i="43" s="1"/>
  <c r="A9" i="43" s="1"/>
  <c r="A10" i="43" s="1"/>
  <c r="A11" i="43" s="1"/>
  <c r="A12" i="43" s="1"/>
  <c r="A13" i="43" s="1"/>
  <c r="A14" i="43" s="1"/>
  <c r="A1" i="43"/>
  <c r="B6" i="14"/>
  <c r="B227" i="14" s="1"/>
  <c r="B226" i="14"/>
  <c r="B225" i="14"/>
  <c r="B224" i="14"/>
  <c r="B223" i="14"/>
  <c r="B222" i="14"/>
  <c r="B221" i="14"/>
  <c r="B220" i="14"/>
  <c r="B219" i="14"/>
  <c r="B218" i="14"/>
  <c r="B217" i="14"/>
  <c r="B216" i="14"/>
  <c r="B215" i="14"/>
  <c r="B214" i="14"/>
  <c r="B213" i="14"/>
  <c r="B212" i="14"/>
  <c r="B211" i="14"/>
  <c r="B210" i="14"/>
  <c r="B209" i="14"/>
  <c r="B208" i="14"/>
  <c r="B207" i="14"/>
  <c r="B206" i="14"/>
  <c r="B205" i="14"/>
  <c r="B204" i="14"/>
  <c r="B203" i="14"/>
  <c r="B202" i="14"/>
  <c r="B201" i="14"/>
  <c r="B200" i="14"/>
  <c r="B199" i="14"/>
  <c r="B198" i="14"/>
  <c r="B197" i="14"/>
  <c r="B196" i="14"/>
  <c r="B195" i="14"/>
  <c r="B194" i="14"/>
  <c r="B193" i="14"/>
  <c r="B192" i="14"/>
  <c r="B191" i="14"/>
  <c r="B190" i="14"/>
  <c r="B189" i="14"/>
  <c r="B188" i="14"/>
  <c r="B187" i="14"/>
  <c r="B186" i="14"/>
  <c r="B185" i="14"/>
  <c r="B184" i="14"/>
  <c r="B183" i="14"/>
  <c r="B182" i="14"/>
  <c r="B181" i="14"/>
  <c r="B180" i="14"/>
  <c r="B179" i="14"/>
  <c r="B178" i="14"/>
  <c r="B177" i="14"/>
  <c r="B176" i="14"/>
  <c r="B175" i="14"/>
  <c r="B174" i="14"/>
  <c r="B173" i="14"/>
  <c r="B172" i="14"/>
  <c r="B171" i="14"/>
  <c r="B170" i="14"/>
  <c r="B169" i="14"/>
  <c r="B168" i="14"/>
  <c r="B167" i="14"/>
  <c r="B166" i="14"/>
  <c r="B165" i="14"/>
  <c r="B164" i="14"/>
  <c r="B163" i="14"/>
  <c r="B162" i="14"/>
  <c r="B161" i="14"/>
  <c r="B160" i="14"/>
  <c r="B159" i="14"/>
  <c r="B158" i="14"/>
  <c r="B157" i="14"/>
  <c r="B156" i="14"/>
  <c r="B155" i="14"/>
  <c r="B154" i="14"/>
  <c r="B153" i="14"/>
  <c r="B152" i="14"/>
  <c r="B151" i="14"/>
  <c r="B150" i="14"/>
  <c r="B149" i="14"/>
  <c r="B148" i="14"/>
  <c r="B147" i="14"/>
  <c r="B146" i="14"/>
  <c r="B145" i="14"/>
  <c r="B144" i="14"/>
  <c r="B143" i="14"/>
  <c r="B142" i="14"/>
  <c r="B141" i="14"/>
  <c r="B140" i="14"/>
  <c r="B139" i="14"/>
  <c r="B138" i="14"/>
  <c r="B137" i="14"/>
  <c r="B136" i="14"/>
  <c r="B135" i="14"/>
  <c r="B134" i="14"/>
  <c r="B133" i="14"/>
  <c r="B132" i="14"/>
  <c r="B131" i="14"/>
  <c r="B130" i="14"/>
  <c r="B129" i="14"/>
  <c r="B128" i="14"/>
  <c r="B127" i="14"/>
  <c r="B126" i="14"/>
  <c r="B125" i="14"/>
  <c r="B124" i="14"/>
  <c r="B123" i="14"/>
  <c r="B122" i="14"/>
  <c r="B121" i="14"/>
  <c r="B120" i="14"/>
  <c r="B119" i="14"/>
  <c r="B118" i="14"/>
  <c r="B117" i="14"/>
  <c r="B116" i="14"/>
  <c r="B115" i="14"/>
  <c r="B114" i="14"/>
  <c r="B113" i="14"/>
  <c r="B112" i="14"/>
  <c r="B111" i="14"/>
  <c r="B110" i="14"/>
  <c r="B109" i="14"/>
  <c r="B108" i="14"/>
  <c r="B107" i="14"/>
  <c r="B106" i="14"/>
  <c r="B105" i="14"/>
  <c r="B104" i="14"/>
  <c r="B103" i="14"/>
  <c r="B102" i="14"/>
  <c r="B101" i="14"/>
  <c r="B100" i="14"/>
  <c r="B99" i="14"/>
  <c r="B98" i="14"/>
  <c r="B97" i="14"/>
  <c r="B96" i="14"/>
  <c r="B95" i="14"/>
  <c r="B94" i="14"/>
  <c r="B93" i="14"/>
  <c r="B92" i="14"/>
  <c r="B91" i="14"/>
  <c r="B90" i="14"/>
  <c r="B89" i="14"/>
  <c r="B88" i="14"/>
  <c r="B87" i="14"/>
  <c r="B86" i="14"/>
  <c r="B85" i="14"/>
  <c r="B84" i="14"/>
  <c r="B83" i="14"/>
  <c r="B82" i="14"/>
  <c r="B81" i="14"/>
  <c r="B80" i="14"/>
  <c r="B79" i="14"/>
  <c r="B78" i="14"/>
  <c r="B77" i="14"/>
  <c r="B76" i="14"/>
  <c r="B75" i="14"/>
  <c r="B74" i="14"/>
  <c r="B73" i="14"/>
  <c r="B72" i="14"/>
  <c r="B71" i="14"/>
  <c r="B70" i="14"/>
  <c r="B69" i="14"/>
  <c r="B68" i="14"/>
  <c r="B67" i="14"/>
  <c r="B66" i="14"/>
  <c r="B65" i="14"/>
  <c r="B64" i="14"/>
  <c r="B63" i="14"/>
  <c r="B62" i="14"/>
  <c r="B61" i="14"/>
  <c r="B60" i="14"/>
  <c r="B59" i="14"/>
  <c r="B58" i="14"/>
  <c r="B57" i="14"/>
  <c r="B56" i="14"/>
  <c r="B55" i="14"/>
  <c r="B54" i="14"/>
  <c r="B53" i="14"/>
  <c r="B52" i="14"/>
  <c r="B51" i="14"/>
  <c r="B50" i="14"/>
  <c r="B49" i="14"/>
  <c r="B48" i="14"/>
  <c r="B47" i="14"/>
  <c r="B46" i="14"/>
  <c r="B45" i="14"/>
  <c r="B44" i="14"/>
  <c r="B43" i="14"/>
  <c r="B42" i="14"/>
  <c r="B41" i="14"/>
  <c r="B40" i="14"/>
  <c r="B39" i="14"/>
  <c r="B38" i="14"/>
  <c r="B37" i="14"/>
  <c r="B36" i="14"/>
  <c r="B35" i="14"/>
  <c r="B34" i="14"/>
  <c r="B33" i="14"/>
  <c r="B32" i="14"/>
  <c r="B31" i="14"/>
  <c r="B30" i="14"/>
  <c r="B29" i="14"/>
  <c r="B28" i="14"/>
  <c r="B27" i="14"/>
  <c r="B26" i="14"/>
  <c r="B25" i="14"/>
  <c r="B24" i="14"/>
  <c r="B23" i="14"/>
  <c r="B22" i="14"/>
  <c r="B21" i="14"/>
  <c r="B20" i="14"/>
  <c r="B19" i="14"/>
  <c r="B18" i="14"/>
  <c r="B17" i="14"/>
  <c r="B16" i="14"/>
  <c r="B15" i="14"/>
  <c r="B14" i="14"/>
  <c r="B13" i="14"/>
  <c r="B12" i="14"/>
  <c r="B11" i="14"/>
  <c r="B10" i="14"/>
  <c r="B9" i="14"/>
  <c r="B8" i="14"/>
  <c r="B7" i="14"/>
  <c r="A6" i="25"/>
  <c r="A7" i="25" s="1"/>
  <c r="A8" i="25" s="1"/>
  <c r="A9" i="25" s="1"/>
  <c r="A10" i="25" s="1"/>
  <c r="A11" i="25" s="1"/>
  <c r="A12" i="25" s="1"/>
  <c r="A13" i="25" s="1"/>
  <c r="A1353" i="42"/>
  <c r="A1350" i="42"/>
  <c r="A1351" i="42"/>
  <c r="A1352" i="42" s="1"/>
  <c r="A1349" i="42"/>
  <c r="A7" i="42"/>
  <c r="A8" i="42" s="1"/>
  <c r="A9" i="42" s="1"/>
  <c r="A10" i="42" s="1"/>
  <c r="A11" i="42" s="1"/>
  <c r="A12" i="42" s="1"/>
  <c r="A13" i="42" s="1"/>
  <c r="A14" i="42" s="1"/>
  <c r="A15" i="42" s="1"/>
  <c r="A16" i="42" s="1"/>
  <c r="A17" i="42" s="1"/>
  <c r="A18" i="42" s="1"/>
  <c r="A19" i="42" s="1"/>
  <c r="A20" i="42" s="1"/>
  <c r="A21" i="42" s="1"/>
  <c r="A22" i="42" s="1"/>
  <c r="A23" i="42" s="1"/>
  <c r="A24" i="42" s="1"/>
  <c r="A25" i="42" s="1"/>
  <c r="A26" i="42" s="1"/>
  <c r="A27" i="42" s="1"/>
  <c r="A28" i="42" s="1"/>
  <c r="A29" i="42" s="1"/>
  <c r="A30" i="42" s="1"/>
  <c r="A31" i="42" s="1"/>
  <c r="A32" i="42" s="1"/>
  <c r="A33" i="42" s="1"/>
  <c r="A34" i="42" s="1"/>
  <c r="A35" i="42" s="1"/>
  <c r="A36" i="42" s="1"/>
  <c r="A37" i="42" s="1"/>
  <c r="A38" i="42" s="1"/>
  <c r="A39" i="42" s="1"/>
  <c r="A40" i="42" s="1"/>
  <c r="A41" i="42" s="1"/>
  <c r="A42" i="42" s="1"/>
  <c r="A43" i="42" s="1"/>
  <c r="A44" i="42" s="1"/>
  <c r="A45" i="42" s="1"/>
  <c r="A46" i="42" s="1"/>
  <c r="A47" i="42" s="1"/>
  <c r="A48" i="42" s="1"/>
  <c r="A49" i="42" s="1"/>
  <c r="A50" i="42" s="1"/>
  <c r="A51" i="42" s="1"/>
  <c r="A52" i="42" s="1"/>
  <c r="A53" i="42" s="1"/>
  <c r="A54" i="42" s="1"/>
  <c r="A55" i="42" s="1"/>
  <c r="A56" i="42" s="1"/>
  <c r="A57" i="42" s="1"/>
  <c r="A58" i="42" s="1"/>
  <c r="A59" i="42" s="1"/>
  <c r="A60" i="42" s="1"/>
  <c r="A61" i="42" s="1"/>
  <c r="A62" i="42" s="1"/>
  <c r="A63" i="42" s="1"/>
  <c r="A64" i="42" s="1"/>
  <c r="A65" i="42" s="1"/>
  <c r="A66" i="42" s="1"/>
  <c r="A67" i="42" s="1"/>
  <c r="A68" i="42" s="1"/>
  <c r="A69" i="42" s="1"/>
  <c r="A70" i="42" s="1"/>
  <c r="A71" i="42" s="1"/>
  <c r="A72" i="42" s="1"/>
  <c r="A73" i="42" s="1"/>
  <c r="A74" i="42" s="1"/>
  <c r="A75" i="42" s="1"/>
  <c r="A76" i="42" s="1"/>
  <c r="A77" i="42" s="1"/>
  <c r="A78" i="42" s="1"/>
  <c r="A79" i="42" s="1"/>
  <c r="A80" i="42" s="1"/>
  <c r="A81" i="42" s="1"/>
  <c r="A82" i="42" s="1"/>
  <c r="A83" i="42" s="1"/>
  <c r="A84" i="42" s="1"/>
  <c r="A85" i="42" s="1"/>
  <c r="A86" i="42" s="1"/>
  <c r="A87" i="42" s="1"/>
  <c r="A88" i="42" s="1"/>
  <c r="A89" i="42" s="1"/>
  <c r="A90" i="42" s="1"/>
  <c r="A91" i="42" s="1"/>
  <c r="A92" i="42" s="1"/>
  <c r="A93" i="42" s="1"/>
  <c r="A94" i="42" s="1"/>
  <c r="A95" i="42" s="1"/>
  <c r="A96" i="42" s="1"/>
  <c r="A97" i="42" s="1"/>
  <c r="A98" i="42" s="1"/>
  <c r="A99" i="42" s="1"/>
  <c r="A100" i="42" s="1"/>
  <c r="A101" i="42" s="1"/>
  <c r="A102" i="42" s="1"/>
  <c r="A103" i="42" s="1"/>
  <c r="A104" i="42" s="1"/>
  <c r="A105" i="42" s="1"/>
  <c r="A106" i="42" s="1"/>
  <c r="A107" i="42" s="1"/>
  <c r="A108" i="42" s="1"/>
  <c r="A109" i="42" s="1"/>
  <c r="A110" i="42" s="1"/>
  <c r="A111" i="42" s="1"/>
  <c r="A112" i="42" s="1"/>
  <c r="A113" i="42" s="1"/>
  <c r="A114" i="42" s="1"/>
  <c r="A115" i="42" s="1"/>
  <c r="A116" i="42" s="1"/>
  <c r="A117" i="42" s="1"/>
  <c r="A118" i="42" s="1"/>
  <c r="A119" i="42" s="1"/>
  <c r="A120" i="42" s="1"/>
  <c r="A121" i="42" s="1"/>
  <c r="A122" i="42" s="1"/>
  <c r="A123" i="42" s="1"/>
  <c r="A124" i="42" s="1"/>
  <c r="A125" i="42" s="1"/>
  <c r="A126" i="42" s="1"/>
  <c r="A127" i="42" s="1"/>
  <c r="A128" i="42" s="1"/>
  <c r="A129" i="42" s="1"/>
  <c r="A130" i="42" s="1"/>
  <c r="A131" i="42" s="1"/>
  <c r="A132" i="42" s="1"/>
  <c r="A133" i="42" s="1"/>
  <c r="A134" i="42" s="1"/>
  <c r="A135" i="42" s="1"/>
  <c r="A136" i="42" s="1"/>
  <c r="A137" i="42" s="1"/>
  <c r="A138" i="42" s="1"/>
  <c r="A139" i="42" s="1"/>
  <c r="A140" i="42" s="1"/>
  <c r="A141" i="42" s="1"/>
  <c r="A142" i="42" s="1"/>
  <c r="A143" i="42" s="1"/>
  <c r="A144" i="42" s="1"/>
  <c r="A145" i="42" s="1"/>
  <c r="A146" i="42" s="1"/>
  <c r="A147" i="42" s="1"/>
  <c r="A148" i="42" s="1"/>
  <c r="A149" i="42" s="1"/>
  <c r="A150" i="42" s="1"/>
  <c r="A151" i="42" s="1"/>
  <c r="A152" i="42" s="1"/>
  <c r="A153" i="42" s="1"/>
  <c r="A154" i="42" s="1"/>
  <c r="A155" i="42" s="1"/>
  <c r="A156" i="42" s="1"/>
  <c r="A157" i="42" s="1"/>
  <c r="A158" i="42" s="1"/>
  <c r="A159" i="42" s="1"/>
  <c r="A160" i="42" s="1"/>
  <c r="A161" i="42" s="1"/>
  <c r="A162" i="42" s="1"/>
  <c r="A163" i="42" s="1"/>
  <c r="A164" i="42" s="1"/>
  <c r="A165" i="42" s="1"/>
  <c r="A166" i="42" s="1"/>
  <c r="A167" i="42" s="1"/>
  <c r="A168" i="42" s="1"/>
  <c r="A169" i="42" s="1"/>
  <c r="A170" i="42" s="1"/>
  <c r="A171" i="42" s="1"/>
  <c r="A172" i="42" s="1"/>
  <c r="A173" i="42" s="1"/>
  <c r="A174" i="42" s="1"/>
  <c r="A175" i="42" s="1"/>
  <c r="A176" i="42" s="1"/>
  <c r="A177" i="42" s="1"/>
  <c r="A178" i="42" s="1"/>
  <c r="A179" i="42" s="1"/>
  <c r="A180" i="42" s="1"/>
  <c r="A181" i="42" s="1"/>
  <c r="A182" i="42" s="1"/>
  <c r="A183" i="42" s="1"/>
  <c r="A184" i="42" s="1"/>
  <c r="A185" i="42" s="1"/>
  <c r="A186" i="42" s="1"/>
  <c r="A187" i="42" s="1"/>
  <c r="A188" i="42" s="1"/>
  <c r="A189" i="42" s="1"/>
  <c r="A190" i="42" s="1"/>
  <c r="A191" i="42" s="1"/>
  <c r="A192" i="42" s="1"/>
  <c r="A193" i="42" s="1"/>
  <c r="A194" i="42" s="1"/>
  <c r="A195" i="42" s="1"/>
  <c r="A196" i="42" s="1"/>
  <c r="A197" i="42" s="1"/>
  <c r="A198" i="42" s="1"/>
  <c r="A199" i="42" s="1"/>
  <c r="A200" i="42" s="1"/>
  <c r="A201" i="42" s="1"/>
  <c r="A202" i="42" s="1"/>
  <c r="A203" i="42" s="1"/>
  <c r="A204" i="42" s="1"/>
  <c r="A205" i="42" s="1"/>
  <c r="A206" i="42" s="1"/>
  <c r="A207" i="42" s="1"/>
  <c r="A208" i="42" s="1"/>
  <c r="A209" i="42" s="1"/>
  <c r="A210" i="42" s="1"/>
  <c r="A211" i="42" s="1"/>
  <c r="A212" i="42" s="1"/>
  <c r="A213" i="42" s="1"/>
  <c r="A214" i="42" s="1"/>
  <c r="A215" i="42" s="1"/>
  <c r="A216" i="42" s="1"/>
  <c r="A217" i="42" s="1"/>
  <c r="A218" i="42" s="1"/>
  <c r="A219" i="42" s="1"/>
  <c r="A220" i="42" s="1"/>
  <c r="A221" i="42" s="1"/>
  <c r="A222" i="42" s="1"/>
  <c r="A223" i="42" s="1"/>
  <c r="A224" i="42" s="1"/>
  <c r="A225" i="42" s="1"/>
  <c r="A226" i="42" s="1"/>
  <c r="A227" i="42" s="1"/>
  <c r="A228" i="42" s="1"/>
  <c r="A229" i="42" s="1"/>
  <c r="A230" i="42" s="1"/>
  <c r="A231" i="42" s="1"/>
  <c r="A232" i="42" s="1"/>
  <c r="A233" i="42" s="1"/>
  <c r="A234" i="42" s="1"/>
  <c r="A235" i="42" s="1"/>
  <c r="A236" i="42" s="1"/>
  <c r="A237" i="42" s="1"/>
  <c r="A238" i="42" s="1"/>
  <c r="A239" i="42" s="1"/>
  <c r="A240" i="42" s="1"/>
  <c r="A241" i="42" s="1"/>
  <c r="A242" i="42" s="1"/>
  <c r="A243" i="42" s="1"/>
  <c r="A244" i="42" s="1"/>
  <c r="A245" i="42" s="1"/>
  <c r="A246" i="42" s="1"/>
  <c r="A247" i="42" s="1"/>
  <c r="A248" i="42" s="1"/>
  <c r="A249" i="42" s="1"/>
  <c r="A250" i="42" s="1"/>
  <c r="A251" i="42" s="1"/>
  <c r="A252" i="42" s="1"/>
  <c r="A253" i="42" s="1"/>
  <c r="A254" i="42" s="1"/>
  <c r="A255" i="42" s="1"/>
  <c r="A256" i="42" s="1"/>
  <c r="A257" i="42" s="1"/>
  <c r="A258" i="42" s="1"/>
  <c r="A259" i="42" s="1"/>
  <c r="A260" i="42" s="1"/>
  <c r="A261" i="42" s="1"/>
  <c r="A262" i="42" s="1"/>
  <c r="A263" i="42" s="1"/>
  <c r="A264" i="42" s="1"/>
  <c r="A265" i="42" s="1"/>
  <c r="A266" i="42" s="1"/>
  <c r="A267" i="42" s="1"/>
  <c r="A268" i="42" s="1"/>
  <c r="A269" i="42" s="1"/>
  <c r="A270" i="42" s="1"/>
  <c r="A271" i="42" s="1"/>
  <c r="A272" i="42" s="1"/>
  <c r="A273" i="42" s="1"/>
  <c r="A274" i="42" s="1"/>
  <c r="A275" i="42" s="1"/>
  <c r="A276" i="42" s="1"/>
  <c r="A277" i="42" s="1"/>
  <c r="A278" i="42" s="1"/>
  <c r="A279" i="42" s="1"/>
  <c r="A280" i="42" s="1"/>
  <c r="A281" i="42" s="1"/>
  <c r="A282" i="42" s="1"/>
  <c r="A283" i="42" s="1"/>
  <c r="A284" i="42" s="1"/>
  <c r="A285" i="42" s="1"/>
  <c r="A286" i="42" s="1"/>
  <c r="A287" i="42" s="1"/>
  <c r="A288" i="42" s="1"/>
  <c r="A289" i="42" s="1"/>
  <c r="A290" i="42" s="1"/>
  <c r="A291" i="42" s="1"/>
  <c r="A292" i="42" s="1"/>
  <c r="A293" i="42" s="1"/>
  <c r="A294" i="42" s="1"/>
  <c r="A295" i="42" s="1"/>
  <c r="A296" i="42" s="1"/>
  <c r="A297" i="42" s="1"/>
  <c r="A298" i="42" s="1"/>
  <c r="A299" i="42" s="1"/>
  <c r="A300" i="42" s="1"/>
  <c r="A301" i="42" s="1"/>
  <c r="A302" i="42" s="1"/>
  <c r="A303" i="42" s="1"/>
  <c r="A304" i="42" s="1"/>
  <c r="A305" i="42" s="1"/>
  <c r="A306" i="42" s="1"/>
  <c r="A307" i="42" s="1"/>
  <c r="A308" i="42" s="1"/>
  <c r="A309" i="42" s="1"/>
  <c r="A310" i="42" s="1"/>
  <c r="A311" i="42" s="1"/>
  <c r="A312" i="42" s="1"/>
  <c r="A313" i="42" s="1"/>
  <c r="A314" i="42" s="1"/>
  <c r="A315" i="42" s="1"/>
  <c r="A316" i="42" s="1"/>
  <c r="A317" i="42" s="1"/>
  <c r="A318" i="42" s="1"/>
  <c r="A319" i="42" s="1"/>
  <c r="A320" i="42" s="1"/>
  <c r="A321" i="42" s="1"/>
  <c r="A322" i="42" s="1"/>
  <c r="A323" i="42" s="1"/>
  <c r="A324" i="42" s="1"/>
  <c r="A325" i="42" s="1"/>
  <c r="A326" i="42" s="1"/>
  <c r="A327" i="42" s="1"/>
  <c r="A328" i="42" s="1"/>
  <c r="A329" i="42" s="1"/>
  <c r="A330" i="42" s="1"/>
  <c r="A331" i="42" s="1"/>
  <c r="A332" i="42" s="1"/>
  <c r="A333" i="42" s="1"/>
  <c r="A334" i="42" s="1"/>
  <c r="A335" i="42" s="1"/>
  <c r="A336" i="42" s="1"/>
  <c r="A337" i="42" s="1"/>
  <c r="A338" i="42" s="1"/>
  <c r="A339" i="42" s="1"/>
  <c r="A340" i="42" s="1"/>
  <c r="A341" i="42" s="1"/>
  <c r="A342" i="42" s="1"/>
  <c r="A343" i="42" s="1"/>
  <c r="A344" i="42" s="1"/>
  <c r="A345" i="42" s="1"/>
  <c r="A346" i="42" s="1"/>
  <c r="A347" i="42" s="1"/>
  <c r="A348" i="42" s="1"/>
  <c r="A349" i="42" s="1"/>
  <c r="A350" i="42" s="1"/>
  <c r="A351" i="42" s="1"/>
  <c r="A352" i="42" s="1"/>
  <c r="A353" i="42" s="1"/>
  <c r="A354" i="42" s="1"/>
  <c r="A355" i="42" s="1"/>
  <c r="A356" i="42" s="1"/>
  <c r="A357" i="42" s="1"/>
  <c r="A358" i="42" s="1"/>
  <c r="A359" i="42" s="1"/>
  <c r="A360" i="42" s="1"/>
  <c r="A361" i="42" s="1"/>
  <c r="A362" i="42" s="1"/>
  <c r="A363" i="42" s="1"/>
  <c r="A364" i="42" s="1"/>
  <c r="A365" i="42" s="1"/>
  <c r="A366" i="42" s="1"/>
  <c r="A367" i="42" s="1"/>
  <c r="A368" i="42" s="1"/>
  <c r="A369" i="42" s="1"/>
  <c r="A370" i="42" s="1"/>
  <c r="A371" i="42" s="1"/>
  <c r="A372" i="42" s="1"/>
  <c r="A373" i="42" s="1"/>
  <c r="A374" i="42" s="1"/>
  <c r="A375" i="42" s="1"/>
  <c r="A376" i="42" s="1"/>
  <c r="A377" i="42" s="1"/>
  <c r="A378" i="42" s="1"/>
  <c r="A379" i="42" s="1"/>
  <c r="A380" i="42" s="1"/>
  <c r="A381" i="42" s="1"/>
  <c r="A382" i="42" s="1"/>
  <c r="A383" i="42" s="1"/>
  <c r="A384" i="42" s="1"/>
  <c r="A385" i="42" s="1"/>
  <c r="A386" i="42" s="1"/>
  <c r="A387" i="42" s="1"/>
  <c r="A388" i="42" s="1"/>
  <c r="A389" i="42" s="1"/>
  <c r="A390" i="42" s="1"/>
  <c r="A391" i="42" s="1"/>
  <c r="A392" i="42" s="1"/>
  <c r="A393" i="42" s="1"/>
  <c r="A394" i="42" s="1"/>
  <c r="A395" i="42" s="1"/>
  <c r="A396" i="42" s="1"/>
  <c r="A397" i="42" s="1"/>
  <c r="A398" i="42" s="1"/>
  <c r="A399" i="42" s="1"/>
  <c r="A400" i="42" s="1"/>
  <c r="A401" i="42" s="1"/>
  <c r="A402" i="42" s="1"/>
  <c r="A403" i="42" s="1"/>
  <c r="A404" i="42" s="1"/>
  <c r="A405" i="42" s="1"/>
  <c r="A406" i="42" s="1"/>
  <c r="A407" i="42" s="1"/>
  <c r="A408" i="42" s="1"/>
  <c r="A409" i="42" s="1"/>
  <c r="A410" i="42" s="1"/>
  <c r="A411" i="42" s="1"/>
  <c r="A412" i="42" s="1"/>
  <c r="A413" i="42" s="1"/>
  <c r="A414" i="42" s="1"/>
  <c r="A415" i="42" s="1"/>
  <c r="A416" i="42" s="1"/>
  <c r="A417" i="42" s="1"/>
  <c r="A418" i="42" s="1"/>
  <c r="A419" i="42" s="1"/>
  <c r="A420" i="42" s="1"/>
  <c r="A421" i="42" s="1"/>
  <c r="A422" i="42" s="1"/>
  <c r="A423" i="42" s="1"/>
  <c r="A424" i="42" s="1"/>
  <c r="A425" i="42" s="1"/>
  <c r="A426" i="42" s="1"/>
  <c r="A427" i="42" s="1"/>
  <c r="A428" i="42" s="1"/>
  <c r="A429" i="42" s="1"/>
  <c r="A430" i="42" s="1"/>
  <c r="A431" i="42" s="1"/>
  <c r="A432" i="42" s="1"/>
  <c r="A433" i="42" s="1"/>
  <c r="A434" i="42" s="1"/>
  <c r="A435" i="42" s="1"/>
  <c r="A436" i="42" s="1"/>
  <c r="A437" i="42" s="1"/>
  <c r="A438" i="42" s="1"/>
  <c r="A439" i="42" s="1"/>
  <c r="A440" i="42" s="1"/>
  <c r="A441" i="42" s="1"/>
  <c r="A442" i="42" s="1"/>
  <c r="A443" i="42" s="1"/>
  <c r="A444" i="42" s="1"/>
  <c r="A445" i="42" s="1"/>
  <c r="A446" i="42" s="1"/>
  <c r="A447" i="42" s="1"/>
  <c r="A448" i="42" s="1"/>
  <c r="A449" i="42" s="1"/>
  <c r="A450" i="42" s="1"/>
  <c r="A451" i="42" s="1"/>
  <c r="A452" i="42" s="1"/>
  <c r="A453" i="42" s="1"/>
  <c r="A454" i="42" s="1"/>
  <c r="A455" i="42" s="1"/>
  <c r="A456" i="42" s="1"/>
  <c r="A457" i="42" s="1"/>
  <c r="A458" i="42" s="1"/>
  <c r="A459" i="42" s="1"/>
  <c r="A460" i="42" s="1"/>
  <c r="A461" i="42" s="1"/>
  <c r="A462" i="42" s="1"/>
  <c r="A463" i="42" s="1"/>
  <c r="A464" i="42" s="1"/>
  <c r="A465" i="42" s="1"/>
  <c r="A466" i="42" s="1"/>
  <c r="A467" i="42" s="1"/>
  <c r="A468" i="42" s="1"/>
  <c r="A469" i="42" s="1"/>
  <c r="A470" i="42" s="1"/>
  <c r="A471" i="42" s="1"/>
  <c r="A472" i="42" s="1"/>
  <c r="A473" i="42" s="1"/>
  <c r="A474" i="42" s="1"/>
  <c r="A475" i="42" s="1"/>
  <c r="A476" i="42" s="1"/>
  <c r="A477" i="42" s="1"/>
  <c r="A478" i="42" s="1"/>
  <c r="A479" i="42" s="1"/>
  <c r="A480" i="42" s="1"/>
  <c r="A481" i="42" s="1"/>
  <c r="A482" i="42" s="1"/>
  <c r="A483" i="42" s="1"/>
  <c r="A484" i="42" s="1"/>
  <c r="A485" i="42" s="1"/>
  <c r="A486" i="42" s="1"/>
  <c r="A487" i="42" s="1"/>
  <c r="A488" i="42" s="1"/>
  <c r="A489" i="42" s="1"/>
  <c r="A490" i="42" s="1"/>
  <c r="A491" i="42" s="1"/>
  <c r="A492" i="42" s="1"/>
  <c r="A493" i="42" s="1"/>
  <c r="A494" i="42" s="1"/>
  <c r="A495" i="42" s="1"/>
  <c r="A496" i="42" s="1"/>
  <c r="A497" i="42" s="1"/>
  <c r="A498" i="42" s="1"/>
  <c r="A499" i="42" s="1"/>
  <c r="A500" i="42" s="1"/>
  <c r="A501" i="42" s="1"/>
  <c r="A502" i="42" s="1"/>
  <c r="A503" i="42" s="1"/>
  <c r="A504" i="42" s="1"/>
  <c r="A505" i="42" s="1"/>
  <c r="A506" i="42" s="1"/>
  <c r="A507" i="42" s="1"/>
  <c r="A508" i="42" s="1"/>
  <c r="A509" i="42" s="1"/>
  <c r="A510" i="42" s="1"/>
  <c r="A511" i="42" s="1"/>
  <c r="A512" i="42" s="1"/>
  <c r="A513" i="42" s="1"/>
  <c r="A514" i="42" s="1"/>
  <c r="A515" i="42" s="1"/>
  <c r="A516" i="42" s="1"/>
  <c r="A517" i="42" s="1"/>
  <c r="A518" i="42" s="1"/>
  <c r="A519" i="42" s="1"/>
  <c r="A520" i="42" s="1"/>
  <c r="A521" i="42" s="1"/>
  <c r="A522" i="42" s="1"/>
  <c r="A523" i="42" s="1"/>
  <c r="A524" i="42" s="1"/>
  <c r="A525" i="42" s="1"/>
  <c r="A526" i="42" s="1"/>
  <c r="A527" i="42" s="1"/>
  <c r="A528" i="42" s="1"/>
  <c r="A529" i="42" s="1"/>
  <c r="A530" i="42" s="1"/>
  <c r="A531" i="42" s="1"/>
  <c r="A532" i="42" s="1"/>
  <c r="A533" i="42" s="1"/>
  <c r="A534" i="42" s="1"/>
  <c r="A535" i="42" s="1"/>
  <c r="A536" i="42" s="1"/>
  <c r="A537" i="42" s="1"/>
  <c r="A538" i="42" s="1"/>
  <c r="A539" i="42" s="1"/>
  <c r="A540" i="42" s="1"/>
  <c r="A541" i="42" s="1"/>
  <c r="A542" i="42" s="1"/>
  <c r="A543" i="42" s="1"/>
  <c r="A544" i="42" s="1"/>
  <c r="A545" i="42" s="1"/>
  <c r="A546" i="42" s="1"/>
  <c r="A547" i="42" s="1"/>
  <c r="A548" i="42" s="1"/>
  <c r="A549" i="42" s="1"/>
  <c r="A550" i="42" s="1"/>
  <c r="A551" i="42" s="1"/>
  <c r="A552" i="42" s="1"/>
  <c r="A553" i="42" s="1"/>
  <c r="A554" i="42" s="1"/>
  <c r="A555" i="42" s="1"/>
  <c r="A556" i="42" s="1"/>
  <c r="A557" i="42" s="1"/>
  <c r="A558" i="42" s="1"/>
  <c r="A559" i="42" s="1"/>
  <c r="A560" i="42" s="1"/>
  <c r="A561" i="42" s="1"/>
  <c r="A562" i="42" s="1"/>
  <c r="A563" i="42" s="1"/>
  <c r="A564" i="42" s="1"/>
  <c r="A565" i="42" s="1"/>
  <c r="A566" i="42" s="1"/>
  <c r="A567" i="42" s="1"/>
  <c r="A568" i="42" s="1"/>
  <c r="A569" i="42" s="1"/>
  <c r="A570" i="42" s="1"/>
  <c r="A571" i="42" s="1"/>
  <c r="A572" i="42" s="1"/>
  <c r="A573" i="42" s="1"/>
  <c r="A574" i="42" s="1"/>
  <c r="A575" i="42" s="1"/>
  <c r="A576" i="42" s="1"/>
  <c r="A577" i="42" s="1"/>
  <c r="A578" i="42" s="1"/>
  <c r="A579" i="42" s="1"/>
  <c r="A580" i="42" s="1"/>
  <c r="A581" i="42" s="1"/>
  <c r="A582" i="42" s="1"/>
  <c r="A583" i="42" s="1"/>
  <c r="A584" i="42" s="1"/>
  <c r="A585" i="42" s="1"/>
  <c r="A586" i="42" s="1"/>
  <c r="A587" i="42" s="1"/>
  <c r="A588" i="42" s="1"/>
  <c r="A589" i="42" s="1"/>
  <c r="A590" i="42" s="1"/>
  <c r="A591" i="42" s="1"/>
  <c r="A592" i="42" s="1"/>
  <c r="A593" i="42" s="1"/>
  <c r="A594" i="42" s="1"/>
  <c r="A595" i="42" s="1"/>
  <c r="A596" i="42" s="1"/>
  <c r="A597" i="42" s="1"/>
  <c r="A598" i="42" s="1"/>
  <c r="A599" i="42" s="1"/>
  <c r="A600" i="42" s="1"/>
  <c r="A601" i="42" s="1"/>
  <c r="A602" i="42" s="1"/>
  <c r="A603" i="42" s="1"/>
  <c r="A604" i="42" s="1"/>
  <c r="A605" i="42" s="1"/>
  <c r="A606" i="42" s="1"/>
  <c r="A607" i="42" s="1"/>
  <c r="A608" i="42" s="1"/>
  <c r="A609" i="42" s="1"/>
  <c r="A610" i="42" s="1"/>
  <c r="A611" i="42" s="1"/>
  <c r="A612" i="42" s="1"/>
  <c r="A613" i="42" s="1"/>
  <c r="A614" i="42" s="1"/>
  <c r="A615" i="42" s="1"/>
  <c r="A616" i="42" s="1"/>
  <c r="A617" i="42" s="1"/>
  <c r="A618" i="42" s="1"/>
  <c r="A619" i="42" s="1"/>
  <c r="A620" i="42" s="1"/>
  <c r="A621" i="42" s="1"/>
  <c r="A622" i="42" s="1"/>
  <c r="A623" i="42" s="1"/>
  <c r="A624" i="42" s="1"/>
  <c r="A625" i="42" s="1"/>
  <c r="A626" i="42" s="1"/>
  <c r="A627" i="42" s="1"/>
  <c r="A628" i="42" s="1"/>
  <c r="A629" i="42" s="1"/>
  <c r="A630" i="42" s="1"/>
  <c r="A631" i="42" s="1"/>
  <c r="A632" i="42" s="1"/>
  <c r="A633" i="42" s="1"/>
  <c r="A634" i="42" s="1"/>
  <c r="A635" i="42" s="1"/>
  <c r="A636" i="42" s="1"/>
  <c r="A637" i="42" s="1"/>
  <c r="A638" i="42" s="1"/>
  <c r="A639" i="42" s="1"/>
  <c r="A640" i="42" s="1"/>
  <c r="A641" i="42" s="1"/>
  <c r="A642" i="42" s="1"/>
  <c r="A643" i="42" s="1"/>
  <c r="A644" i="42" s="1"/>
  <c r="A645" i="42" s="1"/>
  <c r="A646" i="42" s="1"/>
  <c r="A647" i="42" s="1"/>
  <c r="A648" i="42" s="1"/>
  <c r="A649" i="42" s="1"/>
  <c r="A650" i="42" s="1"/>
  <c r="A651" i="42" s="1"/>
  <c r="A652" i="42" s="1"/>
  <c r="A653" i="42" s="1"/>
  <c r="A654" i="42" s="1"/>
  <c r="A655" i="42" s="1"/>
  <c r="A656" i="42" s="1"/>
  <c r="A657" i="42" s="1"/>
  <c r="A658" i="42" s="1"/>
  <c r="A659" i="42" s="1"/>
  <c r="A660" i="42" s="1"/>
  <c r="A661" i="42" s="1"/>
  <c r="A662" i="42" s="1"/>
  <c r="A663" i="42" s="1"/>
  <c r="A664" i="42" s="1"/>
  <c r="A665" i="42" s="1"/>
  <c r="A666" i="42" s="1"/>
  <c r="A667" i="42" s="1"/>
  <c r="A668" i="42" s="1"/>
  <c r="A669" i="42" s="1"/>
  <c r="A670" i="42" s="1"/>
  <c r="A671" i="42" s="1"/>
  <c r="A672" i="42" s="1"/>
  <c r="A673" i="42" s="1"/>
  <c r="A674" i="42" s="1"/>
  <c r="A675" i="42" s="1"/>
  <c r="A676" i="42" s="1"/>
  <c r="A677" i="42" s="1"/>
  <c r="A678" i="42" s="1"/>
  <c r="A679" i="42" s="1"/>
  <c r="A680" i="42" s="1"/>
  <c r="A681" i="42" s="1"/>
  <c r="A682" i="42" s="1"/>
  <c r="A683" i="42" s="1"/>
  <c r="A684" i="42" s="1"/>
  <c r="A685" i="42" s="1"/>
  <c r="A686" i="42" s="1"/>
  <c r="A687" i="42" s="1"/>
  <c r="A688" i="42" s="1"/>
  <c r="A689" i="42" s="1"/>
  <c r="A690" i="42" s="1"/>
  <c r="A691" i="42" s="1"/>
  <c r="A692" i="42" s="1"/>
  <c r="A693" i="42" s="1"/>
  <c r="A694" i="42" s="1"/>
  <c r="A695" i="42" s="1"/>
  <c r="A696" i="42" s="1"/>
  <c r="A697" i="42" s="1"/>
  <c r="A698" i="42" s="1"/>
  <c r="A699" i="42" s="1"/>
  <c r="A700" i="42" s="1"/>
  <c r="A701" i="42" s="1"/>
  <c r="A702" i="42" s="1"/>
  <c r="A703" i="42" s="1"/>
  <c r="A704" i="42" s="1"/>
  <c r="A705" i="42" s="1"/>
  <c r="A706" i="42" s="1"/>
  <c r="A707" i="42" s="1"/>
  <c r="A708" i="42" s="1"/>
  <c r="A709" i="42" s="1"/>
  <c r="A710" i="42" s="1"/>
  <c r="A711" i="42" s="1"/>
  <c r="A712" i="42" s="1"/>
  <c r="A713" i="42" s="1"/>
  <c r="A714" i="42" s="1"/>
  <c r="A715" i="42" s="1"/>
  <c r="A716" i="42" s="1"/>
  <c r="A717" i="42" s="1"/>
  <c r="A718" i="42" s="1"/>
  <c r="A719" i="42" s="1"/>
  <c r="A720" i="42" s="1"/>
  <c r="A721" i="42" s="1"/>
  <c r="A722" i="42" s="1"/>
  <c r="A723" i="42" s="1"/>
  <c r="A724" i="42" s="1"/>
  <c r="A725" i="42" s="1"/>
  <c r="A726" i="42" s="1"/>
  <c r="A727" i="42" s="1"/>
  <c r="A728" i="42" s="1"/>
  <c r="A729" i="42" s="1"/>
  <c r="A730" i="42" s="1"/>
  <c r="A731" i="42" s="1"/>
  <c r="A732" i="42" s="1"/>
  <c r="A733" i="42" s="1"/>
  <c r="A734" i="42" s="1"/>
  <c r="A735" i="42" s="1"/>
  <c r="A736" i="42" s="1"/>
  <c r="A737" i="42" s="1"/>
  <c r="A738" i="42" s="1"/>
  <c r="A739" i="42" s="1"/>
  <c r="A740" i="42" s="1"/>
  <c r="A741" i="42" s="1"/>
  <c r="A742" i="42" s="1"/>
  <c r="A743" i="42" s="1"/>
  <c r="A744" i="42" s="1"/>
  <c r="A745" i="42" s="1"/>
  <c r="A746" i="42" s="1"/>
  <c r="A747" i="42" s="1"/>
  <c r="A748" i="42" s="1"/>
  <c r="A749" i="42" s="1"/>
  <c r="A750" i="42" s="1"/>
  <c r="A751" i="42" s="1"/>
  <c r="A752" i="42" s="1"/>
  <c r="A753" i="42" s="1"/>
  <c r="A754" i="42" s="1"/>
  <c r="A755" i="42" s="1"/>
  <c r="A756" i="42" s="1"/>
  <c r="A757" i="42" s="1"/>
  <c r="A758" i="42" s="1"/>
  <c r="A759" i="42" s="1"/>
  <c r="A760" i="42" s="1"/>
  <c r="A761" i="42" s="1"/>
  <c r="A762" i="42" s="1"/>
  <c r="A763" i="42" s="1"/>
  <c r="A764" i="42" s="1"/>
  <c r="A765" i="42" s="1"/>
  <c r="A766" i="42" s="1"/>
  <c r="A767" i="42" s="1"/>
  <c r="A768" i="42" s="1"/>
  <c r="A769" i="42" s="1"/>
  <c r="A770" i="42" s="1"/>
  <c r="A771" i="42" s="1"/>
  <c r="A772" i="42" s="1"/>
  <c r="A773" i="42" s="1"/>
  <c r="A774" i="42" s="1"/>
  <c r="A775" i="42" s="1"/>
  <c r="A776" i="42" s="1"/>
  <c r="A777" i="42" s="1"/>
  <c r="A778" i="42" s="1"/>
  <c r="A779" i="42" s="1"/>
  <c r="A780" i="42" s="1"/>
  <c r="A781" i="42" s="1"/>
  <c r="A782" i="42" s="1"/>
  <c r="A783" i="42" s="1"/>
  <c r="A784" i="42" s="1"/>
  <c r="A785" i="42" s="1"/>
  <c r="A786" i="42" s="1"/>
  <c r="A787" i="42" s="1"/>
  <c r="A788" i="42" s="1"/>
  <c r="A789" i="42" s="1"/>
  <c r="A790" i="42" s="1"/>
  <c r="A791" i="42" s="1"/>
  <c r="A792" i="42" s="1"/>
  <c r="A793" i="42" s="1"/>
  <c r="A794" i="42" s="1"/>
  <c r="A795" i="42" s="1"/>
  <c r="A796" i="42" s="1"/>
  <c r="A797" i="42" s="1"/>
  <c r="A798" i="42" s="1"/>
  <c r="A799" i="42" s="1"/>
  <c r="A800" i="42" s="1"/>
  <c r="A801" i="42" s="1"/>
  <c r="A802" i="42" s="1"/>
  <c r="A803" i="42" s="1"/>
  <c r="A804" i="42" s="1"/>
  <c r="A805" i="42" s="1"/>
  <c r="A806" i="42" s="1"/>
  <c r="A807" i="42" s="1"/>
  <c r="A808" i="42" s="1"/>
  <c r="A809" i="42" s="1"/>
  <c r="A810" i="42" s="1"/>
  <c r="A811" i="42" s="1"/>
  <c r="A812" i="42" s="1"/>
  <c r="A813" i="42" s="1"/>
  <c r="A814" i="42" s="1"/>
  <c r="A815" i="42" s="1"/>
  <c r="A816" i="42" s="1"/>
  <c r="A817" i="42" s="1"/>
  <c r="A818" i="42" s="1"/>
  <c r="A819" i="42" s="1"/>
  <c r="A820" i="42" s="1"/>
  <c r="A821" i="42" s="1"/>
  <c r="A822" i="42" s="1"/>
  <c r="A823" i="42" s="1"/>
  <c r="A824" i="42" s="1"/>
  <c r="A825" i="42" s="1"/>
  <c r="A826" i="42" s="1"/>
  <c r="A827" i="42" s="1"/>
  <c r="A828" i="42" s="1"/>
  <c r="A829" i="42" s="1"/>
  <c r="A830" i="42" s="1"/>
  <c r="A831" i="42" s="1"/>
  <c r="A832" i="42" s="1"/>
  <c r="A833" i="42" s="1"/>
  <c r="A834" i="42" s="1"/>
  <c r="A835" i="42" s="1"/>
  <c r="A836" i="42" s="1"/>
  <c r="A837" i="42" s="1"/>
  <c r="A838" i="42" s="1"/>
  <c r="A839" i="42" s="1"/>
  <c r="A840" i="42" s="1"/>
  <c r="A841" i="42" s="1"/>
  <c r="A842" i="42" s="1"/>
  <c r="A843" i="42" s="1"/>
  <c r="A844" i="42" s="1"/>
  <c r="A845" i="42" s="1"/>
  <c r="A846" i="42" s="1"/>
  <c r="A847" i="42" s="1"/>
  <c r="A848" i="42" s="1"/>
  <c r="A849" i="42" s="1"/>
  <c r="A850" i="42" s="1"/>
  <c r="A851" i="42" s="1"/>
  <c r="A852" i="42" s="1"/>
  <c r="A853" i="42" s="1"/>
  <c r="A854" i="42" s="1"/>
  <c r="A855" i="42" s="1"/>
  <c r="A856" i="42" s="1"/>
  <c r="A857" i="42" s="1"/>
  <c r="A858" i="42" s="1"/>
  <c r="A859" i="42" s="1"/>
  <c r="A860" i="42" s="1"/>
  <c r="A861" i="42" s="1"/>
  <c r="A862" i="42" s="1"/>
  <c r="A863" i="42" s="1"/>
  <c r="A864" i="42" s="1"/>
  <c r="A865" i="42" s="1"/>
  <c r="A866" i="42" s="1"/>
  <c r="A867" i="42" s="1"/>
  <c r="A868" i="42" s="1"/>
  <c r="A869" i="42" s="1"/>
  <c r="A870" i="42" s="1"/>
  <c r="A871" i="42" s="1"/>
  <c r="A872" i="42" s="1"/>
  <c r="A873" i="42" s="1"/>
  <c r="A874" i="42" s="1"/>
  <c r="A875" i="42" s="1"/>
  <c r="A876" i="42" s="1"/>
  <c r="A877" i="42" s="1"/>
  <c r="A878" i="42" s="1"/>
  <c r="A879" i="42" s="1"/>
  <c r="A880" i="42" s="1"/>
  <c r="A881" i="42" s="1"/>
  <c r="A882" i="42" s="1"/>
  <c r="A883" i="42" s="1"/>
  <c r="A884" i="42" s="1"/>
  <c r="A885" i="42" s="1"/>
  <c r="A886" i="42" s="1"/>
  <c r="A887" i="42" s="1"/>
  <c r="A888" i="42" s="1"/>
  <c r="A889" i="42" s="1"/>
  <c r="A890" i="42" s="1"/>
  <c r="A891" i="42" s="1"/>
  <c r="A892" i="42" s="1"/>
  <c r="A893" i="42" s="1"/>
  <c r="A894" i="42" s="1"/>
  <c r="A895" i="42" s="1"/>
  <c r="A896" i="42" s="1"/>
  <c r="A897" i="42" s="1"/>
  <c r="A898" i="42" s="1"/>
  <c r="A899" i="42" s="1"/>
  <c r="A900" i="42" s="1"/>
  <c r="A901" i="42" s="1"/>
  <c r="A902" i="42" s="1"/>
  <c r="A903" i="42" s="1"/>
  <c r="A904" i="42" s="1"/>
  <c r="A905" i="42" s="1"/>
  <c r="A906" i="42" s="1"/>
  <c r="A907" i="42" s="1"/>
  <c r="A908" i="42" s="1"/>
  <c r="A909" i="42" s="1"/>
  <c r="A910" i="42" s="1"/>
  <c r="A911" i="42" s="1"/>
  <c r="A912" i="42" s="1"/>
  <c r="A913" i="42" s="1"/>
  <c r="A914" i="42" s="1"/>
  <c r="A915" i="42" s="1"/>
  <c r="A916" i="42" s="1"/>
  <c r="A917" i="42" s="1"/>
  <c r="A918" i="42" s="1"/>
  <c r="A919" i="42" s="1"/>
  <c r="A920" i="42" s="1"/>
  <c r="A921" i="42" s="1"/>
  <c r="A922" i="42" s="1"/>
  <c r="A923" i="42" s="1"/>
  <c r="A924" i="42" s="1"/>
  <c r="A925" i="42" s="1"/>
  <c r="A926" i="42" s="1"/>
  <c r="A927" i="42" s="1"/>
  <c r="A928" i="42" s="1"/>
  <c r="A929" i="42" s="1"/>
  <c r="A930" i="42" s="1"/>
  <c r="A931" i="42" s="1"/>
  <c r="A932" i="42" s="1"/>
  <c r="A933" i="42" s="1"/>
  <c r="A934" i="42" s="1"/>
  <c r="A935" i="42" s="1"/>
  <c r="A936" i="42" s="1"/>
  <c r="A937" i="42" s="1"/>
  <c r="A938" i="42" s="1"/>
  <c r="A939" i="42" s="1"/>
  <c r="A940" i="42" s="1"/>
  <c r="A941" i="42" s="1"/>
  <c r="A942" i="42" s="1"/>
  <c r="A943" i="42" s="1"/>
  <c r="A944" i="42" s="1"/>
  <c r="A945" i="42" s="1"/>
  <c r="A946" i="42" s="1"/>
  <c r="A947" i="42" s="1"/>
  <c r="A948" i="42" s="1"/>
  <c r="A949" i="42" s="1"/>
  <c r="A950" i="42" s="1"/>
  <c r="A951" i="42" s="1"/>
  <c r="A952" i="42" s="1"/>
  <c r="A953" i="42" s="1"/>
  <c r="A954" i="42" s="1"/>
  <c r="A955" i="42" s="1"/>
  <c r="A956" i="42" s="1"/>
  <c r="A957" i="42" s="1"/>
  <c r="A958" i="42" s="1"/>
  <c r="A959" i="42" s="1"/>
  <c r="A960" i="42" s="1"/>
  <c r="A961" i="42" s="1"/>
  <c r="A962" i="42" s="1"/>
  <c r="A963" i="42" s="1"/>
  <c r="A964" i="42" s="1"/>
  <c r="A965" i="42" s="1"/>
  <c r="A966" i="42" s="1"/>
  <c r="A967" i="42" s="1"/>
  <c r="A968" i="42" s="1"/>
  <c r="A969" i="42" s="1"/>
  <c r="A970" i="42" s="1"/>
  <c r="A971" i="42" s="1"/>
  <c r="A972" i="42" s="1"/>
  <c r="A973" i="42" s="1"/>
  <c r="A974" i="42" s="1"/>
  <c r="A975" i="42" s="1"/>
  <c r="A976" i="42" s="1"/>
  <c r="A977" i="42" s="1"/>
  <c r="A978" i="42" s="1"/>
  <c r="A979" i="42" s="1"/>
  <c r="A980" i="42" s="1"/>
  <c r="A981" i="42" s="1"/>
  <c r="A982" i="42" s="1"/>
  <c r="A983" i="42" s="1"/>
  <c r="A984" i="42" s="1"/>
  <c r="A985" i="42" s="1"/>
  <c r="A986" i="42" s="1"/>
  <c r="A987" i="42" s="1"/>
  <c r="A988" i="42" s="1"/>
  <c r="A989" i="42" s="1"/>
  <c r="A990" i="42" s="1"/>
  <c r="A991" i="42" s="1"/>
  <c r="A992" i="42" s="1"/>
  <c r="A993" i="42" s="1"/>
  <c r="A994" i="42" s="1"/>
  <c r="A995" i="42" s="1"/>
  <c r="A996" i="42" s="1"/>
  <c r="A997" i="42" s="1"/>
  <c r="A998" i="42" s="1"/>
  <c r="A999" i="42" s="1"/>
  <c r="A1000" i="42" s="1"/>
  <c r="A1001" i="42" s="1"/>
  <c r="A1002" i="42" s="1"/>
  <c r="A1003" i="42" s="1"/>
  <c r="A1004" i="42" s="1"/>
  <c r="A1005" i="42" s="1"/>
  <c r="A1006" i="42" s="1"/>
  <c r="A1007" i="42" s="1"/>
  <c r="A1008" i="42" s="1"/>
  <c r="A1009" i="42" s="1"/>
  <c r="A1010" i="42" s="1"/>
  <c r="A1011" i="42" s="1"/>
  <c r="A1012" i="42" s="1"/>
  <c r="A1013" i="42" s="1"/>
  <c r="A1014" i="42" s="1"/>
  <c r="A1015" i="42" s="1"/>
  <c r="A1016" i="42" s="1"/>
  <c r="A1017" i="42" s="1"/>
  <c r="A1018" i="42" s="1"/>
  <c r="A1019" i="42" s="1"/>
  <c r="A1020" i="42" s="1"/>
  <c r="A1021" i="42" s="1"/>
  <c r="A1022" i="42" s="1"/>
  <c r="A1023" i="42" s="1"/>
  <c r="A1024" i="42" s="1"/>
  <c r="A1025" i="42" s="1"/>
  <c r="A1026" i="42" s="1"/>
  <c r="A1027" i="42" s="1"/>
  <c r="A1028" i="42" s="1"/>
  <c r="A1029" i="42" s="1"/>
  <c r="A1030" i="42" s="1"/>
  <c r="A1031" i="42" s="1"/>
  <c r="A1032" i="42" s="1"/>
  <c r="A1033" i="42" s="1"/>
  <c r="A1034" i="42" s="1"/>
  <c r="A1035" i="42" s="1"/>
  <c r="A1036" i="42" s="1"/>
  <c r="A1037" i="42" s="1"/>
  <c r="A1038" i="42" s="1"/>
  <c r="A1039" i="42" s="1"/>
  <c r="A1040" i="42" s="1"/>
  <c r="A1041" i="42" s="1"/>
  <c r="A1042" i="42" s="1"/>
  <c r="A1043" i="42" s="1"/>
  <c r="A1044" i="42" s="1"/>
  <c r="A1045" i="42" s="1"/>
  <c r="A1046" i="42" s="1"/>
  <c r="A1047" i="42" s="1"/>
  <c r="A1048" i="42" s="1"/>
  <c r="A1049" i="42" s="1"/>
  <c r="A1050" i="42" s="1"/>
  <c r="A1051" i="42" s="1"/>
  <c r="A1052" i="42" s="1"/>
  <c r="A1053" i="42" s="1"/>
  <c r="A1054" i="42" s="1"/>
  <c r="A1055" i="42" s="1"/>
  <c r="A1056" i="42" s="1"/>
  <c r="A1057" i="42" s="1"/>
  <c r="A1058" i="42" s="1"/>
  <c r="A1059" i="42" s="1"/>
  <c r="A1060" i="42" s="1"/>
  <c r="A1061" i="42" s="1"/>
  <c r="A1062" i="42" s="1"/>
  <c r="A1063" i="42" s="1"/>
  <c r="A1064" i="42" s="1"/>
  <c r="A1065" i="42" s="1"/>
  <c r="A1066" i="42" s="1"/>
  <c r="A1067" i="42" s="1"/>
  <c r="A1068" i="42" s="1"/>
  <c r="A1069" i="42" s="1"/>
  <c r="A1070" i="42" s="1"/>
  <c r="A1071" i="42" s="1"/>
  <c r="A1072" i="42" s="1"/>
  <c r="A1073" i="42" s="1"/>
  <c r="A1074" i="42" s="1"/>
  <c r="A1075" i="42" s="1"/>
  <c r="A1076" i="42" s="1"/>
  <c r="A1077" i="42" s="1"/>
  <c r="A1078" i="42" s="1"/>
  <c r="A1079" i="42" s="1"/>
  <c r="A1080" i="42" s="1"/>
  <c r="A1081" i="42" s="1"/>
  <c r="A1082" i="42" s="1"/>
  <c r="A1083" i="42" s="1"/>
  <c r="A1084" i="42" s="1"/>
  <c r="A1085" i="42" s="1"/>
  <c r="A1086" i="42" s="1"/>
  <c r="A1087" i="42" s="1"/>
  <c r="A1088" i="42" s="1"/>
  <c r="A1089" i="42" s="1"/>
  <c r="A1090" i="42" s="1"/>
  <c r="A1091" i="42" s="1"/>
  <c r="A1092" i="42" s="1"/>
  <c r="A1093" i="42" s="1"/>
  <c r="A1094" i="42" s="1"/>
  <c r="A1095" i="42" s="1"/>
  <c r="A1096" i="42" s="1"/>
  <c r="A1097" i="42" s="1"/>
  <c r="A1098" i="42" s="1"/>
  <c r="A1099" i="42" s="1"/>
  <c r="A1100" i="42" s="1"/>
  <c r="A1101" i="42" s="1"/>
  <c r="A1102" i="42" s="1"/>
  <c r="A1103" i="42" s="1"/>
  <c r="A1104" i="42" s="1"/>
  <c r="A1105" i="42" s="1"/>
  <c r="A1106" i="42" s="1"/>
  <c r="A1107" i="42" s="1"/>
  <c r="A1108" i="42" s="1"/>
  <c r="A1109" i="42" s="1"/>
  <c r="A1110" i="42" s="1"/>
  <c r="A1111" i="42" s="1"/>
  <c r="A1112" i="42" s="1"/>
  <c r="A1113" i="42" s="1"/>
  <c r="A1114" i="42" s="1"/>
  <c r="A1115" i="42" s="1"/>
  <c r="A1116" i="42" s="1"/>
  <c r="A1117" i="42" s="1"/>
  <c r="A1118" i="42" s="1"/>
  <c r="A1119" i="42" s="1"/>
  <c r="A1120" i="42" s="1"/>
  <c r="A1121" i="42" s="1"/>
  <c r="A1122" i="42" s="1"/>
  <c r="A1123" i="42" s="1"/>
  <c r="A1124" i="42" s="1"/>
  <c r="A1125" i="42" s="1"/>
  <c r="A1126" i="42" s="1"/>
  <c r="A1127" i="42" s="1"/>
  <c r="A1128" i="42" s="1"/>
  <c r="A1129" i="42" s="1"/>
  <c r="A1130" i="42" s="1"/>
  <c r="A1131" i="42" s="1"/>
  <c r="A1132" i="42" s="1"/>
  <c r="A1133" i="42" s="1"/>
  <c r="A1134" i="42" s="1"/>
  <c r="A1135" i="42" s="1"/>
  <c r="A1136" i="42" s="1"/>
  <c r="A1137" i="42" s="1"/>
  <c r="A1138" i="42" s="1"/>
  <c r="A1139" i="42" s="1"/>
  <c r="A1140" i="42" s="1"/>
  <c r="A1141" i="42" s="1"/>
  <c r="A1142" i="42" s="1"/>
  <c r="A1143" i="42" s="1"/>
  <c r="A1144" i="42" s="1"/>
  <c r="A1145" i="42" s="1"/>
  <c r="A1146" i="42" s="1"/>
  <c r="A1147" i="42" s="1"/>
  <c r="A1148" i="42" s="1"/>
  <c r="A1149" i="42" s="1"/>
  <c r="A1150" i="42" s="1"/>
  <c r="A1151" i="42" s="1"/>
  <c r="A1152" i="42" s="1"/>
  <c r="A1153" i="42" s="1"/>
  <c r="A1154" i="42" s="1"/>
  <c r="A1155" i="42" s="1"/>
  <c r="A1156" i="42" s="1"/>
  <c r="A1157" i="42" s="1"/>
  <c r="A1158" i="42" s="1"/>
  <c r="A1159" i="42" s="1"/>
  <c r="A1160" i="42" s="1"/>
  <c r="A1161" i="42" s="1"/>
  <c r="A1162" i="42" s="1"/>
  <c r="A1163" i="42" s="1"/>
  <c r="A1164" i="42" s="1"/>
  <c r="A1165" i="42" s="1"/>
  <c r="A1166" i="42" s="1"/>
  <c r="A1167" i="42" s="1"/>
  <c r="A1168" i="42" s="1"/>
  <c r="A1169" i="42" s="1"/>
  <c r="A1170" i="42" s="1"/>
  <c r="A1171" i="42" s="1"/>
  <c r="A1172" i="42" s="1"/>
  <c r="A1173" i="42" s="1"/>
  <c r="A1174" i="42" s="1"/>
  <c r="A1175" i="42" s="1"/>
  <c r="A1176" i="42" s="1"/>
  <c r="A1177" i="42" s="1"/>
  <c r="A1178" i="42" s="1"/>
  <c r="A1179" i="42" s="1"/>
  <c r="A1180" i="42" s="1"/>
  <c r="A1181" i="42" s="1"/>
  <c r="A1182" i="42" s="1"/>
  <c r="A1183" i="42" s="1"/>
  <c r="A1184" i="42" s="1"/>
  <c r="A1185" i="42" s="1"/>
  <c r="A1186" i="42" s="1"/>
  <c r="A1187" i="42" s="1"/>
  <c r="A1188" i="42" s="1"/>
  <c r="A1189" i="42" s="1"/>
  <c r="A1190" i="42" s="1"/>
  <c r="A1191" i="42" s="1"/>
  <c r="A1192" i="42" s="1"/>
  <c r="A1193" i="42" s="1"/>
  <c r="A1194" i="42" s="1"/>
  <c r="A1195" i="42" s="1"/>
  <c r="A1196" i="42" s="1"/>
  <c r="A1197" i="42" s="1"/>
  <c r="A1198" i="42" s="1"/>
  <c r="A1199" i="42" s="1"/>
  <c r="A1200" i="42" s="1"/>
  <c r="A1201" i="42" s="1"/>
  <c r="A1202" i="42" s="1"/>
  <c r="A1203" i="42" s="1"/>
  <c r="A1204" i="42" s="1"/>
  <c r="A1205" i="42" s="1"/>
  <c r="A1206" i="42" s="1"/>
  <c r="A1207" i="42" s="1"/>
  <c r="A1208" i="42" s="1"/>
  <c r="A1209" i="42" s="1"/>
  <c r="A1210" i="42" s="1"/>
  <c r="A1211" i="42" s="1"/>
  <c r="A1212" i="42" s="1"/>
  <c r="A1213" i="42" s="1"/>
  <c r="A1214" i="42" s="1"/>
  <c r="A1215" i="42" s="1"/>
  <c r="A1216" i="42" s="1"/>
  <c r="A1217" i="42" s="1"/>
  <c r="A1218" i="42" s="1"/>
  <c r="A1219" i="42" s="1"/>
  <c r="A1220" i="42" s="1"/>
  <c r="A1221" i="42" s="1"/>
  <c r="A1222" i="42" s="1"/>
  <c r="A1223" i="42" s="1"/>
  <c r="A1224" i="42" s="1"/>
  <c r="A1225" i="42" s="1"/>
  <c r="A1226" i="42" s="1"/>
  <c r="A1227" i="42" s="1"/>
  <c r="A1228" i="42" s="1"/>
  <c r="A1229" i="42" s="1"/>
  <c r="A1230" i="42" s="1"/>
  <c r="A1231" i="42" s="1"/>
  <c r="A1232" i="42" s="1"/>
  <c r="A1233" i="42" s="1"/>
  <c r="A1234" i="42" s="1"/>
  <c r="A1235" i="42" s="1"/>
  <c r="A1236" i="42" s="1"/>
  <c r="A1237" i="42" s="1"/>
  <c r="A1238" i="42" s="1"/>
  <c r="A1239" i="42" s="1"/>
  <c r="A1240" i="42" s="1"/>
  <c r="A1241" i="42" s="1"/>
  <c r="A1242" i="42" s="1"/>
  <c r="A1243" i="42" s="1"/>
  <c r="A1244" i="42" s="1"/>
  <c r="A1245" i="42" s="1"/>
  <c r="A1246" i="42" s="1"/>
  <c r="A1247" i="42" s="1"/>
  <c r="A1248" i="42" s="1"/>
  <c r="A1249" i="42" s="1"/>
  <c r="A1250" i="42" s="1"/>
  <c r="A1251" i="42" s="1"/>
  <c r="A1252" i="42" s="1"/>
  <c r="A1253" i="42" s="1"/>
  <c r="A1254" i="42" s="1"/>
  <c r="A1255" i="42" s="1"/>
  <c r="A1256" i="42" s="1"/>
  <c r="A1257" i="42" s="1"/>
  <c r="A1258" i="42" s="1"/>
  <c r="A1259" i="42" s="1"/>
  <c r="A1260" i="42" s="1"/>
  <c r="A1261" i="42" s="1"/>
  <c r="A1262" i="42" s="1"/>
  <c r="A1263" i="42" s="1"/>
  <c r="A1264" i="42" s="1"/>
  <c r="A1265" i="42" s="1"/>
  <c r="A1266" i="42" s="1"/>
  <c r="A1267" i="42" s="1"/>
  <c r="A1268" i="42" s="1"/>
  <c r="A1269" i="42" s="1"/>
  <c r="A1270" i="42" s="1"/>
  <c r="A1271" i="42" s="1"/>
  <c r="A1272" i="42" s="1"/>
  <c r="A1273" i="42" s="1"/>
  <c r="A1274" i="42" s="1"/>
  <c r="A1275" i="42" s="1"/>
  <c r="A1276" i="42" s="1"/>
  <c r="A1277" i="42" s="1"/>
  <c r="A1278" i="42" s="1"/>
  <c r="A1279" i="42" s="1"/>
  <c r="A1280" i="42" s="1"/>
  <c r="A1281" i="42" s="1"/>
  <c r="A1282" i="42" s="1"/>
  <c r="A1283" i="42" s="1"/>
  <c r="A1284" i="42" s="1"/>
  <c r="A1285" i="42" s="1"/>
  <c r="A1286" i="42" s="1"/>
  <c r="A1287" i="42" s="1"/>
  <c r="A1288" i="42" s="1"/>
  <c r="A1289" i="42" s="1"/>
  <c r="A1290" i="42" s="1"/>
  <c r="A1291" i="42" s="1"/>
  <c r="A1292" i="42" s="1"/>
  <c r="A1293" i="42" s="1"/>
  <c r="A1294" i="42" s="1"/>
  <c r="A1295" i="42" s="1"/>
  <c r="A1296" i="42" s="1"/>
  <c r="A1297" i="42" s="1"/>
  <c r="A1298" i="42" s="1"/>
  <c r="A1299" i="42" s="1"/>
  <c r="A1300" i="42" s="1"/>
  <c r="A1301" i="42" s="1"/>
  <c r="A1302" i="42" s="1"/>
  <c r="A1303" i="42" s="1"/>
  <c r="A1304" i="42" s="1"/>
  <c r="A1305" i="42" s="1"/>
  <c r="A1306" i="42" s="1"/>
  <c r="A1307" i="42" s="1"/>
  <c r="A1308" i="42" s="1"/>
  <c r="A1309" i="42" s="1"/>
  <c r="A1310" i="42" s="1"/>
  <c r="A1311" i="42" s="1"/>
  <c r="A1312" i="42" s="1"/>
  <c r="A1313" i="42" s="1"/>
  <c r="A1314" i="42" s="1"/>
  <c r="A1315" i="42" s="1"/>
  <c r="A1316" i="42" s="1"/>
  <c r="A1317" i="42" s="1"/>
  <c r="A1318" i="42" s="1"/>
  <c r="A1319" i="42" s="1"/>
  <c r="A1320" i="42" s="1"/>
  <c r="A1321" i="42" s="1"/>
  <c r="A1322" i="42" s="1"/>
  <c r="A1323" i="42" s="1"/>
  <c r="A1324" i="42" s="1"/>
  <c r="A1325" i="42" s="1"/>
  <c r="A1326" i="42" s="1"/>
  <c r="A1327" i="42" s="1"/>
  <c r="A1328" i="42" s="1"/>
  <c r="A1329" i="42" s="1"/>
  <c r="A1330" i="42" s="1"/>
  <c r="A1331" i="42" s="1"/>
  <c r="A1332" i="42" s="1"/>
  <c r="A1333" i="42" s="1"/>
  <c r="A1334" i="42" s="1"/>
  <c r="A1335" i="42" s="1"/>
  <c r="A1336" i="42" s="1"/>
  <c r="A1337" i="42" s="1"/>
  <c r="A1338" i="42" s="1"/>
  <c r="A1339" i="42" s="1"/>
  <c r="A1340" i="42" s="1"/>
  <c r="A1341" i="42" s="1"/>
  <c r="A1342" i="42" s="1"/>
  <c r="A1343" i="42" s="1"/>
  <c r="A1344" i="42" s="1"/>
  <c r="A1345" i="42" s="1"/>
  <c r="A1346" i="42" s="1"/>
  <c r="A1347" i="42" s="1"/>
  <c r="A1348" i="42" s="1"/>
  <c r="A6" i="42"/>
  <c r="C3" i="2"/>
  <c r="C4" i="2"/>
  <c r="C24" i="2"/>
  <c r="C5" i="2"/>
  <c r="C25" i="2"/>
  <c r="C7" i="2"/>
  <c r="C27" i="2"/>
  <c r="C12" i="2"/>
  <c r="C17" i="2"/>
  <c r="C19" i="2"/>
  <c r="C21" i="2"/>
  <c r="C6" i="2"/>
  <c r="C26" i="2"/>
  <c r="C8" i="2"/>
  <c r="C13" i="2"/>
  <c r="C15" i="2"/>
  <c r="C18" i="2"/>
  <c r="C20" i="2"/>
  <c r="C22" i="2"/>
  <c r="C9" i="2"/>
  <c r="C14" i="2"/>
  <c r="C10" i="2"/>
  <c r="C16" i="2"/>
  <c r="C11" i="2"/>
  <c r="C23" i="2"/>
  <c r="A13" i="7" l="1"/>
  <c r="A14" i="7" s="1"/>
  <c r="A1" i="42"/>
  <c r="M4" i="2"/>
  <c r="M5" i="2"/>
  <c r="M6" i="2"/>
  <c r="M7" i="2"/>
  <c r="M8" i="2"/>
  <c r="M9" i="2"/>
  <c r="M10" i="2"/>
  <c r="M11" i="2"/>
  <c r="M12" i="2"/>
  <c r="M13" i="2"/>
  <c r="M14" i="2"/>
  <c r="M15" i="2"/>
  <c r="M16" i="2"/>
  <c r="M17" i="2"/>
  <c r="M18" i="2"/>
  <c r="M19" i="2"/>
  <c r="M20" i="2"/>
  <c r="M21" i="2"/>
  <c r="M22" i="2"/>
  <c r="M23" i="2"/>
  <c r="M24" i="2"/>
  <c r="M25" i="2"/>
  <c r="M26" i="2"/>
  <c r="M27" i="2"/>
  <c r="M3" i="2"/>
  <c r="B7" i="37"/>
  <c r="B8" i="37" s="1"/>
  <c r="B9" i="37" s="1"/>
  <c r="B10" i="37" s="1"/>
  <c r="B11" i="37" s="1"/>
  <c r="A1" i="37"/>
  <c r="A6" i="36"/>
  <c r="A7" i="36" s="1"/>
  <c r="A8" i="36" s="1"/>
  <c r="A9" i="36" s="1"/>
  <c r="A10" i="36" s="1"/>
  <c r="A11" i="36" s="1"/>
  <c r="A12" i="36" s="1"/>
  <c r="A13" i="36" s="1"/>
  <c r="A14" i="36" s="1"/>
  <c r="A15" i="36" s="1"/>
  <c r="A16" i="36" s="1"/>
  <c r="A17" i="36" s="1"/>
  <c r="A18" i="36" s="1"/>
  <c r="A19" i="36" s="1"/>
  <c r="A20" i="36" s="1"/>
  <c r="A21" i="36" s="1"/>
  <c r="A22" i="36" s="1"/>
  <c r="A23" i="36" s="1"/>
  <c r="A24" i="36" s="1"/>
  <c r="A25" i="36" s="1"/>
  <c r="A26" i="36" s="1"/>
  <c r="A27" i="36" s="1"/>
  <c r="A28" i="36" s="1"/>
  <c r="A29" i="36" s="1"/>
  <c r="A1" i="36"/>
  <c r="A6" i="35"/>
  <c r="A7" i="35" s="1"/>
  <c r="A8" i="35" s="1"/>
  <c r="A9" i="35" s="1"/>
  <c r="A10" i="35" s="1"/>
  <c r="A11" i="35" s="1"/>
  <c r="A12" i="35" s="1"/>
  <c r="A13" i="35" s="1"/>
  <c r="A14" i="35" s="1"/>
  <c r="A15" i="35" s="1"/>
  <c r="A16" i="35" s="1"/>
  <c r="A17" i="35" s="1"/>
  <c r="A18" i="35" s="1"/>
  <c r="A19" i="35" s="1"/>
  <c r="A20" i="35" s="1"/>
  <c r="A21" i="35" s="1"/>
  <c r="A22" i="35" s="1"/>
  <c r="A23" i="35" s="1"/>
  <c r="A24" i="35" s="1"/>
  <c r="A25" i="35" s="1"/>
  <c r="A26" i="35" s="1"/>
  <c r="A27" i="35" s="1"/>
  <c r="A28" i="35" s="1"/>
  <c r="A29" i="35" s="1"/>
  <c r="A30" i="35" s="1"/>
  <c r="A31" i="35" s="1"/>
  <c r="A32" i="35" s="1"/>
  <c r="A33" i="35" s="1"/>
  <c r="A34" i="35" s="1"/>
  <c r="A35" i="35" s="1"/>
  <c r="A36" i="35" s="1"/>
  <c r="A37" i="35" s="1"/>
  <c r="A38" i="35" s="1"/>
  <c r="A39" i="35" s="1"/>
  <c r="A40" i="35" s="1"/>
  <c r="A41" i="35" s="1"/>
  <c r="A42" i="35" s="1"/>
  <c r="A43" i="35" s="1"/>
  <c r="A44" i="35" s="1"/>
  <c r="A45" i="35" s="1"/>
  <c r="A46" i="35" s="1"/>
  <c r="A1" i="35"/>
  <c r="B6" i="34"/>
  <c r="B7" i="34" s="1"/>
  <c r="B8" i="34" s="1"/>
  <c r="B9" i="34" s="1"/>
  <c r="B10" i="34" s="1"/>
  <c r="B11" i="34" s="1"/>
  <c r="B12" i="34" s="1"/>
  <c r="B13" i="34" s="1"/>
  <c r="B14" i="34" s="1"/>
  <c r="B15" i="34" s="1"/>
  <c r="B16" i="34" s="1"/>
  <c r="B17" i="34" s="1"/>
  <c r="B18" i="34" s="1"/>
  <c r="A1" i="34"/>
  <c r="A6" i="33"/>
  <c r="A7" i="33" s="1"/>
  <c r="A8" i="33" s="1"/>
  <c r="A9" i="33" s="1"/>
  <c r="A10" i="33" s="1"/>
  <c r="A11" i="33" s="1"/>
  <c r="A12" i="33" s="1"/>
  <c r="A13" i="33" s="1"/>
  <c r="A14" i="33" s="1"/>
  <c r="A15" i="33" s="1"/>
  <c r="A16" i="33" s="1"/>
  <c r="A17" i="33" s="1"/>
  <c r="A18" i="33" s="1"/>
  <c r="A19" i="33" s="1"/>
  <c r="A20" i="33" s="1"/>
  <c r="A21" i="33" s="1"/>
  <c r="A22" i="33" s="1"/>
  <c r="A23" i="33" s="1"/>
  <c r="A24" i="33" s="1"/>
  <c r="A25" i="33" s="1"/>
  <c r="A26" i="33" s="1"/>
  <c r="A27" i="33" s="1"/>
  <c r="A28" i="33" s="1"/>
  <c r="A29" i="33" s="1"/>
  <c r="A30" i="33" s="1"/>
  <c r="A31" i="33" s="1"/>
  <c r="A32" i="33" s="1"/>
  <c r="A33" i="33" s="1"/>
  <c r="A34" i="33" s="1"/>
  <c r="A35" i="33" s="1"/>
  <c r="A36" i="33" s="1"/>
  <c r="A37" i="33" s="1"/>
  <c r="A38" i="33" s="1"/>
  <c r="A1" i="33"/>
  <c r="A6" i="31"/>
  <c r="A7" i="31" s="1"/>
  <c r="A1" i="31"/>
  <c r="A6" i="30"/>
  <c r="A7" i="30"/>
  <c r="A8" i="30" s="1"/>
  <c r="A1" i="30"/>
  <c r="A7" i="28"/>
  <c r="A8" i="28" s="1"/>
  <c r="A9" i="28" s="1"/>
  <c r="A10" i="28" s="1"/>
  <c r="A11" i="28" s="1"/>
  <c r="A12" i="28" s="1"/>
  <c r="A13" i="28" s="1"/>
  <c r="A14" i="28" s="1"/>
  <c r="A15" i="28" s="1"/>
  <c r="A1" i="28"/>
  <c r="G32" i="26"/>
  <c r="B6" i="27"/>
  <c r="B7" i="27" s="1"/>
  <c r="B8" i="27" s="1"/>
  <c r="B9" i="27" s="1"/>
  <c r="B10" i="27" s="1"/>
  <c r="B11" i="27" s="1"/>
  <c r="B12" i="27" s="1"/>
  <c r="B13" i="27" s="1"/>
  <c r="B14" i="27" s="1"/>
  <c r="B15" i="27" s="1"/>
  <c r="B16" i="27" s="1"/>
  <c r="B17" i="27" s="1"/>
  <c r="B18" i="27" s="1"/>
  <c r="B19" i="27" s="1"/>
  <c r="B20" i="27" s="1"/>
  <c r="B21" i="27" s="1"/>
  <c r="B22" i="27" s="1"/>
  <c r="B23" i="27" s="1"/>
  <c r="B24" i="27" s="1"/>
  <c r="B25" i="27" s="1"/>
  <c r="B26" i="27" s="1"/>
  <c r="B27" i="27" s="1"/>
  <c r="B28" i="27" s="1"/>
  <c r="B29" i="27" s="1"/>
  <c r="B30" i="27" s="1"/>
  <c r="B31" i="27" s="1"/>
  <c r="B32" i="27" s="1"/>
  <c r="B33" i="27" s="1"/>
  <c r="B34" i="27" s="1"/>
  <c r="B35" i="27" s="1"/>
  <c r="B36" i="27" s="1"/>
  <c r="B37" i="27" s="1"/>
  <c r="B38" i="27" s="1"/>
  <c r="B39" i="27" s="1"/>
  <c r="A1" i="27"/>
  <c r="B6" i="26"/>
  <c r="B7" i="26" s="1"/>
  <c r="B8" i="26" s="1"/>
  <c r="B9" i="26" s="1"/>
  <c r="B10" i="26" s="1"/>
  <c r="B11" i="26" s="1"/>
  <c r="B12" i="26" s="1"/>
  <c r="B13" i="26" s="1"/>
  <c r="B14" i="26" s="1"/>
  <c r="B15" i="26" s="1"/>
  <c r="B16" i="26" s="1"/>
  <c r="B17" i="26" s="1"/>
  <c r="B18" i="26" s="1"/>
  <c r="B19" i="26" s="1"/>
  <c r="B20" i="26" s="1"/>
  <c r="B21" i="26" s="1"/>
  <c r="B22" i="26" s="1"/>
  <c r="B23" i="26" s="1"/>
  <c r="B24" i="26" s="1"/>
  <c r="B25" i="26" s="1"/>
  <c r="B26" i="26" s="1"/>
  <c r="B27" i="26" s="1"/>
  <c r="B28" i="26" s="1"/>
  <c r="B29" i="26" s="1"/>
  <c r="B30" i="26" s="1"/>
  <c r="B31" i="26" s="1"/>
  <c r="B32" i="26" s="1"/>
  <c r="B33" i="26" s="1"/>
  <c r="B34" i="26" s="1"/>
  <c r="B35" i="26" s="1"/>
  <c r="B36" i="26" s="1"/>
  <c r="B37" i="26" s="1"/>
  <c r="B38" i="26" s="1"/>
  <c r="B39" i="26" s="1"/>
  <c r="B40" i="26" s="1"/>
  <c r="B41" i="26" s="1"/>
  <c r="B42" i="26" s="1"/>
  <c r="B43" i="26" s="1"/>
  <c r="B44" i="26" s="1"/>
  <c r="B45" i="26" s="1"/>
  <c r="A1" i="26"/>
  <c r="A6" i="7"/>
  <c r="A7" i="7" s="1"/>
  <c r="A8" i="7" s="1"/>
  <c r="A9" i="7" s="1"/>
  <c r="A10" i="7" s="1"/>
  <c r="A11" i="7" s="1"/>
  <c r="A1" i="25"/>
  <c r="B40" i="27" l="1"/>
  <c r="B41" i="27" s="1"/>
  <c r="B42" i="27" s="1"/>
  <c r="B43" i="27" s="1"/>
  <c r="B44" i="27" s="1"/>
  <c r="B45" i="27" s="1"/>
  <c r="B46" i="27" s="1"/>
  <c r="B47" i="27" s="1"/>
  <c r="B48" i="27" s="1"/>
  <c r="B49" i="27" s="1"/>
  <c r="B50" i="27" s="1"/>
  <c r="B51" i="27" s="1"/>
  <c r="B52" i="27" s="1"/>
  <c r="B53" i="27" s="1"/>
  <c r="B54" i="27" s="1"/>
  <c r="B55" i="27" s="1"/>
  <c r="B56" i="27" s="1"/>
  <c r="B57" i="27" s="1"/>
  <c r="B58" i="27" s="1"/>
  <c r="B59" i="27" s="1"/>
  <c r="B60" i="27" s="1"/>
  <c r="B61" i="27" s="1"/>
  <c r="B62" i="27" s="1"/>
  <c r="B63" i="27" s="1"/>
  <c r="B65" i="27" s="1"/>
  <c r="B66" i="27" s="1"/>
  <c r="B67" i="27" s="1"/>
  <c r="B68" i="27" s="1"/>
  <c r="B69" i="27" s="1"/>
  <c r="B70" i="27" s="1"/>
  <c r="B71" i="27" s="1"/>
  <c r="B72" i="27" s="1"/>
  <c r="B73" i="27" s="1"/>
  <c r="B74" i="27" s="1"/>
  <c r="B75" i="27" s="1"/>
  <c r="B76" i="27" s="1"/>
  <c r="B77" i="27" s="1"/>
  <c r="B78" i="27" s="1"/>
  <c r="B79" i="27" s="1"/>
  <c r="B80" i="27" s="1"/>
  <c r="B81" i="27" s="1"/>
  <c r="B82" i="27" s="1"/>
  <c r="B83" i="27" s="1"/>
  <c r="B84" i="27" s="1"/>
  <c r="B85" i="27" s="1"/>
  <c r="B86" i="27" s="1"/>
  <c r="B87" i="27" s="1"/>
  <c r="B88" i="27" s="1"/>
  <c r="B89" i="27" s="1"/>
  <c r="B90" i="27" s="1"/>
  <c r="B91" i="27" s="1"/>
  <c r="B92" i="27" s="1"/>
  <c r="B93" i="27" s="1"/>
  <c r="B94" i="27" s="1"/>
  <c r="B95" i="27" s="1"/>
  <c r="B96" i="27" s="1"/>
  <c r="B97" i="27" s="1"/>
  <c r="B98" i="27" s="1"/>
  <c r="B99" i="27" s="1"/>
  <c r="B100" i="27" s="1"/>
  <c r="B101" i="27" s="1"/>
  <c r="B102" i="27" s="1"/>
  <c r="B103" i="27" s="1"/>
  <c r="B104" i="27" s="1"/>
  <c r="B105" i="27" s="1"/>
  <c r="B106" i="27" s="1"/>
  <c r="B107" i="27" s="1"/>
  <c r="B108" i="27" s="1"/>
  <c r="B109" i="27" s="1"/>
  <c r="B110" i="27" s="1"/>
  <c r="B111" i="27" s="1"/>
  <c r="B112" i="27" s="1"/>
  <c r="B113" i="27" s="1"/>
  <c r="B114" i="27" s="1"/>
  <c r="B115" i="27" s="1"/>
  <c r="B116" i="27" s="1"/>
  <c r="B117" i="27" s="1"/>
  <c r="B118" i="27" s="1"/>
  <c r="B119" i="27" s="1"/>
  <c r="B120" i="27" s="1"/>
  <c r="B121" i="27" s="1"/>
  <c r="A47" i="35"/>
  <c r="A48" i="35" s="1"/>
  <c r="A49" i="35" s="1"/>
  <c r="A50" i="35" s="1"/>
  <c r="A51" i="35" s="1"/>
  <c r="A52" i="35" s="1"/>
  <c r="A53" i="35" s="1"/>
  <c r="A54" i="35" s="1"/>
  <c r="A55" i="35" s="1"/>
  <c r="A56" i="35" s="1"/>
  <c r="A57" i="35" s="1"/>
  <c r="A58" i="35" s="1"/>
  <c r="A59" i="35" s="1"/>
  <c r="A60" i="35" s="1"/>
  <c r="A61" i="35" s="1"/>
  <c r="A62" i="35" s="1"/>
  <c r="A63" i="35" s="1"/>
  <c r="A64" i="35" s="1"/>
  <c r="A65" i="35" s="1"/>
  <c r="A66" i="35" s="1"/>
  <c r="A67" i="35" s="1"/>
  <c r="A68" i="35" s="1"/>
  <c r="A69" i="35" s="1"/>
  <c r="A70" i="35" s="1"/>
  <c r="A71" i="35" s="1"/>
  <c r="A72" i="35" s="1"/>
  <c r="A73" i="35" s="1"/>
  <c r="A74" i="35" s="1"/>
  <c r="A75" i="35" s="1"/>
  <c r="A76" i="35" s="1"/>
  <c r="A77" i="35" s="1"/>
  <c r="A78" i="35" s="1"/>
  <c r="A79" i="35" s="1"/>
  <c r="A80" i="35" s="1"/>
  <c r="A14" i="25"/>
  <c r="A15" i="25" s="1"/>
  <c r="A7" i="24"/>
  <c r="A8" i="24" s="1"/>
  <c r="A9" i="24" s="1"/>
  <c r="A10" i="24" s="1"/>
  <c r="A11" i="24" s="1"/>
  <c r="A12" i="24" s="1"/>
  <c r="A13" i="24" s="1"/>
  <c r="A14" i="24" s="1"/>
  <c r="A15" i="24" s="1"/>
  <c r="A16" i="24" s="1"/>
  <c r="A17" i="24" s="1"/>
  <c r="A18" i="24" s="1"/>
  <c r="A19" i="24" s="1"/>
  <c r="A20" i="24" s="1"/>
  <c r="A21" i="24" s="1"/>
  <c r="A22" i="24" s="1"/>
  <c r="A23" i="24" s="1"/>
  <c r="A24" i="24" s="1"/>
  <c r="A25" i="24" s="1"/>
  <c r="A26" i="24" s="1"/>
  <c r="A27" i="24" s="1"/>
  <c r="A28" i="24" s="1"/>
  <c r="A29" i="24" s="1"/>
  <c r="A30" i="24" s="1"/>
  <c r="A31" i="24" s="1"/>
  <c r="A32" i="24" s="1"/>
  <c r="A33" i="24" s="1"/>
  <c r="A34" i="24" s="1"/>
  <c r="A35" i="24" s="1"/>
  <c r="A36" i="24" s="1"/>
  <c r="A37" i="24" s="1"/>
  <c r="A38" i="24" s="1"/>
  <c r="A39" i="24" s="1"/>
  <c r="A40" i="24" s="1"/>
  <c r="A41" i="24" s="1"/>
  <c r="A42" i="24" s="1"/>
  <c r="A43" i="24" s="1"/>
  <c r="A44" i="24" s="1"/>
  <c r="A45" i="24" s="1"/>
  <c r="A46" i="24" s="1"/>
  <c r="A47" i="24" s="1"/>
  <c r="A48" i="24" s="1"/>
  <c r="A49" i="24" s="1"/>
  <c r="A50" i="24" s="1"/>
  <c r="A51" i="24" s="1"/>
  <c r="A52" i="24" s="1"/>
  <c r="A53" i="24" s="1"/>
  <c r="A54" i="24" s="1"/>
  <c r="A55" i="24" s="1"/>
  <c r="A56" i="24" s="1"/>
  <c r="A57" i="24" s="1"/>
  <c r="A58" i="24" s="1"/>
  <c r="A59" i="24" s="1"/>
  <c r="A60" i="24" s="1"/>
  <c r="A61" i="24" s="1"/>
  <c r="A62" i="24" s="1"/>
  <c r="A63" i="24" s="1"/>
  <c r="A64" i="24" s="1"/>
  <c r="A65" i="24" s="1"/>
  <c r="A66" i="24" s="1"/>
  <c r="A67" i="24" s="1"/>
  <c r="A68" i="24" s="1"/>
  <c r="A69" i="24" s="1"/>
  <c r="A70" i="24" s="1"/>
  <c r="A71" i="24" s="1"/>
  <c r="A72" i="24" s="1"/>
  <c r="A73" i="24" s="1"/>
  <c r="A74" i="24" s="1"/>
  <c r="A1" i="24"/>
  <c r="A81" i="35" l="1"/>
  <c r="A82" i="35" s="1"/>
  <c r="A83" i="35" s="1"/>
  <c r="A84" i="35" s="1"/>
  <c r="A85" i="35" s="1"/>
  <c r="A86" i="35" s="1"/>
  <c r="A87" i="35" s="1"/>
  <c r="A88" i="35" s="1"/>
  <c r="A89" i="35" s="1"/>
  <c r="A90" i="35" s="1"/>
  <c r="A91" i="35" s="1"/>
  <c r="A92" i="35" s="1"/>
  <c r="A93" i="35" s="1"/>
  <c r="A94" i="35" s="1"/>
  <c r="A95" i="35" s="1"/>
  <c r="A96" i="35" s="1"/>
  <c r="A97" i="35" s="1"/>
  <c r="A98" i="35" s="1"/>
  <c r="A99" i="35" s="1"/>
  <c r="A100" i="35" s="1"/>
  <c r="A101" i="35" s="1"/>
  <c r="A102" i="35" s="1"/>
  <c r="A103" i="35" s="1"/>
  <c r="A104" i="35" s="1"/>
  <c r="A105" i="35" s="1"/>
  <c r="A106" i="35" s="1"/>
  <c r="A107" i="35" s="1"/>
  <c r="A108" i="35" s="1"/>
  <c r="A109" i="35" s="1"/>
  <c r="A110" i="35" s="1"/>
  <c r="A111" i="35" s="1"/>
  <c r="A112" i="35" s="1"/>
  <c r="A113" i="35" s="1"/>
  <c r="A114" i="35" s="1"/>
  <c r="A115" i="35" s="1"/>
  <c r="A116" i="35" s="1"/>
  <c r="A117" i="35" s="1"/>
  <c r="A118" i="35" s="1"/>
  <c r="A119" i="35" s="1"/>
  <c r="A120" i="35" s="1"/>
  <c r="A121" i="35" s="1"/>
  <c r="A122" i="35" s="1"/>
  <c r="A123" i="35" s="1"/>
  <c r="A124" i="35" s="1"/>
  <c r="A125" i="35" s="1"/>
  <c r="A126" i="35" s="1"/>
  <c r="A127" i="35" s="1"/>
  <c r="A128" i="35" s="1"/>
  <c r="A129" i="35" s="1"/>
  <c r="A130" i="35" s="1"/>
  <c r="A131" i="35" s="1"/>
  <c r="A132" i="35" s="1"/>
  <c r="A133" i="35" s="1"/>
  <c r="A134" i="35" s="1"/>
  <c r="A135" i="35" s="1"/>
  <c r="A136" i="35" s="1"/>
  <c r="A137" i="35" s="1"/>
  <c r="A138" i="35" s="1"/>
  <c r="A139" i="35" s="1"/>
  <c r="A140" i="35" s="1"/>
  <c r="A141" i="35" s="1"/>
  <c r="A142" i="35" s="1"/>
  <c r="A143" i="35" s="1"/>
  <c r="A144" i="35" s="1"/>
  <c r="A145" i="35" s="1"/>
  <c r="A146" i="35" s="1"/>
  <c r="A147" i="35" s="1"/>
  <c r="A148" i="35" s="1"/>
  <c r="A149" i="35" s="1"/>
  <c r="A150" i="35" s="1"/>
  <c r="A151" i="35" s="1"/>
  <c r="A152" i="35" s="1"/>
  <c r="A153" i="35" s="1"/>
  <c r="A154" i="35" s="1"/>
  <c r="A155" i="35" s="1"/>
  <c r="A156" i="35" s="1"/>
  <c r="A157" i="35" s="1"/>
  <c r="A158" i="35" s="1"/>
  <c r="A159" i="35" s="1"/>
  <c r="A160" i="35" s="1"/>
  <c r="A161" i="35" s="1"/>
  <c r="A162" i="35" s="1"/>
  <c r="A163" i="35" s="1"/>
  <c r="A164" i="35" s="1"/>
  <c r="A165" i="35" s="1"/>
  <c r="A166" i="35" s="1"/>
  <c r="A167" i="35" s="1"/>
  <c r="A168" i="35" s="1"/>
  <c r="A169" i="35" s="1"/>
  <c r="A170" i="35" s="1"/>
  <c r="A171" i="35" s="1"/>
  <c r="A172" i="35" s="1"/>
  <c r="A173" i="35" s="1"/>
  <c r="A174" i="35" s="1"/>
  <c r="A175" i="35" s="1"/>
  <c r="A176" i="35" s="1"/>
  <c r="A177" i="35" s="1"/>
  <c r="A178" i="35" s="1"/>
  <c r="A179" i="35" s="1"/>
  <c r="A180" i="35" s="1"/>
  <c r="A181" i="35" s="1"/>
  <c r="A182" i="35" s="1"/>
  <c r="A183" i="35" s="1"/>
  <c r="A184" i="35" s="1"/>
  <c r="A185" i="35" s="1"/>
  <c r="A186" i="35" s="1"/>
  <c r="A187" i="35" s="1"/>
  <c r="A188" i="35" s="1"/>
  <c r="A189" i="35" s="1"/>
  <c r="A190" i="35" s="1"/>
  <c r="A191" i="35" s="1"/>
  <c r="A192" i="35" s="1"/>
  <c r="A193" i="35" s="1"/>
  <c r="A194" i="35" s="1"/>
  <c r="A195" i="35" s="1"/>
  <c r="A196" i="35" s="1"/>
  <c r="A197" i="35" s="1"/>
  <c r="A198" i="35" s="1"/>
  <c r="A199" i="35" s="1"/>
  <c r="A200" i="35" s="1"/>
  <c r="A201" i="35" s="1"/>
  <c r="A202" i="35" s="1"/>
  <c r="A203" i="35" s="1"/>
  <c r="A204" i="35" s="1"/>
  <c r="A205" i="35" s="1"/>
  <c r="A206" i="35" s="1"/>
  <c r="A207" i="35" s="1"/>
  <c r="A208" i="35" s="1"/>
  <c r="A209" i="35" s="1"/>
  <c r="A210" i="35" s="1"/>
  <c r="A211" i="35" s="1"/>
  <c r="A212" i="35" s="1"/>
  <c r="A213" i="35" s="1"/>
  <c r="A214" i="35" s="1"/>
  <c r="A215" i="35" s="1"/>
  <c r="A216" i="35" s="1"/>
  <c r="A217" i="35" s="1"/>
  <c r="A218" i="35" s="1"/>
  <c r="A219" i="35" s="1"/>
  <c r="A220" i="35" s="1"/>
  <c r="A221" i="35" s="1"/>
  <c r="A222" i="35" s="1"/>
  <c r="A223" i="35" s="1"/>
  <c r="A224" i="35" s="1"/>
  <c r="A225" i="35" s="1"/>
  <c r="A226" i="35" s="1"/>
  <c r="A227" i="35" s="1"/>
  <c r="A228" i="35" s="1"/>
  <c r="A229" i="35" s="1"/>
  <c r="A230" i="35" s="1"/>
  <c r="A231" i="35" s="1"/>
  <c r="A232" i="35" s="1"/>
  <c r="A233" i="35" s="1"/>
  <c r="A234" i="35" s="1"/>
  <c r="A235" i="35" s="1"/>
  <c r="A236" i="35" s="1"/>
  <c r="A237" i="35" s="1"/>
  <c r="A238" i="35" s="1"/>
  <c r="A239" i="35" s="1"/>
  <c r="A240" i="35" s="1"/>
  <c r="A241" i="35" s="1"/>
  <c r="A242" i="35" s="1"/>
  <c r="A243" i="35" s="1"/>
  <c r="A244" i="35" s="1"/>
  <c r="A245" i="35" s="1"/>
  <c r="A246" i="35" s="1"/>
  <c r="A247" i="35" s="1"/>
  <c r="A248" i="35" s="1"/>
  <c r="A249" i="35" s="1"/>
  <c r="A250" i="35" s="1"/>
  <c r="A251" i="35" s="1"/>
  <c r="A252" i="35" s="1"/>
  <c r="A253" i="35" s="1"/>
  <c r="A254" i="35" s="1"/>
  <c r="A255" i="35" s="1"/>
  <c r="A256" i="35" s="1"/>
  <c r="A257" i="35" s="1"/>
  <c r="A258" i="35" s="1"/>
  <c r="A259" i="35" s="1"/>
  <c r="A260" i="35" s="1"/>
  <c r="A261" i="35" s="1"/>
  <c r="A262" i="35" s="1"/>
  <c r="A263" i="35" s="1"/>
  <c r="A264" i="35" s="1"/>
  <c r="A265" i="35" s="1"/>
  <c r="A266" i="35" s="1"/>
  <c r="A267" i="35" s="1"/>
  <c r="A268" i="35" s="1"/>
  <c r="A269" i="35" s="1"/>
  <c r="A270" i="35" s="1"/>
  <c r="A271" i="35" s="1"/>
  <c r="A272" i="35" s="1"/>
  <c r="A273" i="35" s="1"/>
  <c r="A274" i="35" s="1"/>
  <c r="A275" i="35" s="1"/>
  <c r="A276" i="35" s="1"/>
  <c r="A277" i="35" s="1"/>
  <c r="A278" i="35" s="1"/>
  <c r="A279" i="35" s="1"/>
  <c r="A280" i="35" s="1"/>
  <c r="A281" i="35" s="1"/>
  <c r="A282" i="35" s="1"/>
  <c r="A283" i="35" s="1"/>
  <c r="A284" i="35" s="1"/>
  <c r="A285" i="35" s="1"/>
  <c r="A286" i="35" s="1"/>
  <c r="A287" i="35" s="1"/>
  <c r="A288" i="35" s="1"/>
  <c r="A289" i="35" s="1"/>
  <c r="A290" i="35" s="1"/>
  <c r="A291" i="35" s="1"/>
  <c r="A292" i="35" s="1"/>
  <c r="A293" i="35" s="1"/>
  <c r="A294" i="35" s="1"/>
  <c r="A295" i="35" s="1"/>
  <c r="A296" i="35" s="1"/>
  <c r="A297" i="35" s="1"/>
  <c r="A298" i="35" s="1"/>
  <c r="A299" i="35" s="1"/>
  <c r="A300" i="35" s="1"/>
  <c r="A301" i="35" s="1"/>
  <c r="A302" i="35" s="1"/>
  <c r="A303" i="35" s="1"/>
  <c r="A304" i="35" s="1"/>
  <c r="A305" i="35" s="1"/>
  <c r="A306" i="35" s="1"/>
  <c r="A307" i="35" s="1"/>
  <c r="A308" i="35" s="1"/>
  <c r="A309" i="35" s="1"/>
  <c r="A310" i="35" s="1"/>
  <c r="A311" i="35" s="1"/>
  <c r="A312" i="35" s="1"/>
  <c r="A313" i="35" s="1"/>
  <c r="A314" i="35" s="1"/>
  <c r="A315" i="35" s="1"/>
  <c r="A316" i="35" s="1"/>
  <c r="A317" i="35" s="1"/>
  <c r="A318" i="35" s="1"/>
  <c r="A319" i="35" s="1"/>
  <c r="A320" i="35" s="1"/>
  <c r="A321" i="35" s="1"/>
  <c r="A322" i="35" s="1"/>
  <c r="A323" i="35" s="1"/>
  <c r="A324" i="35" s="1"/>
  <c r="A325" i="35" s="1"/>
  <c r="A326" i="35" s="1"/>
  <c r="A327" i="35" s="1"/>
  <c r="A328" i="35" s="1"/>
  <c r="A329" i="35" s="1"/>
  <c r="A330" i="35" s="1"/>
  <c r="A331" i="35" s="1"/>
  <c r="A332" i="35" s="1"/>
  <c r="A333" i="35" s="1"/>
  <c r="A334" i="35" s="1"/>
  <c r="A335" i="35" s="1"/>
  <c r="A336" i="35" s="1"/>
  <c r="A337" i="35" s="1"/>
  <c r="A338" i="35" s="1"/>
  <c r="A339" i="35" s="1"/>
  <c r="A340" i="35" s="1"/>
  <c r="A341" i="35" s="1"/>
  <c r="A342" i="35" s="1"/>
  <c r="A343" i="35" s="1"/>
  <c r="A344" i="35" s="1"/>
  <c r="A345" i="35" s="1"/>
  <c r="A346" i="35" s="1"/>
  <c r="A347" i="35" s="1"/>
  <c r="A348" i="35" s="1"/>
  <c r="A349" i="35" s="1"/>
  <c r="A350" i="35" s="1"/>
  <c r="A351" i="35" s="1"/>
  <c r="A352" i="35" s="1"/>
  <c r="A353" i="35" s="1"/>
  <c r="A354" i="35" s="1"/>
  <c r="A355" i="35" s="1"/>
  <c r="A356" i="35" s="1"/>
  <c r="A357" i="35" s="1"/>
  <c r="A358" i="35" s="1"/>
  <c r="A359" i="35" s="1"/>
  <c r="A360" i="35" s="1"/>
  <c r="A361" i="35" s="1"/>
  <c r="A362" i="35" s="1"/>
  <c r="A363" i="35" s="1"/>
  <c r="A364" i="35" s="1"/>
  <c r="A365" i="35" s="1"/>
  <c r="A366" i="35" s="1"/>
  <c r="A367" i="35" s="1"/>
  <c r="A368" i="35" s="1"/>
  <c r="A369" i="35" s="1"/>
  <c r="A370" i="35" s="1"/>
  <c r="A371" i="35" s="1"/>
  <c r="A372" i="35" s="1"/>
  <c r="A373" i="35" s="1"/>
  <c r="A374" i="35" s="1"/>
  <c r="A375" i="35" s="1"/>
  <c r="A376" i="35" s="1"/>
  <c r="A377" i="35" s="1"/>
  <c r="A378" i="35" s="1"/>
  <c r="A379" i="35" s="1"/>
  <c r="A380" i="35" s="1"/>
  <c r="A381" i="35" s="1"/>
  <c r="A382" i="35" s="1"/>
  <c r="A383" i="35" s="1"/>
  <c r="A384" i="35" s="1"/>
  <c r="A385" i="35" s="1"/>
  <c r="A386" i="35" s="1"/>
  <c r="A387" i="35" s="1"/>
  <c r="A388" i="35" s="1"/>
  <c r="A389" i="35" s="1"/>
  <c r="A390" i="35" s="1"/>
  <c r="A391" i="35" s="1"/>
  <c r="A392" i="35" s="1"/>
  <c r="A393" i="35" s="1"/>
  <c r="A394" i="35" s="1"/>
  <c r="A395" i="35" s="1"/>
  <c r="A396" i="35" s="1"/>
  <c r="A397" i="35" s="1"/>
  <c r="A398" i="35" s="1"/>
  <c r="A399" i="35" s="1"/>
  <c r="A400" i="35" s="1"/>
  <c r="A401" i="35" s="1"/>
  <c r="A402" i="35" s="1"/>
  <c r="A403" i="35" s="1"/>
  <c r="A404" i="35" s="1"/>
  <c r="A405" i="35" s="1"/>
  <c r="A406" i="35" s="1"/>
  <c r="A407" i="35" s="1"/>
  <c r="A408" i="35" s="1"/>
  <c r="A409" i="35" s="1"/>
  <c r="A410" i="35" s="1"/>
  <c r="A411" i="35" s="1"/>
  <c r="A412" i="35" s="1"/>
  <c r="A413" i="35" s="1"/>
  <c r="A414" i="35" s="1"/>
  <c r="A415" i="35" s="1"/>
  <c r="A416" i="35" s="1"/>
  <c r="A417" i="35" s="1"/>
  <c r="A418" i="35" s="1"/>
  <c r="A419" i="35" s="1"/>
  <c r="A420" i="35" s="1"/>
  <c r="A421" i="35" s="1"/>
  <c r="A422" i="35" s="1"/>
  <c r="A423" i="35" s="1"/>
  <c r="A424" i="35" s="1"/>
  <c r="A425" i="35" s="1"/>
  <c r="A426" i="35" s="1"/>
  <c r="A427" i="35" s="1"/>
  <c r="A428" i="35" s="1"/>
  <c r="A429" i="35" s="1"/>
  <c r="A430" i="35" s="1"/>
  <c r="A431" i="35" s="1"/>
  <c r="A432" i="35" s="1"/>
  <c r="A433" i="35" s="1"/>
  <c r="A434" i="35" s="1"/>
  <c r="A435" i="35" s="1"/>
  <c r="A436" i="35" s="1"/>
  <c r="A437" i="35" s="1"/>
  <c r="A438" i="35" s="1"/>
  <c r="A439" i="35" s="1"/>
  <c r="A440" i="35" s="1"/>
  <c r="A441" i="35" s="1"/>
  <c r="A442" i="35" s="1"/>
  <c r="A443" i="35" s="1"/>
  <c r="A444" i="35" s="1"/>
  <c r="A445" i="35" s="1"/>
  <c r="A446" i="35" s="1"/>
  <c r="A447" i="35" s="1"/>
  <c r="A448" i="35" s="1"/>
  <c r="A449" i="35" s="1"/>
  <c r="A450" i="35" s="1"/>
  <c r="A451" i="35" s="1"/>
  <c r="A452" i="35" s="1"/>
  <c r="A453" i="35" s="1"/>
  <c r="A454" i="35" s="1"/>
  <c r="A455" i="35" s="1"/>
  <c r="A456" i="35" s="1"/>
  <c r="A457" i="35" s="1"/>
  <c r="A458" i="35" s="1"/>
  <c r="A459" i="35" s="1"/>
  <c r="A460" i="35" s="1"/>
  <c r="A461" i="35" s="1"/>
  <c r="A462" i="35" s="1"/>
  <c r="A463" i="35" s="1"/>
  <c r="A464" i="35" s="1"/>
  <c r="A465" i="35" s="1"/>
  <c r="A466" i="35" s="1"/>
  <c r="A467" i="35" s="1"/>
  <c r="A468" i="35" s="1"/>
  <c r="A75" i="24"/>
  <c r="A76" i="24" s="1"/>
  <c r="A16" i="25"/>
  <c r="A17" i="25" s="1"/>
  <c r="A18" i="25" s="1"/>
  <c r="A19" i="25" s="1"/>
  <c r="A20" i="25" s="1"/>
  <c r="A21" i="25" s="1"/>
  <c r="A22" i="25" s="1"/>
  <c r="A23" i="25" s="1"/>
  <c r="A24" i="25" s="1"/>
  <c r="A25" i="25" s="1"/>
  <c r="A26" i="25" s="1"/>
  <c r="A27" i="25" s="1"/>
  <c r="A28" i="25" s="1"/>
  <c r="A29" i="25" s="1"/>
  <c r="A30" i="25" s="1"/>
  <c r="A31" i="25" s="1"/>
  <c r="A32" i="25" s="1"/>
  <c r="A33" i="25" s="1"/>
  <c r="A34" i="25" s="1"/>
  <c r="A35" i="25" s="1"/>
  <c r="A36" i="25" s="1"/>
  <c r="A37" i="25" s="1"/>
  <c r="A38" i="25" l="1"/>
  <c r="A39" i="25" s="1"/>
  <c r="A40" i="25" s="1"/>
  <c r="A41" i="25" s="1"/>
  <c r="A42" i="25" s="1"/>
  <c r="A43" i="25" s="1"/>
  <c r="A44" i="25" s="1"/>
  <c r="A45" i="25" s="1"/>
  <c r="A46" i="25" s="1"/>
  <c r="A47" i="25" s="1"/>
  <c r="A48" i="25" s="1"/>
  <c r="A49" i="25" s="1"/>
  <c r="A50" i="25" s="1"/>
  <c r="A51" i="25" s="1"/>
  <c r="A77" i="24"/>
  <c r="A78" i="24" s="1"/>
  <c r="A79" i="24" s="1"/>
  <c r="A80" i="24" s="1"/>
  <c r="A81" i="24" s="1"/>
  <c r="A82" i="24" s="1"/>
  <c r="A83" i="24" s="1"/>
  <c r="A84" i="24" s="1"/>
  <c r="A85" i="24" s="1"/>
  <c r="A86" i="24" s="1"/>
  <c r="A87" i="24" s="1"/>
  <c r="A88" i="24" s="1"/>
  <c r="A89" i="24" s="1"/>
  <c r="A90" i="24" s="1"/>
  <c r="A91" i="24" s="1"/>
  <c r="A92" i="24" s="1"/>
  <c r="A93" i="24" s="1"/>
  <c r="A94" i="24" s="1"/>
  <c r="A95" i="24" s="1"/>
  <c r="A96" i="24" s="1"/>
  <c r="A97" i="24" s="1"/>
  <c r="A98" i="24" s="1"/>
  <c r="A99" i="24" s="1"/>
  <c r="A100" i="24" s="1"/>
  <c r="A101" i="24" s="1"/>
  <c r="A102" i="24" s="1"/>
  <c r="A103" i="24" s="1"/>
  <c r="A104" i="24" s="1"/>
  <c r="A105" i="24" s="1"/>
  <c r="A106" i="24" s="1"/>
  <c r="A107" i="24" s="1"/>
  <c r="A6" i="21"/>
  <c r="A1" i="21"/>
  <c r="A6" i="20"/>
  <c r="A7" i="20" s="1"/>
  <c r="A8" i="20" s="1"/>
  <c r="A9" i="20" s="1"/>
  <c r="A10" i="20" s="1"/>
  <c r="A11" i="20" s="1"/>
  <c r="A12" i="20" s="1"/>
  <c r="A13" i="20" s="1"/>
  <c r="A14" i="20" s="1"/>
  <c r="A15" i="20" s="1"/>
  <c r="A16" i="20" s="1"/>
  <c r="A17" i="20" s="1"/>
  <c r="A18" i="20" s="1"/>
  <c r="A19" i="20" s="1"/>
  <c r="A20" i="20" s="1"/>
  <c r="A21" i="20" s="1"/>
  <c r="A22" i="20" s="1"/>
  <c r="A23" i="20" s="1"/>
  <c r="A24" i="20" s="1"/>
  <c r="A25" i="20" s="1"/>
  <c r="A26" i="20" s="1"/>
  <c r="A27" i="20" s="1"/>
  <c r="A28" i="20" s="1"/>
  <c r="A29" i="20" s="1"/>
  <c r="A30" i="20" s="1"/>
  <c r="A31" i="20" s="1"/>
  <c r="A32" i="20" s="1"/>
  <c r="A33" i="20" s="1"/>
  <c r="A34" i="20" s="1"/>
  <c r="A35" i="20" s="1"/>
  <c r="A36" i="20" s="1"/>
  <c r="A37" i="20" s="1"/>
  <c r="A38" i="20" s="1"/>
  <c r="A39" i="20" s="1"/>
  <c r="A40" i="20" s="1"/>
  <c r="A41" i="20" s="1"/>
  <c r="A42" i="20" s="1"/>
  <c r="A43" i="20" s="1"/>
  <c r="A44" i="20" s="1"/>
  <c r="A45" i="20" s="1"/>
  <c r="A46" i="20" s="1"/>
  <c r="A47" i="20" s="1"/>
  <c r="A48" i="20" s="1"/>
  <c r="A49" i="20" s="1"/>
  <c r="A50" i="20" s="1"/>
  <c r="A51" i="20" s="1"/>
  <c r="A52" i="20" s="1"/>
  <c r="A53" i="20" s="1"/>
  <c r="A54" i="20" s="1"/>
  <c r="A55" i="20" s="1"/>
  <c r="A56" i="20" s="1"/>
  <c r="A57" i="20" s="1"/>
  <c r="A58" i="20" s="1"/>
  <c r="A59" i="20" s="1"/>
  <c r="A60" i="20" s="1"/>
  <c r="A61" i="20" s="1"/>
  <c r="A62" i="20" s="1"/>
  <c r="A63" i="20" s="1"/>
  <c r="A64" i="20" s="1"/>
  <c r="A65" i="20" s="1"/>
  <c r="A66" i="20" s="1"/>
  <c r="A67" i="20" s="1"/>
  <c r="A68" i="20" s="1"/>
  <c r="A69" i="20" s="1"/>
  <c r="A70" i="20" s="1"/>
  <c r="A71" i="20" s="1"/>
  <c r="A72" i="20" s="1"/>
  <c r="A73" i="20" s="1"/>
  <c r="A74" i="20" s="1"/>
  <c r="A75" i="20" s="1"/>
  <c r="A76" i="20" s="1"/>
  <c r="A77" i="20" s="1"/>
  <c r="A78" i="20" s="1"/>
  <c r="A79" i="20" s="1"/>
  <c r="A80" i="20" s="1"/>
  <c r="A81" i="20" s="1"/>
  <c r="A82" i="20" s="1"/>
  <c r="A83" i="20" s="1"/>
  <c r="A84" i="20" s="1"/>
  <c r="A85" i="20" s="1"/>
  <c r="A86" i="20" s="1"/>
  <c r="A87" i="20" s="1"/>
  <c r="A88" i="20" s="1"/>
  <c r="A89" i="20" s="1"/>
  <c r="A90" i="20" s="1"/>
  <c r="A91" i="20" s="1"/>
  <c r="A92" i="20" s="1"/>
  <c r="A93" i="20" s="1"/>
  <c r="A94" i="20" s="1"/>
  <c r="A95" i="20" s="1"/>
  <c r="A96" i="20" s="1"/>
  <c r="A97" i="20" s="1"/>
  <c r="A98" i="20" s="1"/>
  <c r="A99" i="20" s="1"/>
  <c r="A100" i="20" s="1"/>
  <c r="A101" i="20" s="1"/>
  <c r="A102" i="20" s="1"/>
  <c r="A103" i="20" s="1"/>
  <c r="A104" i="20" s="1"/>
  <c r="A105" i="20" s="1"/>
  <c r="A106" i="20" s="1"/>
  <c r="A107" i="20" s="1"/>
  <c r="A108" i="20" s="1"/>
  <c r="A109" i="20" s="1"/>
  <c r="A110" i="20" s="1"/>
  <c r="A111" i="20" s="1"/>
  <c r="A112" i="20" s="1"/>
  <c r="A113" i="20" s="1"/>
  <c r="A114" i="20" s="1"/>
  <c r="A115" i="20" s="1"/>
  <c r="A116" i="20" s="1"/>
  <c r="A117" i="20" s="1"/>
  <c r="A118" i="20" s="1"/>
  <c r="A119" i="20" s="1"/>
  <c r="A120" i="20" s="1"/>
  <c r="A121" i="20" s="1"/>
  <c r="A122" i="20" s="1"/>
  <c r="A123" i="20" s="1"/>
  <c r="A124" i="20" s="1"/>
  <c r="A125" i="20" s="1"/>
  <c r="A126" i="20" s="1"/>
  <c r="A127" i="20" s="1"/>
  <c r="A128" i="20" s="1"/>
  <c r="A129" i="20" s="1"/>
  <c r="A130" i="20" s="1"/>
  <c r="A131" i="20" s="1"/>
  <c r="A132" i="20" s="1"/>
  <c r="A133" i="20" s="1"/>
  <c r="A134" i="20" s="1"/>
  <c r="A135" i="20" s="1"/>
  <c r="A136" i="20" s="1"/>
  <c r="A137" i="20" s="1"/>
  <c r="A138" i="20" s="1"/>
  <c r="A1" i="20"/>
  <c r="A6" i="19"/>
  <c r="A7" i="19" s="1"/>
  <c r="A8" i="19" s="1"/>
  <c r="A9" i="19" s="1"/>
  <c r="A10" i="19" s="1"/>
  <c r="A11" i="19" s="1"/>
  <c r="A12" i="19" s="1"/>
  <c r="A13" i="19" s="1"/>
  <c r="A14" i="19" s="1"/>
  <c r="A15" i="19" s="1"/>
  <c r="A16" i="19" s="1"/>
  <c r="A17" i="19" s="1"/>
  <c r="A18" i="19" s="1"/>
  <c r="A19" i="19" s="1"/>
  <c r="A20" i="19" s="1"/>
  <c r="A21" i="19" s="1"/>
  <c r="A22" i="19" s="1"/>
  <c r="A23" i="19" s="1"/>
  <c r="A24" i="19" s="1"/>
  <c r="A25" i="19" s="1"/>
  <c r="A26" i="19" s="1"/>
  <c r="A27" i="19" s="1"/>
  <c r="A28" i="19" s="1"/>
  <c r="A29" i="19" s="1"/>
  <c r="A30" i="19" s="1"/>
  <c r="A31" i="19" s="1"/>
  <c r="A32" i="19" s="1"/>
  <c r="A33" i="19" s="1"/>
  <c r="A34" i="19" s="1"/>
  <c r="A35" i="19" s="1"/>
  <c r="A36" i="19" s="1"/>
  <c r="A37" i="19" s="1"/>
  <c r="A38" i="19" s="1"/>
  <c r="A39" i="19" s="1"/>
  <c r="A40" i="19" s="1"/>
  <c r="A41" i="19" s="1"/>
  <c r="A42" i="19" s="1"/>
  <c r="A43" i="19" s="1"/>
  <c r="A44" i="19" s="1"/>
  <c r="A45" i="19" s="1"/>
  <c r="A46" i="19" s="1"/>
  <c r="A47" i="19" s="1"/>
  <c r="A48" i="19" s="1"/>
  <c r="A49" i="19" s="1"/>
  <c r="A50" i="19" s="1"/>
  <c r="A51" i="19" s="1"/>
  <c r="A52" i="19" s="1"/>
  <c r="A53" i="19" s="1"/>
  <c r="A54" i="19" s="1"/>
  <c r="A55" i="19" s="1"/>
  <c r="A56" i="19" s="1"/>
  <c r="A57" i="19" s="1"/>
  <c r="A58" i="19" s="1"/>
  <c r="A59" i="19" s="1"/>
  <c r="A60" i="19" s="1"/>
  <c r="A61" i="19" s="1"/>
  <c r="A62" i="19" s="1"/>
  <c r="A63" i="19" s="1"/>
  <c r="A64" i="19" s="1"/>
  <c r="A65" i="19" s="1"/>
  <c r="A66" i="19" s="1"/>
  <c r="A67" i="19" s="1"/>
  <c r="A68" i="19" s="1"/>
  <c r="A69" i="19" s="1"/>
  <c r="A70" i="19" s="1"/>
  <c r="A71" i="19" s="1"/>
  <c r="A72" i="19" s="1"/>
  <c r="A73" i="19" s="1"/>
  <c r="A74" i="19" s="1"/>
  <c r="A75" i="19" s="1"/>
  <c r="A76" i="19" s="1"/>
  <c r="A77" i="19" s="1"/>
  <c r="A78" i="19" s="1"/>
  <c r="A79" i="19" s="1"/>
  <c r="A80" i="19" s="1"/>
  <c r="A81" i="19" s="1"/>
  <c r="A82" i="19" s="1"/>
  <c r="A83" i="19" s="1"/>
  <c r="A84" i="19" s="1"/>
  <c r="A85" i="19" s="1"/>
  <c r="A86" i="19" s="1"/>
  <c r="A87" i="19" s="1"/>
  <c r="A88" i="19" s="1"/>
  <c r="A89" i="19" s="1"/>
  <c r="A90" i="19" s="1"/>
  <c r="A91" i="19" s="1"/>
  <c r="A92" i="19" s="1"/>
  <c r="A93" i="19" s="1"/>
  <c r="A94" i="19" s="1"/>
  <c r="A95" i="19" s="1"/>
  <c r="A96" i="19" s="1"/>
  <c r="A97" i="19" s="1"/>
  <c r="A98" i="19" s="1"/>
  <c r="A99" i="19" s="1"/>
  <c r="A100" i="19" s="1"/>
  <c r="A101" i="19" s="1"/>
  <c r="A102" i="19" s="1"/>
  <c r="A103" i="19" s="1"/>
  <c r="A104" i="19" s="1"/>
  <c r="A105" i="19" s="1"/>
  <c r="A106" i="19" s="1"/>
  <c r="A107" i="19" s="1"/>
  <c r="A108" i="19" s="1"/>
  <c r="A109" i="19" s="1"/>
  <c r="A110" i="19" s="1"/>
  <c r="A111" i="19" s="1"/>
  <c r="A112" i="19" s="1"/>
  <c r="A113" i="19" s="1"/>
  <c r="A114" i="19" s="1"/>
  <c r="A115" i="19" s="1"/>
  <c r="A116" i="19" s="1"/>
  <c r="A117" i="19" s="1"/>
  <c r="A118" i="19" s="1"/>
  <c r="A119" i="19" s="1"/>
  <c r="A120" i="19" s="1"/>
  <c r="A1" i="19"/>
  <c r="A6" i="18"/>
  <c r="A7" i="18" s="1"/>
  <c r="A8" i="18" s="1"/>
  <c r="A9" i="18" s="1"/>
  <c r="A10" i="18" s="1"/>
  <c r="A11" i="18" s="1"/>
  <c r="A12" i="18" s="1"/>
  <c r="A13" i="18" s="1"/>
  <c r="A14" i="18" s="1"/>
  <c r="A15" i="18" s="1"/>
  <c r="A16" i="18" s="1"/>
  <c r="A17" i="18" s="1"/>
  <c r="A18" i="18" s="1"/>
  <c r="A19" i="18" s="1"/>
  <c r="A20" i="18" s="1"/>
  <c r="A21" i="18" s="1"/>
  <c r="A22" i="18" s="1"/>
  <c r="A23" i="18" s="1"/>
  <c r="A24" i="18" s="1"/>
  <c r="A25" i="18" s="1"/>
  <c r="A26" i="18" s="1"/>
  <c r="A27" i="18" s="1"/>
  <c r="A28" i="18" s="1"/>
  <c r="A29" i="18" s="1"/>
  <c r="A30" i="18" s="1"/>
  <c r="A31" i="18" s="1"/>
  <c r="A32" i="18" s="1"/>
  <c r="A33" i="18" s="1"/>
  <c r="A34" i="18" s="1"/>
  <c r="A35" i="18" s="1"/>
  <c r="A36" i="18" s="1"/>
  <c r="A37" i="18" s="1"/>
  <c r="A38" i="18" s="1"/>
  <c r="A39" i="18" s="1"/>
  <c r="A40" i="18" s="1"/>
  <c r="A41" i="18" s="1"/>
  <c r="A42" i="18" s="1"/>
  <c r="A43" i="18" s="1"/>
  <c r="A44" i="18" s="1"/>
  <c r="A45" i="18" s="1"/>
  <c r="A46" i="18" s="1"/>
  <c r="A47" i="18" s="1"/>
  <c r="A48" i="18" s="1"/>
  <c r="A49" i="18" s="1"/>
  <c r="A50" i="18" s="1"/>
  <c r="A51" i="18" s="1"/>
  <c r="A52" i="18" s="1"/>
  <c r="A53" i="18" s="1"/>
  <c r="A54" i="18" s="1"/>
  <c r="A55" i="18" s="1"/>
  <c r="A56" i="18" s="1"/>
  <c r="A57" i="18" s="1"/>
  <c r="A58" i="18" s="1"/>
  <c r="A59" i="18" s="1"/>
  <c r="A60" i="18" s="1"/>
  <c r="A61" i="18" s="1"/>
  <c r="A62" i="18" s="1"/>
  <c r="A63" i="18" s="1"/>
  <c r="A64" i="18" s="1"/>
  <c r="A65" i="18" s="1"/>
  <c r="A66" i="18" s="1"/>
  <c r="A67" i="18" s="1"/>
  <c r="A68" i="18" s="1"/>
  <c r="A69" i="18" s="1"/>
  <c r="A70" i="18" s="1"/>
  <c r="A71" i="18" s="1"/>
  <c r="A72" i="18" s="1"/>
  <c r="A73" i="18" s="1"/>
  <c r="A74" i="18" s="1"/>
  <c r="A75" i="18" s="1"/>
  <c r="A76" i="18" s="1"/>
  <c r="A77" i="18" s="1"/>
  <c r="A78" i="18" s="1"/>
  <c r="A79" i="18" s="1"/>
  <c r="A80" i="18" s="1"/>
  <c r="A81" i="18" s="1"/>
  <c r="A82" i="18" s="1"/>
  <c r="A83" i="18" s="1"/>
  <c r="A84" i="18" s="1"/>
  <c r="A85" i="18" s="1"/>
  <c r="A86" i="18" s="1"/>
  <c r="A87" i="18" s="1"/>
  <c r="A88" i="18" s="1"/>
  <c r="A89" i="18" s="1"/>
  <c r="A90" i="18" s="1"/>
  <c r="A91" i="18" s="1"/>
  <c r="A92" i="18" s="1"/>
  <c r="A93" i="18" s="1"/>
  <c r="A94" i="18" s="1"/>
  <c r="A95" i="18" s="1"/>
  <c r="A96" i="18" s="1"/>
  <c r="A97" i="18" s="1"/>
  <c r="A98" i="18" s="1"/>
  <c r="A99" i="18" s="1"/>
  <c r="A100" i="18" s="1"/>
  <c r="A101" i="18" s="1"/>
  <c r="A102" i="18" s="1"/>
  <c r="A103" i="18" s="1"/>
  <c r="A104" i="18" s="1"/>
  <c r="A105" i="18" s="1"/>
  <c r="A106" i="18" s="1"/>
  <c r="A107" i="18" s="1"/>
  <c r="A108" i="18" s="1"/>
  <c r="A109" i="18" s="1"/>
  <c r="A110" i="18" s="1"/>
  <c r="A111" i="18" s="1"/>
  <c r="A112" i="18" s="1"/>
  <c r="A113" i="18" s="1"/>
  <c r="A114" i="18" s="1"/>
  <c r="A115" i="18" s="1"/>
  <c r="A116" i="18" s="1"/>
  <c r="A117" i="18" s="1"/>
  <c r="A118" i="18" s="1"/>
  <c r="A119" i="18" s="1"/>
  <c r="A120" i="18" s="1"/>
  <c r="A121" i="18" s="1"/>
  <c r="A122" i="18" s="1"/>
  <c r="A123" i="18" s="1"/>
  <c r="A124" i="18" s="1"/>
  <c r="A125" i="18" s="1"/>
  <c r="A126" i="18" s="1"/>
  <c r="A127" i="18" s="1"/>
  <c r="A128" i="18" s="1"/>
  <c r="A129" i="18" s="1"/>
  <c r="A130" i="18" s="1"/>
  <c r="A131" i="18" s="1"/>
  <c r="A132" i="18" s="1"/>
  <c r="A133" i="18" s="1"/>
  <c r="A134" i="18" s="1"/>
  <c r="A135" i="18" s="1"/>
  <c r="A136" i="18" s="1"/>
  <c r="A137" i="18" s="1"/>
  <c r="A138" i="18" s="1"/>
  <c r="A139" i="18" s="1"/>
  <c r="A140" i="18" s="1"/>
  <c r="A141" i="18" s="1"/>
  <c r="A142" i="18" s="1"/>
  <c r="A143" i="18" s="1"/>
  <c r="A144" i="18" s="1"/>
  <c r="A145" i="18" s="1"/>
  <c r="A146" i="18" s="1"/>
  <c r="A147" i="18" s="1"/>
  <c r="A148" i="18" s="1"/>
  <c r="A149" i="18" s="1"/>
  <c r="A150" i="18" s="1"/>
  <c r="A151" i="18" s="1"/>
  <c r="A152" i="18" s="1"/>
  <c r="A153" i="18" s="1"/>
  <c r="A154" i="18" s="1"/>
  <c r="A155" i="18" s="1"/>
  <c r="A156" i="18" s="1"/>
  <c r="A157" i="18" s="1"/>
  <c r="A158" i="18" s="1"/>
  <c r="A159" i="18" s="1"/>
  <c r="A160" i="18" s="1"/>
  <c r="A161" i="18" s="1"/>
  <c r="A162" i="18" s="1"/>
  <c r="A163" i="18" s="1"/>
  <c r="A1" i="18"/>
  <c r="A108" i="24" l="1"/>
  <c r="A109" i="24" s="1"/>
  <c r="A110" i="24" s="1"/>
  <c r="A111" i="24" s="1"/>
  <c r="A112" i="24" s="1"/>
  <c r="A113" i="24" s="1"/>
  <c r="A114" i="24" s="1"/>
  <c r="A115" i="24" s="1"/>
  <c r="A116" i="24" s="1"/>
  <c r="A117" i="24" s="1"/>
  <c r="A118" i="24" s="1"/>
  <c r="A119" i="24" s="1"/>
  <c r="A120" i="24" s="1"/>
  <c r="A121" i="24" s="1"/>
  <c r="A122" i="24" s="1"/>
  <c r="A123" i="24" s="1"/>
  <c r="A124" i="24" s="1"/>
  <c r="A125" i="24" s="1"/>
  <c r="A126" i="24" s="1"/>
  <c r="A127" i="24" s="1"/>
  <c r="A128" i="24" s="1"/>
  <c r="A129" i="24" s="1"/>
  <c r="A130" i="24" s="1"/>
  <c r="A131" i="24" s="1"/>
  <c r="A132" i="24" s="1"/>
  <c r="A133" i="24" s="1"/>
  <c r="A134" i="24" s="1"/>
  <c r="A135" i="24" s="1"/>
  <c r="A139" i="20"/>
  <c r="A140" i="20" s="1"/>
  <c r="A141" i="20" s="1"/>
  <c r="A142" i="20" s="1"/>
  <c r="A143" i="20" s="1"/>
  <c r="A144" i="20" s="1"/>
  <c r="A145" i="20" s="1"/>
  <c r="A146" i="20" s="1"/>
  <c r="A147" i="20" s="1"/>
  <c r="A148" i="20" s="1"/>
  <c r="A149" i="20" s="1"/>
  <c r="A150" i="20" s="1"/>
  <c r="A151" i="20" s="1"/>
  <c r="A152" i="20" s="1"/>
  <c r="A153" i="20" s="1"/>
  <c r="A154" i="20" s="1"/>
  <c r="A155" i="20" s="1"/>
  <c r="A156" i="20" s="1"/>
  <c r="A157" i="20" s="1"/>
  <c r="A158" i="20" s="1"/>
  <c r="A159" i="20" s="1"/>
  <c r="A160" i="20" s="1"/>
  <c r="A161" i="20" s="1"/>
  <c r="A162" i="20" s="1"/>
  <c r="A163" i="20" s="1"/>
  <c r="A164" i="20" s="1"/>
  <c r="A165" i="20" s="1"/>
  <c r="A166" i="20" s="1"/>
  <c r="A167" i="20" s="1"/>
  <c r="A168" i="20" s="1"/>
  <c r="A169" i="20" s="1"/>
  <c r="A170" i="20" s="1"/>
  <c r="A171" i="20" s="1"/>
  <c r="A172" i="20" s="1"/>
  <c r="A173" i="20" s="1"/>
  <c r="A174" i="20" s="1"/>
  <c r="A175" i="20" s="1"/>
  <c r="A176" i="20" s="1"/>
  <c r="A7" i="21"/>
  <c r="A8" i="21" s="1"/>
  <c r="A9" i="21" s="1"/>
  <c r="A10" i="21" s="1"/>
  <c r="A11" i="21" s="1"/>
  <c r="A12" i="21" s="1"/>
  <c r="A13" i="21" s="1"/>
  <c r="A14" i="21" s="1"/>
  <c r="A15" i="21" s="1"/>
  <c r="A16" i="21" s="1"/>
  <c r="A17" i="21" s="1"/>
  <c r="A18" i="21" s="1"/>
  <c r="A19" i="21" s="1"/>
  <c r="A20" i="21" s="1"/>
  <c r="A21" i="21" s="1"/>
  <c r="A22" i="21" s="1"/>
  <c r="A23" i="21" s="1"/>
  <c r="A24" i="21" s="1"/>
  <c r="A25" i="21" s="1"/>
  <c r="A26" i="21" s="1"/>
  <c r="A27" i="21" s="1"/>
  <c r="A28" i="21" s="1"/>
  <c r="A29" i="21" s="1"/>
  <c r="A30" i="21" s="1"/>
  <c r="A31" i="21" s="1"/>
  <c r="A32" i="21" s="1"/>
  <c r="A33" i="21" s="1"/>
  <c r="A34" i="21" s="1"/>
  <c r="A35" i="21" s="1"/>
  <c r="A36" i="21" s="1"/>
  <c r="A37" i="21" s="1"/>
  <c r="A38" i="21" s="1"/>
  <c r="A39" i="21" s="1"/>
  <c r="A40" i="21" s="1"/>
  <c r="A41" i="21" s="1"/>
  <c r="A42" i="21" s="1"/>
  <c r="A43" i="21" s="1"/>
  <c r="A44" i="21" s="1"/>
  <c r="A45" i="21" s="1"/>
  <c r="A46" i="21" s="1"/>
  <c r="A47" i="21" s="1"/>
  <c r="A48" i="21" s="1"/>
  <c r="A49" i="21" s="1"/>
  <c r="A50" i="21" s="1"/>
  <c r="A51" i="21" s="1"/>
  <c r="A52" i="21" s="1"/>
  <c r="A53" i="21" s="1"/>
  <c r="A54" i="21" s="1"/>
  <c r="A55" i="21" s="1"/>
  <c r="A56" i="21" s="1"/>
  <c r="A57" i="21" s="1"/>
  <c r="A58" i="21" s="1"/>
  <c r="A59" i="21" s="1"/>
  <c r="A60" i="21" s="1"/>
  <c r="A61" i="21" s="1"/>
  <c r="A62" i="21" s="1"/>
  <c r="A63" i="21" s="1"/>
  <c r="A64" i="21" s="1"/>
  <c r="A65" i="21" s="1"/>
  <c r="A66" i="21" s="1"/>
  <c r="A67" i="21" s="1"/>
  <c r="A68" i="21" s="1"/>
  <c r="A69" i="21" s="1"/>
  <c r="A70" i="21" s="1"/>
  <c r="A71" i="21" s="1"/>
  <c r="A72" i="21" s="1"/>
  <c r="A73" i="21" s="1"/>
  <c r="A74" i="21" s="1"/>
  <c r="A75" i="21" s="1"/>
  <c r="A76" i="21" s="1"/>
  <c r="A77" i="21" s="1"/>
  <c r="A78" i="21" s="1"/>
  <c r="A79" i="21" s="1"/>
  <c r="A80" i="21" s="1"/>
  <c r="A81" i="21" s="1"/>
  <c r="A82" i="21" s="1"/>
  <c r="A83" i="21" s="1"/>
  <c r="A84" i="21" s="1"/>
  <c r="A85" i="21" s="1"/>
  <c r="A86" i="21" s="1"/>
  <c r="A87" i="21" s="1"/>
  <c r="A88" i="21" s="1"/>
  <c r="A89" i="21" s="1"/>
  <c r="A90" i="21" s="1"/>
  <c r="A91" i="21" s="1"/>
  <c r="A92" i="21" s="1"/>
  <c r="A93" i="21" s="1"/>
  <c r="A94" i="21" s="1"/>
  <c r="A95" i="21" s="1"/>
  <c r="A96" i="21" s="1"/>
  <c r="A97" i="21" s="1"/>
  <c r="A98" i="21" s="1"/>
  <c r="A99" i="21" s="1"/>
  <c r="A100" i="21" s="1"/>
  <c r="A101" i="21" s="1"/>
  <c r="A102" i="21" s="1"/>
  <c r="A103" i="21" s="1"/>
  <c r="A104" i="21" s="1"/>
  <c r="A105" i="21" s="1"/>
  <c r="A106" i="21" s="1"/>
  <c r="A107" i="21" s="1"/>
  <c r="A108" i="21" s="1"/>
  <c r="A109" i="21" s="1"/>
  <c r="A110" i="21" s="1"/>
  <c r="A111" i="21" s="1"/>
  <c r="A112" i="21" s="1"/>
  <c r="A113" i="21" s="1"/>
  <c r="A114" i="21" s="1"/>
  <c r="A115" i="21" s="1"/>
  <c r="A116" i="21" s="1"/>
  <c r="A117" i="21" s="1"/>
  <c r="A118" i="21" s="1"/>
  <c r="A119" i="21" s="1"/>
  <c r="A120" i="21" s="1"/>
  <c r="A121" i="21" s="1"/>
  <c r="A122" i="21" s="1"/>
  <c r="A136" i="24" l="1"/>
  <c r="A137" i="24" s="1"/>
  <c r="A138" i="24" s="1"/>
  <c r="A139" i="24" s="1"/>
  <c r="A140" i="24" s="1"/>
  <c r="A6" i="17"/>
  <c r="A7" i="17" s="1"/>
  <c r="A8" i="17" s="1"/>
  <c r="A1" i="17"/>
  <c r="A6" i="16"/>
  <c r="A7" i="16" s="1"/>
  <c r="A8" i="16" s="1"/>
  <c r="A9" i="16" s="1"/>
  <c r="A10" i="16" s="1"/>
  <c r="A11" i="16" s="1"/>
  <c r="A12" i="16" s="1"/>
  <c r="A13" i="16" s="1"/>
  <c r="A14" i="16" s="1"/>
  <c r="A15" i="16" s="1"/>
  <c r="A16" i="16" s="1"/>
  <c r="A17" i="16" s="1"/>
  <c r="A18" i="16" s="1"/>
  <c r="A19" i="16" s="1"/>
  <c r="A20" i="16" s="1"/>
  <c r="A21" i="16" s="1"/>
  <c r="A22" i="16" s="1"/>
  <c r="A23" i="16" s="1"/>
  <c r="A24" i="16" s="1"/>
  <c r="A25" i="16" s="1"/>
  <c r="A26" i="16" s="1"/>
  <c r="A27" i="16" s="1"/>
  <c r="A28" i="16" s="1"/>
  <c r="A29" i="16" s="1"/>
  <c r="A30" i="16" s="1"/>
  <c r="A31" i="16" s="1"/>
  <c r="A32" i="16" s="1"/>
  <c r="A33" i="16" s="1"/>
  <c r="A34" i="16" s="1"/>
  <c r="A35" i="16" s="1"/>
  <c r="A36" i="16" s="1"/>
  <c r="A37" i="16" s="1"/>
  <c r="A38" i="16" s="1"/>
  <c r="A39" i="16" s="1"/>
  <c r="A40" i="16" s="1"/>
  <c r="A41" i="16" s="1"/>
  <c r="A42" i="16" s="1"/>
  <c r="A43" i="16" s="1"/>
  <c r="A44" i="16" s="1"/>
  <c r="A45" i="16" s="1"/>
  <c r="A46" i="16" s="1"/>
  <c r="A47" i="16" s="1"/>
  <c r="A48" i="16" s="1"/>
  <c r="A49" i="16" s="1"/>
  <c r="A50" i="16" s="1"/>
  <c r="A51" i="16" s="1"/>
  <c r="A52" i="16" s="1"/>
  <c r="A53" i="16" s="1"/>
  <c r="A54" i="16" s="1"/>
  <c r="A55" i="16" s="1"/>
  <c r="A56" i="16" s="1"/>
  <c r="A57" i="16" s="1"/>
  <c r="A58" i="16" s="1"/>
  <c r="A59" i="16" s="1"/>
  <c r="A60" i="16" s="1"/>
  <c r="A61" i="16" s="1"/>
  <c r="A62" i="16" s="1"/>
  <c r="A63" i="16" s="1"/>
  <c r="A64" i="16" s="1"/>
  <c r="A65" i="16" s="1"/>
  <c r="A66" i="16" s="1"/>
  <c r="A67" i="16" s="1"/>
  <c r="A68" i="16" s="1"/>
  <c r="A69" i="16" s="1"/>
  <c r="A70" i="16" s="1"/>
  <c r="A71" i="16" s="1"/>
  <c r="A72" i="16" s="1"/>
  <c r="A73" i="16" s="1"/>
  <c r="A74" i="16" s="1"/>
  <c r="A75" i="16" s="1"/>
  <c r="A76" i="16" s="1"/>
  <c r="A77" i="16" s="1"/>
  <c r="A78" i="16" s="1"/>
  <c r="A79" i="16" s="1"/>
  <c r="A80" i="16" s="1"/>
  <c r="A81" i="16" s="1"/>
  <c r="A82" i="16" s="1"/>
  <c r="A83" i="16" s="1"/>
  <c r="A84" i="16" s="1"/>
  <c r="A85" i="16" s="1"/>
  <c r="A86" i="16" s="1"/>
  <c r="A87" i="16" s="1"/>
  <c r="A88" i="16" s="1"/>
  <c r="A89" i="16" s="1"/>
  <c r="A90" i="16" s="1"/>
  <c r="A91" i="16" s="1"/>
  <c r="A92" i="16" s="1"/>
  <c r="A93" i="16" s="1"/>
  <c r="A94" i="16" s="1"/>
  <c r="A95" i="16" s="1"/>
  <c r="A96" i="16" s="1"/>
  <c r="A97" i="16" s="1"/>
  <c r="A98" i="16" s="1"/>
  <c r="A99" i="16" s="1"/>
  <c r="A100" i="16" s="1"/>
  <c r="A101" i="16" s="1"/>
  <c r="A102" i="16" s="1"/>
  <c r="A103" i="16" s="1"/>
  <c r="A104" i="16" s="1"/>
  <c r="A105" i="16" s="1"/>
  <c r="A106" i="16" s="1"/>
  <c r="A107" i="16" s="1"/>
  <c r="A108" i="16" s="1"/>
  <c r="A109" i="16" s="1"/>
  <c r="A110" i="16" s="1"/>
  <c r="A111" i="16" s="1"/>
  <c r="A112" i="16" s="1"/>
  <c r="A113" i="16" s="1"/>
  <c r="A114" i="16" s="1"/>
  <c r="A115" i="16" s="1"/>
  <c r="A116" i="16" s="1"/>
  <c r="A117" i="16" s="1"/>
  <c r="A118" i="16" s="1"/>
  <c r="A119" i="16" s="1"/>
  <c r="A120" i="16" s="1"/>
  <c r="A121" i="16" s="1"/>
  <c r="A122" i="16" s="1"/>
  <c r="A123" i="16" s="1"/>
  <c r="A124" i="16" s="1"/>
  <c r="A125" i="16" s="1"/>
  <c r="A126" i="16" s="1"/>
  <c r="A127" i="16" s="1"/>
  <c r="A128" i="16" s="1"/>
  <c r="A129" i="16" s="1"/>
  <c r="A130" i="16" s="1"/>
  <c r="A131" i="16" s="1"/>
  <c r="A132" i="16" s="1"/>
  <c r="A133" i="16" s="1"/>
  <c r="A134" i="16" s="1"/>
  <c r="A135" i="16" s="1"/>
  <c r="A136" i="16" s="1"/>
  <c r="A137" i="16" s="1"/>
  <c r="A138" i="16" s="1"/>
  <c r="A139" i="16" s="1"/>
  <c r="A140" i="16" s="1"/>
  <c r="A141" i="16" s="1"/>
  <c r="A142" i="16" s="1"/>
  <c r="A143" i="16" s="1"/>
  <c r="A144" i="16" s="1"/>
  <c r="A145" i="16" s="1"/>
  <c r="A146" i="16" s="1"/>
  <c r="A147" i="16" s="1"/>
  <c r="A148" i="16" s="1"/>
  <c r="A149" i="16" s="1"/>
  <c r="A150" i="16" s="1"/>
  <c r="A151" i="16" s="1"/>
  <c r="A152" i="16" s="1"/>
  <c r="A153" i="16" s="1"/>
  <c r="A154" i="16" s="1"/>
  <c r="A155" i="16" s="1"/>
  <c r="A156" i="16" s="1"/>
  <c r="A157" i="16" s="1"/>
  <c r="A158" i="16" s="1"/>
  <c r="A159" i="16" s="1"/>
  <c r="A160" i="16" s="1"/>
  <c r="A161" i="16" s="1"/>
  <c r="A162" i="16" s="1"/>
  <c r="A163" i="16" s="1"/>
  <c r="A164" i="16" s="1"/>
  <c r="A165" i="16" s="1"/>
  <c r="A166" i="16" s="1"/>
  <c r="A167" i="16" s="1"/>
  <c r="A168" i="16" s="1"/>
  <c r="A169" i="16" s="1"/>
  <c r="A170" i="16" s="1"/>
  <c r="A171" i="16" s="1"/>
  <c r="A172" i="16" s="1"/>
  <c r="A173" i="16" s="1"/>
  <c r="A174" i="16" s="1"/>
  <c r="A175" i="16" s="1"/>
  <c r="A176" i="16" s="1"/>
  <c r="A177" i="16" s="1"/>
  <c r="A178" i="16" s="1"/>
  <c r="A179" i="16" s="1"/>
  <c r="A180" i="16" s="1"/>
  <c r="A181" i="16" s="1"/>
  <c r="A182" i="16" s="1"/>
  <c r="A183" i="16" s="1"/>
  <c r="A184" i="16" s="1"/>
  <c r="A185" i="16" s="1"/>
  <c r="A186" i="16" s="1"/>
  <c r="A187" i="16" s="1"/>
  <c r="A188" i="16" s="1"/>
  <c r="A189" i="16" s="1"/>
  <c r="A190" i="16" s="1"/>
  <c r="A191" i="16" s="1"/>
  <c r="A192" i="16" s="1"/>
  <c r="A193" i="16" s="1"/>
  <c r="A194" i="16" s="1"/>
  <c r="A195" i="16" s="1"/>
  <c r="A196" i="16" s="1"/>
  <c r="A197" i="16" s="1"/>
  <c r="A198" i="16" s="1"/>
  <c r="A199" i="16" s="1"/>
  <c r="A200" i="16" s="1"/>
  <c r="A201" i="16" s="1"/>
  <c r="A202" i="16" s="1"/>
  <c r="A203" i="16" s="1"/>
  <c r="A204" i="16" s="1"/>
  <c r="A205" i="16" s="1"/>
  <c r="A206" i="16" s="1"/>
  <c r="A207" i="16" s="1"/>
  <c r="A208" i="16" s="1"/>
  <c r="A209" i="16" s="1"/>
  <c r="A210" i="16" s="1"/>
  <c r="A211" i="16" s="1"/>
  <c r="A212" i="16" s="1"/>
  <c r="A213" i="16" s="1"/>
  <c r="A214" i="16" s="1"/>
  <c r="A215" i="16" s="1"/>
  <c r="A1" i="16"/>
  <c r="A7" i="14"/>
  <c r="A8" i="14" s="1"/>
  <c r="A9" i="14" s="1"/>
  <c r="A10" i="14" s="1"/>
  <c r="A11" i="14" s="1"/>
  <c r="A12" i="14" s="1"/>
  <c r="A13" i="14" s="1"/>
  <c r="A14" i="14" s="1"/>
  <c r="A15" i="14" s="1"/>
  <c r="A16" i="14" s="1"/>
  <c r="A17" i="14" s="1"/>
  <c r="A18" i="14" s="1"/>
  <c r="A19" i="14" s="1"/>
  <c r="A20" i="14" s="1"/>
  <c r="A21" i="14" s="1"/>
  <c r="A22" i="14" s="1"/>
  <c r="A23" i="14" s="1"/>
  <c r="A24" i="14" s="1"/>
  <c r="A25" i="14" s="1"/>
  <c r="A26" i="14" s="1"/>
  <c r="A27" i="14" s="1"/>
  <c r="A28" i="14" s="1"/>
  <c r="A29" i="14" s="1"/>
  <c r="A30" i="14" s="1"/>
  <c r="A31" i="14" s="1"/>
  <c r="A32" i="14" s="1"/>
  <c r="A33" i="14" s="1"/>
  <c r="A34" i="14" s="1"/>
  <c r="A35" i="14" s="1"/>
  <c r="A36" i="14" s="1"/>
  <c r="A37" i="14" s="1"/>
  <c r="A38" i="14" s="1"/>
  <c r="A39" i="14" s="1"/>
  <c r="A40" i="14" s="1"/>
  <c r="A41" i="14" s="1"/>
  <c r="A42" i="14" s="1"/>
  <c r="A43" i="14" s="1"/>
  <c r="A44" i="14" s="1"/>
  <c r="A45" i="14" s="1"/>
  <c r="A46" i="14" s="1"/>
  <c r="A47" i="14" s="1"/>
  <c r="A48" i="14" s="1"/>
  <c r="A49" i="14" s="1"/>
  <c r="A50" i="14" s="1"/>
  <c r="A51" i="14" s="1"/>
  <c r="A52" i="14" s="1"/>
  <c r="A53" i="14" s="1"/>
  <c r="A54" i="14" s="1"/>
  <c r="A55" i="14" s="1"/>
  <c r="A56" i="14" s="1"/>
  <c r="A57" i="14" s="1"/>
  <c r="A58" i="14" s="1"/>
  <c r="A59" i="14" s="1"/>
  <c r="A60" i="14" s="1"/>
  <c r="A61" i="14" s="1"/>
  <c r="A62" i="14" s="1"/>
  <c r="A63" i="14" s="1"/>
  <c r="A64" i="14" s="1"/>
  <c r="A65" i="14" s="1"/>
  <c r="A66" i="14" s="1"/>
  <c r="A67" i="14" s="1"/>
  <c r="A68" i="14" s="1"/>
  <c r="A69" i="14" s="1"/>
  <c r="A70" i="14" s="1"/>
  <c r="A71" i="14" s="1"/>
  <c r="A72" i="14" s="1"/>
  <c r="A73" i="14" s="1"/>
  <c r="A74" i="14" s="1"/>
  <c r="A75" i="14" s="1"/>
  <c r="A76" i="14" s="1"/>
  <c r="A77" i="14" s="1"/>
  <c r="A78" i="14" s="1"/>
  <c r="A79" i="14" s="1"/>
  <c r="A80" i="14" s="1"/>
  <c r="A81" i="14" s="1"/>
  <c r="A82" i="14" s="1"/>
  <c r="A83" i="14" s="1"/>
  <c r="A84" i="14" s="1"/>
  <c r="A85" i="14" s="1"/>
  <c r="A86" i="14" s="1"/>
  <c r="A87" i="14" s="1"/>
  <c r="A88" i="14" s="1"/>
  <c r="A89" i="14" s="1"/>
  <c r="A90" i="14" s="1"/>
  <c r="A91" i="14" s="1"/>
  <c r="A92" i="14" s="1"/>
  <c r="A93" i="14" s="1"/>
  <c r="A94" i="14" s="1"/>
  <c r="A95" i="14" s="1"/>
  <c r="A96" i="14" s="1"/>
  <c r="A97" i="14" s="1"/>
  <c r="A98" i="14" s="1"/>
  <c r="A99" i="14" s="1"/>
  <c r="A100" i="14" s="1"/>
  <c r="A101" i="14" s="1"/>
  <c r="A102" i="14" s="1"/>
  <c r="A103" i="14" s="1"/>
  <c r="A104" i="14" s="1"/>
  <c r="A105" i="14" s="1"/>
  <c r="A106" i="14" s="1"/>
  <c r="A107" i="14" s="1"/>
  <c r="A108" i="14" s="1"/>
  <c r="A109" i="14" s="1"/>
  <c r="A110" i="14" s="1"/>
  <c r="A111" i="14" s="1"/>
  <c r="A112" i="14" s="1"/>
  <c r="A113" i="14" s="1"/>
  <c r="A114" i="14" s="1"/>
  <c r="A115" i="14" s="1"/>
  <c r="A116" i="14" s="1"/>
  <c r="A117" i="14" s="1"/>
  <c r="A118" i="14" s="1"/>
  <c r="A119" i="14" s="1"/>
  <c r="A120" i="14" s="1"/>
  <c r="A121" i="14" s="1"/>
  <c r="A122" i="14" s="1"/>
  <c r="A123" i="14" s="1"/>
  <c r="A124" i="14" s="1"/>
  <c r="A125" i="14" s="1"/>
  <c r="A126" i="14" s="1"/>
  <c r="A127" i="14" s="1"/>
  <c r="A128" i="14" s="1"/>
  <c r="A129" i="14" s="1"/>
  <c r="A130" i="14" s="1"/>
  <c r="A131" i="14" s="1"/>
  <c r="A132" i="14" s="1"/>
  <c r="A133" i="14" s="1"/>
  <c r="A134" i="14" s="1"/>
  <c r="A135" i="14" s="1"/>
  <c r="A136" i="14" s="1"/>
  <c r="A137" i="14" s="1"/>
  <c r="A138" i="14" s="1"/>
  <c r="A139" i="14" s="1"/>
  <c r="A140" i="14" s="1"/>
  <c r="A141" i="14" s="1"/>
  <c r="A142" i="14" s="1"/>
  <c r="A143" i="14" s="1"/>
  <c r="A144" i="14" s="1"/>
  <c r="A145" i="14" s="1"/>
  <c r="A146" i="14" s="1"/>
  <c r="A147" i="14" s="1"/>
  <c r="A148" i="14" s="1"/>
  <c r="A149" i="14" s="1"/>
  <c r="A150" i="14" s="1"/>
  <c r="A151" i="14" s="1"/>
  <c r="A152" i="14" s="1"/>
  <c r="A153" i="14" s="1"/>
  <c r="A154" i="14" s="1"/>
  <c r="A155" i="14" s="1"/>
  <c r="A156" i="14" s="1"/>
  <c r="A157" i="14" s="1"/>
  <c r="A158" i="14" s="1"/>
  <c r="A159" i="14" s="1"/>
  <c r="A160" i="14" s="1"/>
  <c r="A161" i="14" s="1"/>
  <c r="A162" i="14" s="1"/>
  <c r="A163" i="14" s="1"/>
  <c r="A164" i="14" s="1"/>
  <c r="A165" i="14" s="1"/>
  <c r="A166" i="14" s="1"/>
  <c r="A167" i="14" s="1"/>
  <c r="A168" i="14" s="1"/>
  <c r="A169" i="14" s="1"/>
  <c r="A170" i="14" s="1"/>
  <c r="A171" i="14" s="1"/>
  <c r="A172" i="14" s="1"/>
  <c r="A173" i="14" s="1"/>
  <c r="A174" i="14" s="1"/>
  <c r="A175" i="14" s="1"/>
  <c r="A176" i="14" s="1"/>
  <c r="A177" i="14" s="1"/>
  <c r="A178" i="14" s="1"/>
  <c r="A179" i="14" s="1"/>
  <c r="A180" i="14" s="1"/>
  <c r="A181" i="14" s="1"/>
  <c r="A182" i="14" s="1"/>
  <c r="A183" i="14" s="1"/>
  <c r="A184" i="14" s="1"/>
  <c r="A185" i="14" s="1"/>
  <c r="A186" i="14" s="1"/>
  <c r="A187" i="14" s="1"/>
  <c r="A188" i="14" s="1"/>
  <c r="A189" i="14" s="1"/>
  <c r="A190" i="14" s="1"/>
  <c r="A191" i="14" s="1"/>
  <c r="A192" i="14" s="1"/>
  <c r="A193" i="14" s="1"/>
  <c r="A194" i="14" s="1"/>
  <c r="A195" i="14" s="1"/>
  <c r="A196" i="14" s="1"/>
  <c r="A197" i="14" s="1"/>
  <c r="A198" i="14" s="1"/>
  <c r="A199" i="14" s="1"/>
  <c r="A200" i="14" s="1"/>
  <c r="A201" i="14" s="1"/>
  <c r="A202" i="14" s="1"/>
  <c r="A203" i="14" s="1"/>
  <c r="A204" i="14" s="1"/>
  <c r="A205" i="14" s="1"/>
  <c r="A206" i="14" s="1"/>
  <c r="A207" i="14" s="1"/>
  <c r="A208" i="14" s="1"/>
  <c r="A209" i="14" s="1"/>
  <c r="A210" i="14" s="1"/>
  <c r="A211" i="14" s="1"/>
  <c r="A212" i="14" s="1"/>
  <c r="A213" i="14" s="1"/>
  <c r="A214" i="14" s="1"/>
  <c r="A215" i="14" s="1"/>
  <c r="A216" i="14" s="1"/>
  <c r="A217" i="14" s="1"/>
  <c r="A218" i="14" s="1"/>
  <c r="A219" i="14" s="1"/>
  <c r="A220" i="14" s="1"/>
  <c r="A221" i="14" s="1"/>
  <c r="A222" i="14" s="1"/>
  <c r="A223" i="14" s="1"/>
  <c r="A224" i="14" s="1"/>
  <c r="A225" i="14" s="1"/>
  <c r="A226" i="14" s="1"/>
  <c r="A227" i="14" s="1"/>
  <c r="A1" i="14"/>
  <c r="A6" i="12"/>
  <c r="A7" i="12" s="1"/>
  <c r="A8" i="12" s="1"/>
  <c r="A9" i="12" s="1"/>
  <c r="A10" i="12" s="1"/>
  <c r="A11" i="12" s="1"/>
  <c r="A12" i="12" s="1"/>
  <c r="A13" i="12" s="1"/>
  <c r="A14" i="12" s="1"/>
  <c r="A15" i="12" s="1"/>
  <c r="A16" i="12" s="1"/>
  <c r="A17" i="12" s="1"/>
  <c r="A18" i="12" s="1"/>
  <c r="A19" i="12" s="1"/>
  <c r="A20" i="12" s="1"/>
  <c r="A21" i="12" s="1"/>
  <c r="A22" i="12" s="1"/>
  <c r="A23" i="12" s="1"/>
  <c r="A24" i="12" s="1"/>
  <c r="A25" i="12" s="1"/>
  <c r="A26" i="12" s="1"/>
  <c r="A27" i="12" s="1"/>
  <c r="A28" i="12" s="1"/>
  <c r="A29" i="12" s="1"/>
  <c r="A30" i="12" s="1"/>
  <c r="A31" i="12" s="1"/>
  <c r="A32" i="12" s="1"/>
  <c r="A33" i="12" s="1"/>
  <c r="A34" i="12" s="1"/>
  <c r="A35" i="12" s="1"/>
  <c r="A1" i="12"/>
  <c r="A9" i="17" l="1"/>
  <c r="A141" i="24"/>
  <c r="A142" i="24" s="1"/>
  <c r="A123" i="21"/>
  <c r="A124" i="21" s="1"/>
  <c r="A125" i="21" s="1"/>
  <c r="A126" i="21" s="1"/>
  <c r="A127" i="21" s="1"/>
  <c r="A128" i="21" s="1"/>
  <c r="A129" i="21" s="1"/>
  <c r="A130" i="21" s="1"/>
  <c r="A131" i="21" s="1"/>
  <c r="A132" i="21" s="1"/>
  <c r="A133" i="21" s="1"/>
  <c r="A134" i="21" s="1"/>
  <c r="A135" i="21" s="1"/>
  <c r="A136" i="21" s="1"/>
  <c r="A137" i="21" s="1"/>
  <c r="A138" i="21" s="1"/>
  <c r="A139" i="21" s="1"/>
  <c r="A140" i="21" s="1"/>
  <c r="A141" i="21" s="1"/>
  <c r="A142" i="21" s="1"/>
  <c r="A143" i="21" s="1"/>
  <c r="A144" i="21" s="1"/>
  <c r="A145" i="21" s="1"/>
  <c r="A146" i="21" s="1"/>
  <c r="A147" i="21" s="1"/>
  <c r="A148" i="21" s="1"/>
  <c r="A149" i="21" s="1"/>
  <c r="A150" i="21" s="1"/>
  <c r="A151" i="21" s="1"/>
  <c r="A152" i="21" s="1"/>
  <c r="A153" i="21" s="1"/>
  <c r="A154" i="21" s="1"/>
  <c r="A155" i="21" s="1"/>
  <c r="A156" i="21" s="1"/>
  <c r="A157" i="21" s="1"/>
  <c r="A158" i="21" s="1"/>
  <c r="A159" i="21" s="1"/>
  <c r="A160" i="21" s="1"/>
  <c r="A161" i="21" s="1"/>
  <c r="A162" i="21" s="1"/>
  <c r="A163" i="21" s="1"/>
  <c r="A164" i="21" s="1"/>
  <c r="A165" i="21" s="1"/>
  <c r="A166" i="21" s="1"/>
  <c r="A167" i="21" s="1"/>
  <c r="A168" i="21" s="1"/>
  <c r="A169" i="21" s="1"/>
  <c r="A170" i="21" s="1"/>
  <c r="A171" i="21" s="1"/>
  <c r="A172" i="21" s="1"/>
  <c r="A173" i="21" s="1"/>
  <c r="A174" i="21" s="1"/>
  <c r="A175" i="21" s="1"/>
  <c r="A176" i="21" s="1"/>
  <c r="A177" i="21" s="1"/>
  <c r="A178" i="21" s="1"/>
  <c r="A179" i="21" s="1"/>
  <c r="A180" i="21" s="1"/>
  <c r="A181" i="21" s="1"/>
  <c r="A182" i="21" s="1"/>
  <c r="A183" i="21" s="1"/>
  <c r="A184" i="21" s="1"/>
  <c r="A185" i="21" s="1"/>
  <c r="A186" i="21" s="1"/>
  <c r="A187" i="21" s="1"/>
  <c r="A188" i="21" s="1"/>
  <c r="A189" i="21" s="1"/>
  <c r="A190" i="21" s="1"/>
  <c r="A191" i="21" s="1"/>
  <c r="A192" i="21" s="1"/>
  <c r="A193" i="21" s="1"/>
  <c r="A194" i="21" s="1"/>
  <c r="A195" i="21" s="1"/>
  <c r="A196" i="21" s="1"/>
  <c r="A197" i="21" s="1"/>
  <c r="A198" i="21" s="1"/>
  <c r="A199" i="21" s="1"/>
  <c r="A200" i="21" s="1"/>
  <c r="A201" i="21" s="1"/>
  <c r="A202" i="21" s="1"/>
  <c r="A203" i="21" s="1"/>
  <c r="A204" i="21" s="1"/>
  <c r="A205" i="21" s="1"/>
  <c r="A206" i="21" s="1"/>
  <c r="A207" i="21" s="1"/>
  <c r="A208" i="21" s="1"/>
  <c r="A209" i="21" s="1"/>
  <c r="A210" i="21" s="1"/>
  <c r="A211" i="21" s="1"/>
  <c r="A212" i="21" s="1"/>
  <c r="A213" i="21" s="1"/>
  <c r="A214" i="21" s="1"/>
  <c r="A215" i="21" s="1"/>
  <c r="A216" i="21" s="1"/>
  <c r="A217" i="21" s="1"/>
  <c r="A218" i="21" s="1"/>
  <c r="A219" i="21" s="1"/>
  <c r="A220" i="21" s="1"/>
  <c r="A221" i="21" s="1"/>
  <c r="A222" i="21" s="1"/>
  <c r="A223" i="21" s="1"/>
  <c r="A224" i="21" s="1"/>
  <c r="A225" i="21" s="1"/>
  <c r="A226" i="21" s="1"/>
  <c r="A227" i="21" s="1"/>
  <c r="A228" i="21" s="1"/>
  <c r="A229" i="21" s="1"/>
  <c r="A230" i="21" s="1"/>
  <c r="A231" i="21" s="1"/>
  <c r="A232" i="21" s="1"/>
  <c r="A233" i="21" s="1"/>
  <c r="A234" i="21" s="1"/>
  <c r="A235" i="21" s="1"/>
  <c r="A236" i="21" s="1"/>
  <c r="A237" i="21" s="1"/>
  <c r="A238" i="21" s="1"/>
  <c r="A239" i="21" s="1"/>
  <c r="A240" i="21" s="1"/>
  <c r="A241" i="21" s="1"/>
  <c r="A242" i="21" s="1"/>
  <c r="A243" i="21" s="1"/>
  <c r="A244" i="21" s="1"/>
  <c r="A245" i="21" s="1"/>
  <c r="A246" i="21" s="1"/>
  <c r="A247" i="21" s="1"/>
  <c r="A248" i="21" s="1"/>
  <c r="A249" i="21" s="1"/>
  <c r="A250" i="21" s="1"/>
  <c r="A251" i="21" s="1"/>
  <c r="A252" i="21" s="1"/>
  <c r="A253" i="21" s="1"/>
  <c r="A254" i="21" s="1"/>
  <c r="A255" i="21" s="1"/>
  <c r="A256" i="21" s="1"/>
  <c r="A257" i="21" s="1"/>
  <c r="A258" i="21" s="1"/>
  <c r="A259" i="21" s="1"/>
  <c r="A260" i="21" s="1"/>
  <c r="A261" i="21" s="1"/>
  <c r="A262" i="21" s="1"/>
  <c r="A263" i="21" s="1"/>
  <c r="A264" i="21" s="1"/>
  <c r="A265" i="21" s="1"/>
  <c r="A266" i="21" s="1"/>
  <c r="A267" i="21" s="1"/>
  <c r="A268" i="21" s="1"/>
  <c r="A269" i="21" s="1"/>
  <c r="A270" i="21" s="1"/>
  <c r="A271" i="21" s="1"/>
  <c r="A272" i="21" s="1"/>
  <c r="A273" i="21" s="1"/>
  <c r="A274" i="21" s="1"/>
  <c r="A275" i="21" s="1"/>
  <c r="A276" i="21" s="1"/>
  <c r="A277" i="21" s="1"/>
  <c r="A278" i="21" s="1"/>
  <c r="A279" i="21" s="1"/>
  <c r="A280" i="21" s="1"/>
  <c r="A281" i="21" s="1"/>
  <c r="A282" i="21" s="1"/>
  <c r="A283" i="21" s="1"/>
  <c r="A284" i="21" s="1"/>
  <c r="A285" i="21" s="1"/>
  <c r="A286" i="21" s="1"/>
  <c r="A287" i="21" s="1"/>
  <c r="A288" i="21" s="1"/>
  <c r="A289" i="21" s="1"/>
  <c r="A290" i="21" s="1"/>
  <c r="A291" i="21" s="1"/>
  <c r="A292" i="21" s="1"/>
  <c r="A293" i="21" s="1"/>
  <c r="A294" i="21" s="1"/>
  <c r="A295" i="21" s="1"/>
  <c r="A296" i="21" s="1"/>
  <c r="A297" i="21" s="1"/>
  <c r="A298" i="21" s="1"/>
  <c r="A299" i="21" s="1"/>
  <c r="A300" i="21" s="1"/>
  <c r="A301" i="21" s="1"/>
  <c r="A302" i="21" s="1"/>
  <c r="A303" i="21" s="1"/>
  <c r="A304" i="21" s="1"/>
  <c r="A305" i="21" s="1"/>
  <c r="A306" i="21" s="1"/>
  <c r="A307" i="21" s="1"/>
  <c r="A308" i="21" s="1"/>
  <c r="A309" i="21" s="1"/>
  <c r="A310" i="21" s="1"/>
  <c r="A311" i="21" s="1"/>
  <c r="A312" i="21" s="1"/>
  <c r="A313" i="21" s="1"/>
  <c r="A314" i="21" s="1"/>
  <c r="A315" i="21" s="1"/>
  <c r="A316" i="21" s="1"/>
  <c r="A317" i="21" s="1"/>
  <c r="A318" i="21" s="1"/>
  <c r="A319" i="21" s="1"/>
  <c r="A320" i="21" s="1"/>
  <c r="A321" i="21" s="1"/>
  <c r="A322" i="21" s="1"/>
  <c r="A323" i="21" s="1"/>
  <c r="A324" i="21" s="1"/>
  <c r="A325" i="21" s="1"/>
  <c r="A326" i="21" s="1"/>
  <c r="A327" i="21" s="1"/>
  <c r="A328" i="21" s="1"/>
  <c r="A329" i="21" s="1"/>
  <c r="A330" i="21" s="1"/>
  <c r="A331" i="21" s="1"/>
  <c r="A332" i="21" s="1"/>
  <c r="A333" i="21" s="1"/>
  <c r="A334" i="21" s="1"/>
  <c r="A335" i="21" s="1"/>
  <c r="A336" i="21" s="1"/>
  <c r="A337" i="21" s="1"/>
  <c r="A338" i="21" s="1"/>
  <c r="A339" i="21" s="1"/>
  <c r="A340" i="21" s="1"/>
  <c r="A341" i="21" s="1"/>
  <c r="A342" i="21" s="1"/>
  <c r="A343" i="21" s="1"/>
  <c r="A344" i="21" s="1"/>
  <c r="A345" i="21" s="1"/>
  <c r="A346" i="21" s="1"/>
  <c r="A347" i="21" s="1"/>
  <c r="A348" i="21" s="1"/>
  <c r="A349" i="21" s="1"/>
  <c r="A350" i="21" s="1"/>
  <c r="A351" i="21" s="1"/>
  <c r="A352" i="21" s="1"/>
  <c r="A353" i="21" s="1"/>
  <c r="A354" i="21" s="1"/>
  <c r="A355" i="21" s="1"/>
  <c r="A356" i="21" s="1"/>
  <c r="A357" i="21" s="1"/>
  <c r="A358" i="21" s="1"/>
  <c r="A359" i="21" s="1"/>
  <c r="A360" i="21" s="1"/>
  <c r="A361" i="21" s="1"/>
  <c r="A362" i="21" s="1"/>
  <c r="A363" i="21" s="1"/>
  <c r="A364" i="21" s="1"/>
  <c r="A365" i="21" s="1"/>
  <c r="A366" i="21" s="1"/>
  <c r="A367" i="21" s="1"/>
  <c r="A368" i="21" s="1"/>
  <c r="A369" i="21" s="1"/>
  <c r="A370" i="21" s="1"/>
  <c r="A371" i="21" s="1"/>
  <c r="A372" i="21" s="1"/>
  <c r="A373" i="21" s="1"/>
  <c r="A374" i="21" s="1"/>
  <c r="A375" i="21" s="1"/>
  <c r="A376" i="21" s="1"/>
  <c r="A377" i="21" s="1"/>
  <c r="A378" i="21" s="1"/>
  <c r="A379" i="21" s="1"/>
  <c r="A380" i="21" s="1"/>
  <c r="A381" i="21" s="1"/>
  <c r="A382" i="21" s="1"/>
  <c r="A383" i="21" s="1"/>
  <c r="A384" i="21" s="1"/>
  <c r="A385" i="21" s="1"/>
  <c r="A386" i="21" s="1"/>
  <c r="A387" i="21" s="1"/>
  <c r="A388" i="21" s="1"/>
  <c r="A389" i="21" s="1"/>
  <c r="A390" i="21" s="1"/>
  <c r="A391" i="21" s="1"/>
  <c r="A392" i="21" s="1"/>
  <c r="A393" i="21" s="1"/>
  <c r="A394" i="21" s="1"/>
  <c r="A395" i="21" s="1"/>
  <c r="A396" i="21" s="1"/>
  <c r="A397" i="21" s="1"/>
  <c r="A398" i="21" s="1"/>
  <c r="A399" i="21" s="1"/>
  <c r="A400" i="21" s="1"/>
  <c r="A401" i="21" s="1"/>
  <c r="A402" i="21" s="1"/>
  <c r="A403" i="21" s="1"/>
  <c r="A404" i="21" s="1"/>
  <c r="A405" i="21" s="1"/>
  <c r="A406" i="21" s="1"/>
  <c r="A407" i="21" s="1"/>
  <c r="A408" i="21" s="1"/>
  <c r="A409" i="21" s="1"/>
  <c r="A410" i="21" s="1"/>
  <c r="A411" i="21" s="1"/>
  <c r="A412" i="21" s="1"/>
  <c r="A413" i="21" s="1"/>
  <c r="A414" i="21" s="1"/>
  <c r="A415" i="21" s="1"/>
  <c r="A416" i="21" s="1"/>
  <c r="A417" i="21" s="1"/>
  <c r="A418" i="21" s="1"/>
  <c r="A419" i="21" s="1"/>
  <c r="A420" i="21" s="1"/>
  <c r="A421" i="21" s="1"/>
  <c r="A422" i="21" s="1"/>
  <c r="A423" i="21" s="1"/>
  <c r="A424" i="21" s="1"/>
  <c r="A425" i="21" s="1"/>
  <c r="A426" i="21" s="1"/>
  <c r="A427" i="21" s="1"/>
  <c r="A428" i="21" s="1"/>
  <c r="A429" i="21" s="1"/>
  <c r="A430" i="21" s="1"/>
  <c r="A431" i="21" s="1"/>
  <c r="A432" i="21" s="1"/>
  <c r="A433" i="21" s="1"/>
  <c r="A434" i="21" s="1"/>
  <c r="A435" i="21" s="1"/>
  <c r="A436" i="21" s="1"/>
  <c r="A437" i="21" s="1"/>
  <c r="A438" i="21" s="1"/>
  <c r="A439" i="21" s="1"/>
  <c r="A440" i="21" s="1"/>
  <c r="A441" i="21" s="1"/>
  <c r="A442" i="21" s="1"/>
  <c r="A443" i="21" s="1"/>
  <c r="A444" i="21" s="1"/>
  <c r="A445" i="21" s="1"/>
  <c r="A446" i="21" s="1"/>
  <c r="A447" i="21" s="1"/>
  <c r="A448" i="21" s="1"/>
  <c r="A449" i="21" s="1"/>
  <c r="A450" i="21" s="1"/>
  <c r="A451" i="21" s="1"/>
  <c r="A452" i="21" s="1"/>
  <c r="A453" i="21" s="1"/>
  <c r="A454" i="21" s="1"/>
  <c r="A455" i="21" s="1"/>
  <c r="A456" i="21" s="1"/>
  <c r="A457" i="21" s="1"/>
  <c r="A458" i="21" s="1"/>
  <c r="A459" i="21" s="1"/>
  <c r="A460" i="21" s="1"/>
  <c r="A461" i="21" s="1"/>
  <c r="A462" i="21" s="1"/>
  <c r="A463" i="21" s="1"/>
  <c r="A464" i="21" s="1"/>
  <c r="A465" i="21" s="1"/>
  <c r="A466" i="21" s="1"/>
  <c r="A467" i="21" s="1"/>
  <c r="A468" i="21" s="1"/>
  <c r="A469" i="21" s="1"/>
  <c r="A470" i="21" s="1"/>
  <c r="A471" i="21" s="1"/>
  <c r="A472" i="21" s="1"/>
  <c r="A473" i="21" s="1"/>
  <c r="A474" i="21" s="1"/>
  <c r="A475" i="21" s="1"/>
  <c r="A476" i="21" s="1"/>
  <c r="A477" i="21" s="1"/>
  <c r="A478" i="21" s="1"/>
  <c r="A479" i="21" s="1"/>
  <c r="A480" i="21" s="1"/>
  <c r="A481" i="21" s="1"/>
  <c r="A482" i="21" s="1"/>
  <c r="A483" i="21" s="1"/>
  <c r="A484" i="21" s="1"/>
  <c r="A485" i="21" s="1"/>
  <c r="A486" i="21" s="1"/>
  <c r="A487" i="21" s="1"/>
  <c r="A488" i="21" s="1"/>
  <c r="A489" i="21" s="1"/>
  <c r="A490" i="21" s="1"/>
  <c r="A491" i="21" s="1"/>
  <c r="A492" i="21" s="1"/>
  <c r="A493" i="21" s="1"/>
  <c r="A494" i="21" s="1"/>
  <c r="A495" i="21" s="1"/>
  <c r="A496" i="21" s="1"/>
  <c r="A497" i="21" s="1"/>
  <c r="A498" i="21" s="1"/>
  <c r="A499" i="21" s="1"/>
  <c r="A500" i="21" s="1"/>
  <c r="A501" i="21" s="1"/>
  <c r="A502" i="21" s="1"/>
  <c r="A503" i="21" s="1"/>
  <c r="A504" i="21" s="1"/>
  <c r="A505" i="21" s="1"/>
  <c r="A506" i="21" s="1"/>
  <c r="A507" i="21" s="1"/>
  <c r="A508" i="21" s="1"/>
  <c r="A509" i="21" s="1"/>
  <c r="A510" i="21" s="1"/>
  <c r="A511" i="21" s="1"/>
  <c r="A512" i="21" s="1"/>
  <c r="A513" i="21" s="1"/>
  <c r="A514" i="21" s="1"/>
  <c r="A515" i="21" s="1"/>
  <c r="A516" i="21" s="1"/>
  <c r="A517" i="21" s="1"/>
  <c r="A518" i="21" s="1"/>
  <c r="A519" i="21" s="1"/>
  <c r="A520" i="21" s="1"/>
  <c r="A521" i="21" s="1"/>
  <c r="A522" i="21" s="1"/>
  <c r="A523" i="21" s="1"/>
  <c r="A524" i="21" s="1"/>
  <c r="A525" i="21" s="1"/>
  <c r="A526" i="21" s="1"/>
  <c r="A527" i="21" s="1"/>
  <c r="A528" i="21" s="1"/>
  <c r="A529" i="21" s="1"/>
  <c r="A530" i="21" s="1"/>
  <c r="A531" i="21" s="1"/>
  <c r="A532" i="21" s="1"/>
  <c r="A533" i="21" s="1"/>
  <c r="A534" i="21" s="1"/>
  <c r="A535" i="21" s="1"/>
  <c r="A536" i="21" s="1"/>
  <c r="A537" i="21" s="1"/>
  <c r="A538" i="21" s="1"/>
  <c r="A539" i="21" s="1"/>
  <c r="A540" i="21" s="1"/>
  <c r="A541" i="21" s="1"/>
  <c r="A542" i="21" s="1"/>
  <c r="A543" i="21" s="1"/>
  <c r="A544" i="21" s="1"/>
  <c r="A545" i="21" s="1"/>
  <c r="A546" i="21" s="1"/>
  <c r="A547" i="21" s="1"/>
  <c r="A548" i="21" s="1"/>
  <c r="A549" i="21" s="1"/>
  <c r="A550" i="21" s="1"/>
  <c r="A551" i="21" s="1"/>
  <c r="A552" i="21" s="1"/>
  <c r="A553" i="21" s="1"/>
  <c r="A554" i="21" s="1"/>
  <c r="A555" i="21" s="1"/>
  <c r="A556" i="21" s="1"/>
  <c r="A557" i="21" s="1"/>
  <c r="A558" i="21" s="1"/>
  <c r="A559" i="21" s="1"/>
  <c r="A560" i="21" s="1"/>
  <c r="A561" i="21" s="1"/>
  <c r="A562" i="21" s="1"/>
  <c r="A563" i="21" s="1"/>
  <c r="A564" i="21" s="1"/>
  <c r="A565" i="21" s="1"/>
  <c r="A566" i="21" s="1"/>
  <c r="A567" i="21" s="1"/>
  <c r="A568" i="21" s="1"/>
  <c r="A569" i="21" s="1"/>
  <c r="A570" i="21" s="1"/>
  <c r="A571" i="21" s="1"/>
  <c r="A572" i="21" s="1"/>
  <c r="A573" i="21" s="1"/>
  <c r="A574" i="21" s="1"/>
  <c r="A575" i="21" s="1"/>
  <c r="A576" i="21" s="1"/>
  <c r="A577" i="21" s="1"/>
  <c r="A578" i="21" s="1"/>
  <c r="A579" i="21" s="1"/>
  <c r="A580" i="21" s="1"/>
  <c r="A581" i="21" s="1"/>
  <c r="A582" i="21" s="1"/>
  <c r="A583" i="21" s="1"/>
  <c r="A584" i="21" s="1"/>
  <c r="A585" i="21" s="1"/>
  <c r="A586" i="21" s="1"/>
  <c r="A587" i="21" s="1"/>
  <c r="A588" i="21" s="1"/>
  <c r="A589" i="21" s="1"/>
  <c r="A590" i="21" s="1"/>
  <c r="A591" i="21" s="1"/>
  <c r="A592" i="21" s="1"/>
  <c r="A593" i="21" s="1"/>
  <c r="A594" i="21" s="1"/>
  <c r="A595" i="21" s="1"/>
  <c r="A596" i="21" s="1"/>
  <c r="A597" i="21" s="1"/>
  <c r="A598" i="21" s="1"/>
  <c r="A599" i="21" s="1"/>
  <c r="A600" i="21" s="1"/>
  <c r="A601" i="21" s="1"/>
  <c r="A602" i="21" s="1"/>
  <c r="A603" i="21" s="1"/>
  <c r="A604" i="21" s="1"/>
  <c r="A605" i="21" s="1"/>
  <c r="A606" i="21" s="1"/>
  <c r="A607" i="21" s="1"/>
  <c r="A608" i="21" s="1"/>
  <c r="A609" i="21" s="1"/>
  <c r="A610" i="21" s="1"/>
  <c r="B6" i="11"/>
  <c r="B7" i="11" s="1"/>
  <c r="B8" i="11" s="1"/>
  <c r="B9" i="11" s="1"/>
  <c r="B10" i="11" s="1"/>
  <c r="B11" i="11" s="1"/>
  <c r="B12" i="11" s="1"/>
  <c r="B13" i="11" s="1"/>
  <c r="B14" i="11" s="1"/>
  <c r="B15" i="11" s="1"/>
  <c r="B16" i="11" s="1"/>
  <c r="B17" i="11" s="1"/>
  <c r="B18" i="11" s="1"/>
  <c r="B19" i="11" s="1"/>
  <c r="B20" i="11" s="1"/>
  <c r="B21" i="11" s="1"/>
  <c r="B22" i="11" s="1"/>
  <c r="B23" i="11" s="1"/>
  <c r="B24" i="11" s="1"/>
  <c r="B25" i="11" s="1"/>
  <c r="B26" i="11" s="1"/>
  <c r="B27" i="11" s="1"/>
  <c r="B28" i="11" s="1"/>
  <c r="B29" i="11" s="1"/>
  <c r="B30" i="11" s="1"/>
  <c r="A1" i="11"/>
  <c r="A6" i="10"/>
  <c r="A7" i="10" s="1"/>
  <c r="A8" i="10" s="1"/>
  <c r="A9" i="10" s="1"/>
  <c r="A10" i="10" s="1"/>
  <c r="A11" i="10" s="1"/>
  <c r="A12" i="10" s="1"/>
  <c r="A13" i="10" s="1"/>
  <c r="A14" i="10" s="1"/>
  <c r="A15" i="10" s="1"/>
  <c r="A16" i="10" s="1"/>
  <c r="A1" i="10"/>
  <c r="A10" i="17" l="1"/>
  <c r="A11" i="17" s="1"/>
  <c r="A143" i="24"/>
  <c r="A144" i="24" s="1"/>
  <c r="A145" i="24" s="1"/>
  <c r="A146" i="24" s="1"/>
  <c r="A147" i="24" s="1"/>
  <c r="A148" i="24" s="1"/>
  <c r="A149" i="24" s="1"/>
  <c r="A150" i="24" s="1"/>
  <c r="A12" i="7"/>
  <c r="A1" i="7"/>
  <c r="A12" i="17" l="1"/>
  <c r="A13" i="17" s="1"/>
  <c r="A14" i="17" s="1"/>
  <c r="A15" i="17" s="1"/>
  <c r="A151" i="24"/>
  <c r="A152" i="24" s="1"/>
  <c r="A153" i="24" s="1"/>
  <c r="A154" i="24" s="1"/>
  <c r="A155" i="24" s="1"/>
  <c r="A156" i="24" s="1"/>
  <c r="A157" i="24" s="1"/>
  <c r="A158" i="24" s="1"/>
  <c r="A159" i="24" s="1"/>
  <c r="A160" i="24" s="1"/>
  <c r="A161" i="24" s="1"/>
  <c r="A162" i="24" s="1"/>
  <c r="A16" i="17" l="1"/>
  <c r="A17" i="17" s="1"/>
  <c r="A18" i="17" s="1"/>
  <c r="A19" i="17" s="1"/>
  <c r="A20" i="17" s="1"/>
  <c r="A21" i="17" s="1"/>
  <c r="A22" i="17" s="1"/>
  <c r="A23" i="17" s="1"/>
  <c r="A24" i="17" s="1"/>
  <c r="A25" i="17" s="1"/>
  <c r="A26" i="17" s="1"/>
  <c r="A27" i="17" s="1"/>
  <c r="A28" i="17" s="1"/>
  <c r="A29" i="17" s="1"/>
  <c r="A30" i="17" s="1"/>
  <c r="A31" i="17" s="1"/>
  <c r="A32" i="17" s="1"/>
  <c r="A33" i="17" s="1"/>
  <c r="A34" i="17" s="1"/>
  <c r="A35" i="17" s="1"/>
  <c r="A36" i="17" s="1"/>
  <c r="A37" i="17" s="1"/>
  <c r="A38" i="17" s="1"/>
  <c r="A163" i="24"/>
  <c r="A164" i="24" s="1"/>
  <c r="A165" i="24" s="1"/>
  <c r="A166" i="24" s="1"/>
  <c r="A167" i="24" s="1"/>
  <c r="A168" i="24" s="1"/>
  <c r="A169" i="24" s="1"/>
  <c r="A39" i="17" l="1"/>
  <c r="A40" i="17" s="1"/>
  <c r="A41" i="17" s="1"/>
  <c r="A42" i="17" s="1"/>
  <c r="A43" i="17" s="1"/>
  <c r="A44" i="17" s="1"/>
  <c r="A45" i="17" s="1"/>
  <c r="A46" i="17" s="1"/>
  <c r="A50" i="17" s="1"/>
  <c r="A170" i="24"/>
  <c r="A171" i="24" s="1"/>
  <c r="A172" i="24" s="1"/>
  <c r="A173" i="24" s="1"/>
  <c r="A174" i="24" s="1"/>
  <c r="A175" i="24" s="1"/>
  <c r="A176" i="24" s="1"/>
  <c r="A177" i="24" s="1"/>
  <c r="A178" i="24" s="1"/>
  <c r="A179" i="24" s="1"/>
  <c r="A51" i="17" l="1"/>
  <c r="A52" i="17"/>
  <c r="A180" i="24"/>
  <c r="A181" i="24" s="1"/>
  <c r="A182" i="24" s="1"/>
  <c r="A183" i="24" s="1"/>
  <c r="A184" i="24" s="1"/>
  <c r="A185" i="24" s="1"/>
  <c r="A186" i="24" s="1"/>
  <c r="A187" i="24" s="1"/>
  <c r="A188" i="24" s="1"/>
  <c r="A189" i="24" s="1"/>
  <c r="A190" i="24" s="1"/>
  <c r="A191" i="24" s="1"/>
  <c r="A192" i="24" s="1"/>
  <c r="A193" i="24" s="1"/>
  <c r="A194" i="24" s="1"/>
  <c r="A195" i="24" s="1"/>
  <c r="A196" i="24" s="1"/>
  <c r="A197" i="24" s="1"/>
  <c r="A198" i="24" s="1"/>
  <c r="A54" i="17" l="1"/>
  <c r="A53" i="17"/>
  <c r="A199" i="24"/>
  <c r="A200" i="24" s="1"/>
  <c r="A201" i="24" s="1"/>
  <c r="A202" i="24" s="1"/>
  <c r="A203" i="24" s="1"/>
  <c r="A204" i="24" s="1"/>
  <c r="A205" i="24" s="1"/>
  <c r="A206" i="24" s="1"/>
  <c r="A207" i="24" s="1"/>
  <c r="A208" i="24" s="1"/>
  <c r="A209" i="24" s="1"/>
  <c r="A210" i="24" s="1"/>
  <c r="A211" i="24" s="1"/>
  <c r="A212" i="24" s="1"/>
  <c r="A213" i="24" s="1"/>
  <c r="A214" i="24" s="1"/>
  <c r="A215" i="24" s="1"/>
  <c r="A216" i="24" s="1"/>
  <c r="A217" i="24" s="1"/>
  <c r="A218" i="24" s="1"/>
  <c r="A219" i="24" s="1"/>
  <c r="A220" i="24" s="1"/>
  <c r="A221" i="24" s="1"/>
  <c r="A222" i="24" s="1"/>
  <c r="A223" i="24" s="1"/>
  <c r="A224" i="24" s="1"/>
  <c r="A225" i="24" s="1"/>
  <c r="A226" i="24" s="1"/>
  <c r="A227" i="24" s="1"/>
  <c r="A228" i="24" s="1"/>
  <c r="A229" i="24" s="1"/>
  <c r="A230" i="24" s="1"/>
  <c r="A231" i="24" s="1"/>
  <c r="A232" i="24" l="1"/>
  <c r="A233" i="24" s="1"/>
  <c r="A234" i="24" s="1"/>
  <c r="A235" i="24" s="1"/>
  <c r="A236" i="24" s="1"/>
  <c r="A237" i="24" s="1"/>
  <c r="A238" i="24" s="1"/>
  <c r="A239" i="24" s="1"/>
  <c r="A240" i="24" s="1"/>
  <c r="A241" i="24" s="1"/>
  <c r="A242" i="24" s="1"/>
  <c r="A243" i="24" s="1"/>
  <c r="A244" i="24" s="1"/>
  <c r="A245" i="24" s="1"/>
  <c r="A246" i="24" s="1"/>
  <c r="A247" i="24" s="1"/>
  <c r="A248" i="24" s="1"/>
  <c r="A249" i="24" s="1"/>
  <c r="A250" i="24" s="1"/>
  <c r="A251" i="24" s="1"/>
  <c r="A252" i="24" s="1"/>
  <c r="A253" i="24" s="1"/>
  <c r="A254" i="24" s="1"/>
  <c r="A255" i="24" s="1"/>
  <c r="A256" i="24" s="1"/>
  <c r="A257" i="24" s="1"/>
  <c r="A258" i="24" s="1"/>
  <c r="A259" i="24" s="1"/>
  <c r="A260" i="24" s="1"/>
  <c r="A261" i="24" s="1"/>
  <c r="A262" i="24" s="1"/>
  <c r="A263" i="24" s="1"/>
  <c r="A264" i="24" s="1"/>
  <c r="A265" i="24" s="1"/>
  <c r="A266" i="24" s="1"/>
  <c r="A267" i="24" s="1"/>
  <c r="A268" i="24" s="1"/>
  <c r="A269" i="24" s="1"/>
  <c r="A270" i="24" s="1"/>
  <c r="A271" i="24" s="1"/>
  <c r="A272" i="24" s="1"/>
  <c r="A273" i="24" s="1"/>
</calcChain>
</file>

<file path=xl/sharedStrings.xml><?xml version="1.0" encoding="utf-8"?>
<sst xmlns="http://schemas.openxmlformats.org/spreadsheetml/2006/main" count="19398" uniqueCount="3047">
  <si>
    <t>表紙</t>
    <rPh sb="0" eb="2">
      <t>ヒョ</t>
    </rPh>
    <phoneticPr fontId="1"/>
  </si>
  <si>
    <t>■目次</t>
    <rPh sb="1" eb="3">
      <t>モ</t>
    </rPh>
    <phoneticPr fontId="1"/>
  </si>
  <si>
    <t>プロセッサ</t>
    <phoneticPr fontId="1"/>
  </si>
  <si>
    <t>No.</t>
    <phoneticPr fontId="1"/>
  </si>
  <si>
    <t>項目</t>
    <rPh sb="0" eb="2">
      <t>コウモ</t>
    </rPh>
    <phoneticPr fontId="1"/>
  </si>
  <si>
    <t>備考</t>
    <rPh sb="0" eb="2">
      <t>ビコ</t>
    </rPh>
    <phoneticPr fontId="1"/>
  </si>
  <si>
    <t>詳細オプション</t>
    <rPh sb="0" eb="2">
      <t>ショウサ</t>
    </rPh>
    <phoneticPr fontId="1"/>
  </si>
  <si>
    <t>■</t>
    <phoneticPr fontId="1"/>
  </si>
  <si>
    <t>□</t>
    <phoneticPr fontId="1"/>
  </si>
  <si>
    <t>●</t>
    <phoneticPr fontId="1"/>
  </si>
  <si>
    <t>○</t>
    <phoneticPr fontId="1"/>
  </si>
  <si>
    <t>カスタム</t>
    <phoneticPr fontId="1"/>
  </si>
  <si>
    <t>ファイル名</t>
    <phoneticPr fontId="1"/>
  </si>
  <si>
    <t>詳細オプション</t>
    <rPh sb="0" eb="1">
      <t>ショウサ</t>
    </rPh>
    <phoneticPr fontId="1"/>
  </si>
  <si>
    <t>初期値</t>
    <rPh sb="0" eb="2">
      <t>シ</t>
    </rPh>
    <rPh sb="2" eb="3">
      <t>アタ</t>
    </rPh>
    <phoneticPr fontId="1"/>
  </si>
  <si>
    <t>名前</t>
    <rPh sb="0" eb="2">
      <t>ナマ</t>
    </rPh>
    <phoneticPr fontId="1"/>
  </si>
  <si>
    <t>アクセス許可</t>
    <phoneticPr fontId="1"/>
  </si>
  <si>
    <t>読み取り専用</t>
    <rPh sb="0" eb="1">
      <t>ヨミト</t>
    </rPh>
    <phoneticPr fontId="1"/>
  </si>
  <si>
    <t>読み取り/書き込み</t>
    <rPh sb="5" eb="6">
      <t>カキコ</t>
    </rPh>
    <phoneticPr fontId="1"/>
  </si>
  <si>
    <t>チェックボックス</t>
    <phoneticPr fontId="1"/>
  </si>
  <si>
    <t>■</t>
  </si>
  <si>
    <t>有効</t>
    <rPh sb="0" eb="2">
      <t>ユウコ</t>
    </rPh>
    <phoneticPr fontId="1"/>
  </si>
  <si>
    <t>無効</t>
    <rPh sb="0" eb="2">
      <t>ムコ</t>
    </rPh>
    <phoneticPr fontId="1"/>
  </si>
  <si>
    <t>エディション</t>
    <phoneticPr fontId="1"/>
  </si>
  <si>
    <t>システム</t>
    <phoneticPr fontId="1"/>
  </si>
  <si>
    <t>プロダクトID</t>
    <phoneticPr fontId="1"/>
  </si>
  <si>
    <t>WORKGROUP</t>
    <phoneticPr fontId="1"/>
  </si>
  <si>
    <t>(空白)</t>
    <rPh sb="1" eb="2">
      <t>クウハ</t>
    </rPh>
    <phoneticPr fontId="1"/>
  </si>
  <si>
    <t>ドメイン</t>
    <phoneticPr fontId="1"/>
  </si>
  <si>
    <t>はい(推奨)</t>
    <rPh sb="3" eb="5">
      <t>スイショ</t>
    </rPh>
    <phoneticPr fontId="1"/>
  </si>
  <si>
    <t>いいえ(デバイスが適切に機能しない可能の性があります)</t>
    <rPh sb="9" eb="11">
      <t>テキセ</t>
    </rPh>
    <rPh sb="12" eb="14">
      <t>キノ</t>
    </rPh>
    <rPh sb="17" eb="19">
      <t>カノ</t>
    </rPh>
    <phoneticPr fontId="1"/>
  </si>
  <si>
    <t>詳細設定</t>
    <rPh sb="0" eb="4">
      <t>ショウサ</t>
    </rPh>
    <phoneticPr fontId="1"/>
  </si>
  <si>
    <t>視覚効果</t>
    <rPh sb="0" eb="4">
      <t>シカクコ</t>
    </rPh>
    <phoneticPr fontId="1"/>
  </si>
  <si>
    <t>デザインを優先する</t>
    <rPh sb="5" eb="7">
      <t>ユウセ</t>
    </rPh>
    <phoneticPr fontId="1"/>
  </si>
  <si>
    <t>アイコンの代わりに縮小版を表示する</t>
    <rPh sb="5" eb="6">
      <t>カワ</t>
    </rPh>
    <rPh sb="9" eb="12">
      <t>シュクショ</t>
    </rPh>
    <rPh sb="13" eb="15">
      <t>ヒョ</t>
    </rPh>
    <phoneticPr fontId="1"/>
  </si>
  <si>
    <t>ウィンドウの下に影を表示する</t>
    <rPh sb="6" eb="7">
      <t>シ</t>
    </rPh>
    <rPh sb="8" eb="9">
      <t>カケ</t>
    </rPh>
    <rPh sb="10" eb="12">
      <t>ヒョ</t>
    </rPh>
    <phoneticPr fontId="1"/>
  </si>
  <si>
    <t>□</t>
  </si>
  <si>
    <t>コンボボックスをスライドして開く</t>
    <rPh sb="14" eb="15">
      <t>ヒラ</t>
    </rPh>
    <phoneticPr fontId="1"/>
  </si>
  <si>
    <t>デスクトップのアイコン名に影を付ける</t>
    <rPh sb="13" eb="14">
      <t>カケ</t>
    </rPh>
    <rPh sb="15" eb="16">
      <t xml:space="preserve">ツケル </t>
    </rPh>
    <phoneticPr fontId="1"/>
  </si>
  <si>
    <t>ドラッグ中にウィンドウの内容を表示する</t>
    <rPh sb="4" eb="5">
      <t>チュ</t>
    </rPh>
    <rPh sb="12" eb="14">
      <t>ナイヨ</t>
    </rPh>
    <rPh sb="15" eb="17">
      <t>ヒョ</t>
    </rPh>
    <phoneticPr fontId="1"/>
  </si>
  <si>
    <t>詳細設定</t>
    <rPh sb="0" eb="2">
      <t>ショウサ</t>
    </rPh>
    <rPh sb="2" eb="4">
      <t>ショウサ</t>
    </rPh>
    <phoneticPr fontId="1"/>
  </si>
  <si>
    <t>プログラム</t>
    <phoneticPr fontId="1"/>
  </si>
  <si>
    <t>仮想メモリ</t>
    <rPh sb="0" eb="2">
      <t>カソ</t>
    </rPh>
    <phoneticPr fontId="1"/>
  </si>
  <si>
    <t>Cドライブ</t>
    <phoneticPr fontId="1"/>
  </si>
  <si>
    <t>カスタムサイズ</t>
    <phoneticPr fontId="1"/>
  </si>
  <si>
    <t>システム管理サイズ</t>
    <phoneticPr fontId="1"/>
  </si>
  <si>
    <t>初期サイズ(MB)</t>
    <rPh sb="0" eb="2">
      <t>シ</t>
    </rPh>
    <phoneticPr fontId="1"/>
  </si>
  <si>
    <t>最大サイズ(MB)</t>
    <rPh sb="0" eb="2">
      <t>サイダ</t>
    </rPh>
    <phoneticPr fontId="1"/>
  </si>
  <si>
    <t>起動と回復</t>
    <rPh sb="0" eb="2">
      <t>キド</t>
    </rPh>
    <rPh sb="3" eb="5">
      <t>カイフ</t>
    </rPh>
    <phoneticPr fontId="1"/>
  </si>
  <si>
    <t>起動システム</t>
    <rPh sb="0" eb="2">
      <t>キド</t>
    </rPh>
    <phoneticPr fontId="1"/>
  </si>
  <si>
    <t>Windows Server</t>
    <phoneticPr fontId="1"/>
  </si>
  <si>
    <t>必要な時に修復オプションを表示する時間</t>
    <rPh sb="0" eb="2">
      <t>ヒツヨ</t>
    </rPh>
    <rPh sb="3" eb="4">
      <t>トキ</t>
    </rPh>
    <rPh sb="5" eb="7">
      <t>シュウフ</t>
    </rPh>
    <rPh sb="13" eb="15">
      <t>ヒョ</t>
    </rPh>
    <phoneticPr fontId="1"/>
  </si>
  <si>
    <t>30[秒間]</t>
    <rPh sb="3" eb="5">
      <t>ビョウ</t>
    </rPh>
    <phoneticPr fontId="1"/>
  </si>
  <si>
    <t>30[秒間]</t>
    <phoneticPr fontId="1"/>
  </si>
  <si>
    <t>システムログにイベントを書き込む</t>
    <rPh sb="12" eb="13">
      <t>カキコ</t>
    </rPh>
    <phoneticPr fontId="1"/>
  </si>
  <si>
    <t>自動的に再起動する</t>
    <rPh sb="0" eb="3">
      <t>ジド</t>
    </rPh>
    <rPh sb="4" eb="7">
      <t>サ</t>
    </rPh>
    <phoneticPr fontId="1"/>
  </si>
  <si>
    <t>デバッグ情報の書き込み</t>
    <rPh sb="4" eb="6">
      <t>ジョウホ</t>
    </rPh>
    <rPh sb="7" eb="8">
      <t>カキコ</t>
    </rPh>
    <phoneticPr fontId="1"/>
  </si>
  <si>
    <t>(なし)</t>
    <phoneticPr fontId="1"/>
  </si>
  <si>
    <t>ダンプファイル</t>
    <phoneticPr fontId="1"/>
  </si>
  <si>
    <t>%SystemRoot%\MEMORY.DMP</t>
    <phoneticPr fontId="1"/>
  </si>
  <si>
    <t>既存のファイルに上書きする</t>
    <rPh sb="0" eb="2">
      <t>キゾ</t>
    </rPh>
    <rPh sb="8" eb="10">
      <t>ウワガ</t>
    </rPh>
    <phoneticPr fontId="1"/>
  </si>
  <si>
    <t>ディスク容量が少ないときでもメモリダンプの自動削除を無効にする</t>
    <rPh sb="4" eb="6">
      <t>ヨウリョ</t>
    </rPh>
    <rPh sb="7" eb="8">
      <t>スクナ</t>
    </rPh>
    <rPh sb="21" eb="25">
      <t>ジド</t>
    </rPh>
    <rPh sb="26" eb="28">
      <t>ムコ</t>
    </rPh>
    <phoneticPr fontId="1"/>
  </si>
  <si>
    <t>環境変数</t>
    <rPh sb="0" eb="4">
      <t>カンキョ</t>
    </rPh>
    <phoneticPr fontId="1"/>
  </si>
  <si>
    <t>システム環境変数</t>
    <rPh sb="4" eb="6">
      <t>カンキョ</t>
    </rPh>
    <rPh sb="6" eb="8">
      <t>ヘ</t>
    </rPh>
    <phoneticPr fontId="1"/>
  </si>
  <si>
    <t>Windows セットアップ</t>
    <phoneticPr fontId="1"/>
  </si>
  <si>
    <t>時刻と通過の形式</t>
    <rPh sb="0" eb="2">
      <t>ジ</t>
    </rPh>
    <rPh sb="3" eb="5">
      <t>ツウ</t>
    </rPh>
    <phoneticPr fontId="1"/>
  </si>
  <si>
    <t>日本語(日本)</t>
    <rPh sb="0" eb="3">
      <t>ニホ</t>
    </rPh>
    <rPh sb="4" eb="6">
      <t>ニホ</t>
    </rPh>
    <phoneticPr fontId="1"/>
  </si>
  <si>
    <t>Microsoft IME</t>
    <phoneticPr fontId="1"/>
  </si>
  <si>
    <t>ComSpec</t>
  </si>
  <si>
    <t>DriverData</t>
  </si>
  <si>
    <t>NUMBER_OF_PROCESSORS</t>
  </si>
  <si>
    <t>OS</t>
  </si>
  <si>
    <t>Windows_NT</t>
  </si>
  <si>
    <t>Path</t>
  </si>
  <si>
    <t>PATHEXT</t>
  </si>
  <si>
    <t>PROCESSOR_ARCHITECTURE</t>
  </si>
  <si>
    <t>AMD64</t>
  </si>
  <si>
    <t>PROCESSOR_IDENTIFIER</t>
  </si>
  <si>
    <t>Intel64 Family 6 Model 158 Stepping 12, GenuineIntel</t>
  </si>
  <si>
    <t>PROCESSOR_LEVEL</t>
  </si>
  <si>
    <t>PROCESSOR_REVISION</t>
  </si>
  <si>
    <t>9e0c</t>
  </si>
  <si>
    <t>PSModulePath</t>
  </si>
  <si>
    <t>TEMP</t>
  </si>
  <si>
    <t>TMP</t>
  </si>
  <si>
    <t>USERNAME</t>
  </si>
  <si>
    <t>SYSTEM</t>
  </si>
  <si>
    <t>windir</t>
  </si>
  <si>
    <t>%SystemRoot%\system32\cmd.exe</t>
    <phoneticPr fontId="1"/>
  </si>
  <si>
    <t>C:\Windows\System32\Drivers\DriverData</t>
    <phoneticPr fontId="1"/>
  </si>
  <si>
    <t>%SystemRoot%\system32;%SystemRoot%;%SystemRoot%\System32\Wbem;%SYSTEMROOT%\System32\WindowsPowerShell\v1.0\;%SYSTEMROOT%\System32\OpenSSH\</t>
    <phoneticPr fontId="1"/>
  </si>
  <si>
    <t>%SystemRoot%\TEMP</t>
    <phoneticPr fontId="1"/>
  </si>
  <si>
    <t>%SystemRoot%</t>
    <phoneticPr fontId="1"/>
  </si>
  <si>
    <t>セキュリティ</t>
    <phoneticPr fontId="1"/>
  </si>
  <si>
    <t>Windows Update</t>
    <phoneticPr fontId="1"/>
  </si>
  <si>
    <t>記憶域</t>
    <rPh sb="0" eb="3">
      <t>キオ</t>
    </rPh>
    <phoneticPr fontId="1"/>
  </si>
  <si>
    <t>パブリック</t>
    <phoneticPr fontId="1"/>
  </si>
  <si>
    <t>有効</t>
    <rPh sb="0" eb="1">
      <t>ユウコ</t>
    </rPh>
    <phoneticPr fontId="1"/>
  </si>
  <si>
    <t>無効</t>
    <rPh sb="0" eb="1">
      <t>ムコ</t>
    </rPh>
    <phoneticPr fontId="1"/>
  </si>
  <si>
    <t>オフ</t>
    <phoneticPr fontId="1"/>
  </si>
  <si>
    <t>許可</t>
    <rPh sb="0" eb="2">
      <t>キョ</t>
    </rPh>
    <phoneticPr fontId="1"/>
  </si>
  <si>
    <t>頻度</t>
    <rPh sb="0" eb="2">
      <t>ヒント</t>
    </rPh>
    <phoneticPr fontId="1"/>
  </si>
  <si>
    <t>毎日</t>
    <rPh sb="0" eb="2">
      <t>マイニ</t>
    </rPh>
    <phoneticPr fontId="1"/>
  </si>
  <si>
    <t>毎週</t>
    <rPh sb="0" eb="2">
      <t>マイシュ</t>
    </rPh>
    <phoneticPr fontId="1"/>
  </si>
  <si>
    <t>毎月</t>
    <rPh sb="0" eb="2">
      <t>マイツ</t>
    </rPh>
    <phoneticPr fontId="1"/>
  </si>
  <si>
    <t>ドライブ</t>
    <phoneticPr fontId="1"/>
  </si>
  <si>
    <t>すべて選択</t>
    <rPh sb="3" eb="5">
      <t>センタ</t>
    </rPh>
    <phoneticPr fontId="1"/>
  </si>
  <si>
    <t>新しいドライブを自動的に最適化する</t>
    <rPh sb="0" eb="1">
      <t>アタラ</t>
    </rPh>
    <rPh sb="8" eb="11">
      <t>ジド</t>
    </rPh>
    <rPh sb="12" eb="15">
      <t>サイテ</t>
    </rPh>
    <phoneticPr fontId="1"/>
  </si>
  <si>
    <t>(対象ドライブ)</t>
    <rPh sb="1" eb="3">
      <t>タイショ</t>
    </rPh>
    <phoneticPr fontId="1"/>
  </si>
  <si>
    <t>ディスク0</t>
    <phoneticPr fontId="1"/>
  </si>
  <si>
    <t>全般</t>
    <rPh sb="0" eb="2">
      <t>ゼンパ</t>
    </rPh>
    <phoneticPr fontId="1"/>
  </si>
  <si>
    <t>製造元</t>
    <rPh sb="0" eb="3">
      <t>セイゾ</t>
    </rPh>
    <phoneticPr fontId="1"/>
  </si>
  <si>
    <t>場所</t>
    <rPh sb="0" eb="2">
      <t>バシ</t>
    </rPh>
    <phoneticPr fontId="1"/>
  </si>
  <si>
    <t>種類</t>
    <rPh sb="0" eb="2">
      <t>シュル</t>
    </rPh>
    <phoneticPr fontId="1"/>
  </si>
  <si>
    <t>容量</t>
    <rPh sb="0" eb="2">
      <t>ヨウリョ</t>
    </rPh>
    <phoneticPr fontId="1"/>
  </si>
  <si>
    <t>未割り当て領域</t>
    <rPh sb="0" eb="2">
      <t>ミワリア</t>
    </rPh>
    <rPh sb="5" eb="7">
      <t>リョウ</t>
    </rPh>
    <phoneticPr fontId="1"/>
  </si>
  <si>
    <t>予約済み領域</t>
    <rPh sb="0" eb="3">
      <t>ヨヤ</t>
    </rPh>
    <rPh sb="4" eb="6">
      <t>リョウ</t>
    </rPh>
    <phoneticPr fontId="1"/>
  </si>
  <si>
    <t>C</t>
    <phoneticPr fontId="1"/>
  </si>
  <si>
    <t>回復</t>
    <rPh sb="0" eb="1">
      <t>カイフ</t>
    </rPh>
    <phoneticPr fontId="1"/>
  </si>
  <si>
    <t>ダイナミック</t>
    <phoneticPr fontId="1"/>
  </si>
  <si>
    <t>ファイルシステム</t>
    <phoneticPr fontId="1"/>
  </si>
  <si>
    <t>NTFS</t>
    <phoneticPr fontId="1"/>
  </si>
  <si>
    <t>最大サイズ</t>
    <rPh sb="0" eb="2">
      <t>サイダ</t>
    </rPh>
    <phoneticPr fontId="1"/>
  </si>
  <si>
    <t>制限なし</t>
    <rPh sb="0" eb="2">
      <t>セイゲ</t>
    </rPh>
    <phoneticPr fontId="1"/>
  </si>
  <si>
    <t>開始時刻</t>
    <rPh sb="0" eb="4">
      <t>カイシ</t>
    </rPh>
    <phoneticPr fontId="1"/>
  </si>
  <si>
    <t>開始日</t>
    <rPh sb="0" eb="3">
      <t>カイ</t>
    </rPh>
    <phoneticPr fontId="1"/>
  </si>
  <si>
    <t>終了日</t>
    <rPh sb="0" eb="3">
      <t>シュウリョ</t>
    </rPh>
    <phoneticPr fontId="1"/>
  </si>
  <si>
    <t>タスクを繰り返し実行</t>
    <rPh sb="4" eb="5">
      <t>クリカエ</t>
    </rPh>
    <rPh sb="8" eb="10">
      <t>ジッコ</t>
    </rPh>
    <phoneticPr fontId="1"/>
  </si>
  <si>
    <t>間隔</t>
    <rPh sb="0" eb="2">
      <t>カンカ</t>
    </rPh>
    <phoneticPr fontId="1"/>
  </si>
  <si>
    <t>終了時間</t>
    <rPh sb="0" eb="2">
      <t>シュウリョ</t>
    </rPh>
    <rPh sb="2" eb="4">
      <t>ジカ</t>
    </rPh>
    <phoneticPr fontId="1"/>
  </si>
  <si>
    <t>時刻</t>
    <rPh sb="0" eb="2">
      <t>ジ</t>
    </rPh>
    <phoneticPr fontId="1"/>
  </si>
  <si>
    <t>継続期間</t>
    <rPh sb="0" eb="4">
      <t>ケイゾ</t>
    </rPh>
    <phoneticPr fontId="1"/>
  </si>
  <si>
    <t>時間</t>
    <rPh sb="0" eb="2">
      <t>ジカ</t>
    </rPh>
    <phoneticPr fontId="1"/>
  </si>
  <si>
    <t>タスクが実行中の場合、この時刻で停止する</t>
    <rPh sb="4" eb="7">
      <t>ジッコ</t>
    </rPh>
    <rPh sb="8" eb="10">
      <t>バア</t>
    </rPh>
    <rPh sb="13" eb="15">
      <t>ジコ</t>
    </rPh>
    <rPh sb="16" eb="18">
      <t>テイ</t>
    </rPh>
    <phoneticPr fontId="1"/>
  </si>
  <si>
    <t>月</t>
    <rPh sb="0" eb="1">
      <t>ゲ</t>
    </rPh>
    <phoneticPr fontId="1"/>
  </si>
  <si>
    <t>火</t>
    <rPh sb="0" eb="1">
      <t xml:space="preserve">カ </t>
    </rPh>
    <phoneticPr fontId="1"/>
  </si>
  <si>
    <t>水</t>
    <rPh sb="0" eb="1">
      <t>Suica</t>
    </rPh>
    <phoneticPr fontId="1"/>
  </si>
  <si>
    <t>木</t>
    <rPh sb="0" eb="1">
      <t xml:space="preserve">モク </t>
    </rPh>
    <phoneticPr fontId="1"/>
  </si>
  <si>
    <t>金</t>
    <rPh sb="0" eb="1">
      <t>キ</t>
    </rPh>
    <phoneticPr fontId="1"/>
  </si>
  <si>
    <t>土</t>
    <rPh sb="0" eb="1">
      <t xml:space="preserve">ド </t>
    </rPh>
    <phoneticPr fontId="1"/>
  </si>
  <si>
    <t>日</t>
    <rPh sb="0" eb="1">
      <t>ニ</t>
    </rPh>
    <phoneticPr fontId="1"/>
  </si>
  <si>
    <t>ディスクの使用を制限しない</t>
    <rPh sb="5" eb="7">
      <t>シヨ</t>
    </rPh>
    <rPh sb="8" eb="10">
      <t>セイゲ</t>
    </rPh>
    <phoneticPr fontId="1"/>
  </si>
  <si>
    <t>ディスク領域を制限する</t>
    <rPh sb="4" eb="6">
      <t>リョ</t>
    </rPh>
    <rPh sb="7" eb="9">
      <t>セイゲ</t>
    </rPh>
    <phoneticPr fontId="1"/>
  </si>
  <si>
    <t>警告レベルの設定</t>
    <rPh sb="0" eb="2">
      <t>ケ</t>
    </rPh>
    <rPh sb="6" eb="8">
      <t>セッテ</t>
    </rPh>
    <phoneticPr fontId="1"/>
  </si>
  <si>
    <t>開始日</t>
  </si>
  <si>
    <t>終了日</t>
  </si>
  <si>
    <t>Application</t>
    <phoneticPr fontId="1"/>
  </si>
  <si>
    <t>ログのパス</t>
    <phoneticPr fontId="1"/>
  </si>
  <si>
    <t>%SystemRoot%\System32\Winevt\Logs\Application.evtx</t>
    <phoneticPr fontId="1"/>
  </si>
  <si>
    <t>最大ログサイズ(KB)</t>
    <rPh sb="0" eb="2">
      <t>サイダ</t>
    </rPh>
    <phoneticPr fontId="1"/>
  </si>
  <si>
    <t>イベントログが最大値に達したとき</t>
    <rPh sb="7" eb="10">
      <t>サイダイ</t>
    </rPh>
    <rPh sb="11" eb="12">
      <t>タッシタト</t>
    </rPh>
    <phoneticPr fontId="1"/>
  </si>
  <si>
    <t>必要に応じてイベントを上書きする(最も古いイベントから)</t>
    <rPh sb="0" eb="2">
      <t>ヒツヨ</t>
    </rPh>
    <rPh sb="11" eb="13">
      <t>ウワガ</t>
    </rPh>
    <rPh sb="17" eb="18">
      <t xml:space="preserve">モットモ </t>
    </rPh>
    <rPh sb="19" eb="20">
      <t>フル</t>
    </rPh>
    <phoneticPr fontId="1"/>
  </si>
  <si>
    <t>イベントを上書きしない(ログは手動で消去)</t>
    <rPh sb="0" eb="2">
      <t>イベントヲ</t>
    </rPh>
    <rPh sb="5" eb="6">
      <t>ウワガ</t>
    </rPh>
    <rPh sb="15" eb="17">
      <t>シュド</t>
    </rPh>
    <rPh sb="18" eb="20">
      <t>ショウキ</t>
    </rPh>
    <phoneticPr fontId="1"/>
  </si>
  <si>
    <t>Setup</t>
    <phoneticPr fontId="1"/>
  </si>
  <si>
    <t>%SystemRoot%\System32\Winevt\Logs\Security.evtx</t>
    <phoneticPr fontId="1"/>
  </si>
  <si>
    <t>%SystemRoot%\System32\Winevt\Logs\Setup.evtx</t>
    <phoneticPr fontId="1"/>
  </si>
  <si>
    <t>%SystemRoot%\System32\Winevt\Logs\System.evtx</t>
    <phoneticPr fontId="1"/>
  </si>
  <si>
    <t>Forwarded Events</t>
    <phoneticPr fontId="1"/>
  </si>
  <si>
    <t>schtasks /query /fo csv /v</t>
    <phoneticPr fontId="1"/>
  </si>
  <si>
    <t>ホスト名</t>
  </si>
  <si>
    <t>タスク名</t>
  </si>
  <si>
    <t>次回の実行時刻</t>
  </si>
  <si>
    <t>状態</t>
  </si>
  <si>
    <t>前回の実行時刻</t>
  </si>
  <si>
    <t>前回の結果</t>
  </si>
  <si>
    <t>作成者</t>
  </si>
  <si>
    <t>実行するタスク</t>
  </si>
  <si>
    <t>開始</t>
  </si>
  <si>
    <t>コメント</t>
  </si>
  <si>
    <t>アイドル時間</t>
  </si>
  <si>
    <t>電源管理</t>
  </si>
  <si>
    <t>タスクを停止するまでの時間</t>
  </si>
  <si>
    <t>開始時刻</t>
  </si>
  <si>
    <t>日</t>
  </si>
  <si>
    <t>月</t>
  </si>
  <si>
    <t>繰り返し: 間隔</t>
  </si>
  <si>
    <t>繰り返し: 終了時刻</t>
  </si>
  <si>
    <t>繰り返し: 期間</t>
  </si>
  <si>
    <t>繰り返し: 実行中の場合は停止</t>
  </si>
  <si>
    <t>準備完了</t>
  </si>
  <si>
    <t>N/A</t>
  </si>
  <si>
    <t>有効</t>
  </si>
  <si>
    <t>無効</t>
  </si>
  <si>
    <t>Administrator</t>
  </si>
  <si>
    <t xml:space="preserve">毎日 </t>
  </si>
  <si>
    <t>1 日ごと</t>
  </si>
  <si>
    <t>\Microsoft\Windows\.NET Framework\.NET Framework NGEN v4.0.30319</t>
  </si>
  <si>
    <t>対話型/バックグラウンド</t>
  </si>
  <si>
    <t>要求時のみ</t>
  </si>
  <si>
    <t>\Microsoft\Windows\.NET Framework\.NET Framework NGEN v4.0.30319 64</t>
  </si>
  <si>
    <t>\Microsoft\Windows\.NET Framework\.NET Framework NGEN v4.0.30319 64 Critical</t>
  </si>
  <si>
    <t>アイドル時</t>
  </si>
  <si>
    <t>\Microsoft\Windows\.NET Framework\.NET Framework NGEN v4.0.30319 Critical</t>
  </si>
  <si>
    <t>\Microsoft\Windows\Active Directory Rights Management Services Client\AD RMS Rights Policy Template Management (Automated)</t>
  </si>
  <si>
    <t>Microsoft Corporation</t>
  </si>
  <si>
    <t>Everyone</t>
  </si>
  <si>
    <t>ログオン時</t>
  </si>
  <si>
    <t>\Microsoft\Windows\Active Directory Rights Management Services Client\AD RMS Rights Policy Template Management (Manual)</t>
  </si>
  <si>
    <t>\Microsoft\Windows\AppID\EDP Policy Manager</t>
  </si>
  <si>
    <t>このタスクは、Windows 情報保護を構成するために必要な手順を実行します。</t>
  </si>
  <si>
    <t>LOCAL SERVICE</t>
  </si>
  <si>
    <t>未定義</t>
  </si>
  <si>
    <t>\Microsoft\Windows\AppID\PolicyConverter</t>
  </si>
  <si>
    <t xml:space="preserve">%windir%\system32\appidpolicyconverter.exe </t>
  </si>
  <si>
    <t>\Microsoft\Windows\AppID\VerifiedPublisherCertStoreCheck</t>
  </si>
  <si>
    <t xml:space="preserve">%windir%\system32\appidcertstorecheck.exe </t>
  </si>
  <si>
    <t>システムの開始時</t>
  </si>
  <si>
    <t>\Microsoft\Windows\Application Experience\Microsoft Compatibility Appraiser</t>
  </si>
  <si>
    <t xml:space="preserve">%windir%\system32\compattelrunner.exe </t>
  </si>
  <si>
    <t xml:space="preserve">一度だけ, 毎時 </t>
  </si>
  <si>
    <t>24 時間、0 分</t>
  </si>
  <si>
    <t>なし</t>
  </si>
  <si>
    <t>\Microsoft\Windows\Application Experience\ProgramDataUpdater</t>
  </si>
  <si>
    <t>%windir%\system32\compattelrunner.exe -maintenance</t>
  </si>
  <si>
    <t>\Microsoft\Windows\Application Experience\StartupAppTask</t>
  </si>
  <si>
    <t>%windir%\system32\rundll32.exe Startupscan.dll,SusRunTask</t>
  </si>
  <si>
    <t>INTERACTIVE</t>
  </si>
  <si>
    <t>\Microsoft\Windows\ApplicationData\appuriverifierdaily</t>
  </si>
  <si>
    <t xml:space="preserve">%windir%\system32\AppHostRegistrationVerifier.exe </t>
  </si>
  <si>
    <t>AppUriHandler ホストの登録を検証します。</t>
  </si>
  <si>
    <t>\Microsoft\Windows\ApplicationData\appuriverifierinstall</t>
  </si>
  <si>
    <t>\Microsoft\Windows\ApplicationData\CleanupTemporaryState</t>
  </si>
  <si>
    <t>%windir%\system32\rundll32.exe Windows.Storage.ApplicationData.dll,CleanupTemporaryState</t>
  </si>
  <si>
    <t>Cleans up each package's unused temporary files.</t>
  </si>
  <si>
    <t>\Microsoft\Windows\ApplicationData\DsSvcCleanup</t>
  </si>
  <si>
    <t xml:space="preserve">%windir%\system32\dstokenclean.exe </t>
  </si>
  <si>
    <t>\Microsoft\Windows\AppxDeploymentClient\Pre-staged app cleanup</t>
  </si>
  <si>
    <t>%windir%\system32\rundll32.exe %windir%\system32\AppxDeploymentClient.dll,AppxPreStageCleanupRunTask</t>
  </si>
  <si>
    <t>15 分アイドルだった場合にのみ開始, 15 分アイドルでない場合再実行</t>
  </si>
  <si>
    <t>\Microsoft\Windows\Autochk\Proxy</t>
  </si>
  <si>
    <t>%windir%\system32\rundll32.exe /d acproxy.dll,PerformAutochkOperations</t>
  </si>
  <si>
    <t>10 分アイドルだった場合にのみ開始, 525600 分アイドルでない場合再実行</t>
  </si>
  <si>
    <t>\Microsoft\Windows\BitLocker\BitLocker Encrypt All Drives</t>
  </si>
  <si>
    <t>\Microsoft\Windows\BitLocker\BitLocker MDM policy Refresh</t>
  </si>
  <si>
    <t>\Microsoft\Windows\Bluetooth\UninstallDeviceTask</t>
  </si>
  <si>
    <t>Microsoft</t>
  </si>
  <si>
    <t>BthUdTask.exe $(Arg0)</t>
  </si>
  <si>
    <t>\Microsoft\Windows\BrokerInfrastructure\BgTaskRegistrationMaintenanceTask</t>
  </si>
  <si>
    <t>0 分アイドルだった場合にのみ開始, 0 分アイドルでない場合再実行 アイドル状態が終了したらタスクを停止</t>
  </si>
  <si>
    <t>\Microsoft\Windows\CertificateServicesClient\AikCertEnrollTask</t>
  </si>
  <si>
    <t>\Microsoft\Windows\CertificateServicesClient\CryptoPolicyTask</t>
  </si>
  <si>
    <t>\Microsoft\Windows\CertificateServicesClient\KeyPreGenTask</t>
  </si>
  <si>
    <t>イベントが発生する場合</t>
  </si>
  <si>
    <t>\Microsoft\Windows\CertificateServicesClient\SystemTask</t>
  </si>
  <si>
    <t>\Microsoft\Windows\CertificateServicesClient\UserTask</t>
  </si>
  <si>
    <t>\Microsoft\Windows\CertificateServicesClient\UserTask-Roam</t>
  </si>
  <si>
    <t>\Microsoft\Windows\Chkdsk\ProactiveScan</t>
  </si>
  <si>
    <t>\Microsoft\Windows\Chkdsk\SyspartRepair</t>
  </si>
  <si>
    <t>%windir%\system32\bcdboot.exe %windir% /sysrepair</t>
  </si>
  <si>
    <t>\Microsoft\Windows\Clip\License Validation</t>
  </si>
  <si>
    <t>%SystemRoot%\system32\ClipUp.exe -p -s -o</t>
  </si>
  <si>
    <t>Windows Store legacy license migration task</t>
  </si>
  <si>
    <t>\Microsoft\Windows\CloudExperienceHost\CreateObjectTask</t>
  </si>
  <si>
    <t>\Microsoft\Windows\Customer Experience Improvement Program\Consolidator</t>
  </si>
  <si>
    <t xml:space="preserve">%SystemRoot%\System32\wsqmcons.exe </t>
  </si>
  <si>
    <t>6 時間、0 分</t>
  </si>
  <si>
    <t>\Microsoft\Windows\Customer Experience Improvement Program\UsbCeip</t>
  </si>
  <si>
    <t>\Microsoft\Windows\Data Integrity Scan\Data Integrity Scan</t>
  </si>
  <si>
    <t>\Microsoft\Windows\Data Integrity Scan\Data Integrity Scan for Crash Recovery</t>
  </si>
  <si>
    <t>\Microsoft\Windows\Defrag\ScheduledDefrag</t>
  </si>
  <si>
    <t>%windir%\system32\defrag.exe -c -h -k -g -$</t>
  </si>
  <si>
    <t>\Microsoft\Windows\Device Information\Device</t>
  </si>
  <si>
    <t>\Microsoft\Windows\Device Setup\Metadata Refresh</t>
  </si>
  <si>
    <t>\Microsoft\Windows\Diagnosis\Scheduled</t>
  </si>
  <si>
    <t>\Microsoft\Windows\DirectX\DXGIAdapterCache</t>
  </si>
  <si>
    <t xml:space="preserve">%windir%\system32\dxgiadaptercache.exe </t>
  </si>
  <si>
    <t>\Microsoft\Windows\DiskCleanup\SilentCleanup</t>
  </si>
  <si>
    <t xml:space="preserve"> 分アイドルだった場合にのみ開始,  分アイドルでない場合再実行 アイドル状態が終了したらタスクを停止</t>
  </si>
  <si>
    <t>Users</t>
  </si>
  <si>
    <t>\Microsoft\Windows\DiskDiagnostic\Microsoft-Windows-DiskDiagnosticDataCollector</t>
  </si>
  <si>
    <t>%windir%\system32\rundll32.exe dfdts.dll,DfdGetDefaultPolicyAndSMART</t>
  </si>
  <si>
    <t>バッテリで開始しない</t>
  </si>
  <si>
    <t>\Microsoft\Windows\DiskDiagnostic\Microsoft-Windows-DiskDiagnosticResolver</t>
  </si>
  <si>
    <t xml:space="preserve">%windir%\system32\DFDWiz.exe </t>
  </si>
  <si>
    <t>\Microsoft\Windows\DiskFootprint\Diagnostics</t>
  </si>
  <si>
    <t>%windir%\system32\disksnapshot.exe -z</t>
  </si>
  <si>
    <t>\Microsoft\Windows\DiskFootprint\StorageSense</t>
  </si>
  <si>
    <t>\Microsoft\Windows\EDP\EDP App Launch Task</t>
  </si>
  <si>
    <t>\Microsoft\Windows\EDP\EDP Auth Task</t>
  </si>
  <si>
    <t>\Microsoft\Windows\EDP\EDP Inaccessible Credentials Task</t>
  </si>
  <si>
    <t>\Microsoft\Windows\EDP\StorageCardEncryption Task</t>
  </si>
  <si>
    <t>\Microsoft\Windows\ExploitGuard\ExploitGuard MDM policy Refresh</t>
  </si>
  <si>
    <t>\Microsoft\Windows\File Classification Infrastructure\Property Definition Sync</t>
  </si>
  <si>
    <t>1 分アイドルだった場合にのみ開始, 1 分アイドルでない場合再実行</t>
  </si>
  <si>
    <t>\Microsoft\Windows\Flighting\FeatureConfig\ReconcileFeatures</t>
  </si>
  <si>
    <t>機能の構成を定期的に調整するタスク</t>
  </si>
  <si>
    <t>\Microsoft\Windows\Flighting\OneSettings\RefreshCache</t>
  </si>
  <si>
    <t>\Microsoft\Windows\InstallService\ScanForUpdates</t>
  </si>
  <si>
    <t>一度だけ</t>
  </si>
  <si>
    <t>\Microsoft\Windows\InstallService\ScanForUpdatesAsUser</t>
  </si>
  <si>
    <t>\Microsoft\Windows\InstallService\SmartRetry</t>
  </si>
  <si>
    <t>\Microsoft\Windows\InstallService\WakeUpAndContinueUpdates</t>
  </si>
  <si>
    <t>\Microsoft\Windows\InstallService\WakeUpAndScanForUpdates</t>
  </si>
  <si>
    <t>\Microsoft\Windows\LanguageComponentsInstaller\Installation</t>
  </si>
  <si>
    <t>\Microsoft\Windows\LanguageComponentsInstaller\Uninstallation</t>
  </si>
  <si>
    <t>\Microsoft\Windows\License Manager\TempSignedLicenseExchange</t>
  </si>
  <si>
    <t>Exchanges temporary preinstalled licenses for Windows Store licenses.</t>
  </si>
  <si>
    <t>\Microsoft\Windows\Location\Notifications</t>
  </si>
  <si>
    <t xml:space="preserve">%windir%\System32\LocationNotificationWindows.exe </t>
  </si>
  <si>
    <t>位置情報通知</t>
  </si>
  <si>
    <t>Authenticated Users</t>
  </si>
  <si>
    <t>\Microsoft\Windows\Location\WindowsActionDialog</t>
  </si>
  <si>
    <t xml:space="preserve">%windir%\System32\WindowsActionDialog.exe </t>
  </si>
  <si>
    <t>\Microsoft\Windows\Maintenance\WinSAT</t>
  </si>
  <si>
    <t>Administrators</t>
  </si>
  <si>
    <t>\Microsoft\Windows\Maps\MapsToastTask</t>
  </si>
  <si>
    <t>This task shows various Map related toasts</t>
  </si>
  <si>
    <t>\Microsoft\Windows\Maps\MapsUpdateTask</t>
  </si>
  <si>
    <t>NETWORK SERVICE</t>
  </si>
  <si>
    <t>\Microsoft\Windows\MemoryDiagnostic\ProcessMemoryDiagnosticEvents</t>
  </si>
  <si>
    <t>\Microsoft\Windows\MemoryDiagnostic\RunFullMemoryDiagnostic</t>
  </si>
  <si>
    <t>物理メモリ (RAM) 内の問題を検出して緩和します。</t>
  </si>
  <si>
    <t>\Microsoft\Windows\MUI\LPRemove</t>
  </si>
  <si>
    <t xml:space="preserve">%windir%\system32\lpremove.exe </t>
  </si>
  <si>
    <t>\Microsoft\Windows\Multimedia\SystemSoundsService</t>
  </si>
  <si>
    <t>\Microsoft\Windows\NetTrace\GatherNetworkInfo</t>
  </si>
  <si>
    <t xml:space="preserve">%windir%\system32\gatherNetworkInfo.vbs </t>
  </si>
  <si>
    <t>$(Arg1)</t>
  </si>
  <si>
    <t>\Microsoft\Windows\Network Controller\SDN Diagnostics Task</t>
  </si>
  <si>
    <t xml:space="preserve">%windir%\System32\SDNDiagnosticsTask.exe </t>
  </si>
  <si>
    <t>一度だけ, 分</t>
  </si>
  <si>
    <t>0 時間、30 分</t>
  </si>
  <si>
    <t>\Microsoft\Windows\Offline Files\Background Synchronization</t>
  </si>
  <si>
    <t>2 時間、0 分</t>
  </si>
  <si>
    <t>\Microsoft\Windows\Offline Files\Logon Synchronization</t>
  </si>
  <si>
    <t>\Microsoft\Windows\PI\Secure-Boot-Update</t>
  </si>
  <si>
    <t>\Microsoft\Windows\PI\Sqm-Tasks</t>
  </si>
  <si>
    <t>\Microsoft\Windows\PLA\Server Manager Performance Monitor</t>
  </si>
  <si>
    <t>%systemroot%\system32\rundll32.exe %systemroot%\system32\pla.dll,PlaHost Server Manager Performance Monitor" "$(Arg0)""</t>
  </si>
  <si>
    <t>\Microsoft\Windows\Plug and Play\Device Install Group Policy</t>
  </si>
  <si>
    <t>\Microsoft\Windows\Plug and Play\Device Install Reboot Required</t>
  </si>
  <si>
    <t>\Microsoft\Windows\Plug and Play\Sysprep Generalize Drivers</t>
  </si>
  <si>
    <t>%SystemRoot%\System32\drvinst.exe 6</t>
  </si>
  <si>
    <t>\Microsoft\Windows\Power Efficiency Diagnostics\AnalyzeSystem</t>
  </si>
  <si>
    <t>\Microsoft\Windows\PushToInstall\LoginCheck</t>
  </si>
  <si>
    <t>%windir%\system32\sc.exe start pushtoinstall login</t>
  </si>
  <si>
    <t>\Microsoft\Windows\PushToInstall\Registration</t>
  </si>
  <si>
    <t>%windir%\system32\sc.exe start pushtoinstall registration</t>
  </si>
  <si>
    <t>480 時間、0 分</t>
  </si>
  <si>
    <t>\Microsoft\Windows\Ras\MobilityManager</t>
  </si>
  <si>
    <t>\Microsoft\Windows\RecoveryEnvironment\VerifyWinRE</t>
  </si>
  <si>
    <t>Windows 回復環境を検証します。</t>
  </si>
  <si>
    <t xml:space="preserve"> 分アイドルだった場合にのみ開始,  分アイドルでない場合再実行</t>
  </si>
  <si>
    <t>\Microsoft\Windows\Registry\RegIdleBackup</t>
  </si>
  <si>
    <t>レジストリ アイドル バックアップ タスク</t>
  </si>
  <si>
    <t>\Microsoft\Windows\Server Manager\CleanupOldPerfLogs</t>
  </si>
  <si>
    <t>%systemroot%\system32\cscript.exe /B /nologo %systemroot%\system32\calluxxprovider.vbs $(Arg0) $(Arg1) $(Arg2)</t>
  </si>
  <si>
    <t>\Microsoft\Windows\Server Manager\ServerManager</t>
  </si>
  <si>
    <t xml:space="preserve">%windir%\system32\ServerManagerLauncher.exe </t>
  </si>
  <si>
    <t>\Microsoft\Windows\Servicing\StartComponentCleanup</t>
  </si>
  <si>
    <t>\Microsoft\Windows\SharedPC\Account Cleanup</t>
  </si>
  <si>
    <t>%windir%\System32\rundll32.exe %windir%\System32\Windows.SharedPC.AccountManager.dll,StartMaintenance</t>
  </si>
  <si>
    <t>\Microsoft\Windows\Shell\CreateObjectTask</t>
  </si>
  <si>
    <t>\Microsoft\Windows\Shell\IndexerAutomaticMaintenance</t>
  </si>
  <si>
    <t>検索インデックスを最新の状態に保ちます</t>
  </si>
  <si>
    <t>\Microsoft\Windows\Software Inventory Logging\Collection</t>
  </si>
  <si>
    <t>%systemroot%\system32\cmd.exe /d /c %systemroot%\system32\silcollector.cmd publish</t>
  </si>
  <si>
    <t>1 時間、0 分</t>
  </si>
  <si>
    <t>\Microsoft\Windows\Software Inventory Logging\Configuration</t>
  </si>
  <si>
    <t>%systemroot%\system32\cmd.exe /d /c %systemroot%\system32\silcollector.cmd configure</t>
  </si>
  <si>
    <t>\Microsoft\Windows\SoftwareProtectionPlatform\SvcRestartTask</t>
  </si>
  <si>
    <t>\Microsoft\Windows\SoftwareProtectionPlatform\SvcRestartTaskLogon</t>
  </si>
  <si>
    <t>\Microsoft\Windows\SoftwareProtectionPlatform\SvcRestartTaskNetwork</t>
  </si>
  <si>
    <t>\Microsoft\Windows\SpacePort\SpaceAgentTask</t>
  </si>
  <si>
    <t xml:space="preserve">%windir%\system32\SpaceAgent.exe </t>
  </si>
  <si>
    <t>\Microsoft\Windows\SpacePort\SpaceManagerTask</t>
  </si>
  <si>
    <t>$(@%SystemRoot%\system32\spaceman.exe,-2)</t>
  </si>
  <si>
    <t>%windir%\system32\spaceman.exe /Work</t>
  </si>
  <si>
    <t>$(@%SystemRoot%\system32\spaceman.exe,-3)</t>
  </si>
  <si>
    <t>\Microsoft\Windows\Speech\SpeechModelDownloadTask</t>
  </si>
  <si>
    <t xml:space="preserve">%windir%\system32\speech_onecore\common\SpeechModelDownload.exe </t>
  </si>
  <si>
    <t>10 分アイドルだった場合にのみ開始, 10 分アイドルでない場合再実行</t>
  </si>
  <si>
    <t>\Microsoft\Windows\Storage Tiers Management\Storage Tiers Management Initialization</t>
  </si>
  <si>
    <t>\Microsoft\Windows\Storage Tiers Management\Storage Tiers Optimization</t>
  </si>
  <si>
    <t>%windir%\system32\defrag.exe -c -h -g -# -m 8 -i 13500</t>
  </si>
  <si>
    <t>4 時間、0 分</t>
  </si>
  <si>
    <t>\Microsoft\Windows\Task Manager\Interactive</t>
  </si>
  <si>
    <t>\Microsoft\Windows\TextServicesFramework\MsCtfMonitor</t>
  </si>
  <si>
    <t>TextServicesFramework monitor task</t>
  </si>
  <si>
    <t>\Microsoft\Windows\Time Synchronization\ForceSynchronizeTime</t>
  </si>
  <si>
    <t>このタスクでは、時刻が同期されます。</t>
  </si>
  <si>
    <t>\Microsoft\Windows\Time Synchronization\SynchronizeTime</t>
  </si>
  <si>
    <t>%windir%\system32\sc.exe start w32time task_started</t>
  </si>
  <si>
    <t>\Microsoft\Windows\Time Zone\SynchronizeTimeZone</t>
  </si>
  <si>
    <t xml:space="preserve">%windir%\system32\tzsync.exe </t>
  </si>
  <si>
    <t>\Microsoft\Windows\TPM\Tpm-HASCertRetr</t>
  </si>
  <si>
    <t>このタスクには正常性構成証明書が必要です。</t>
  </si>
  <si>
    <t>\Microsoft\Windows\TPM\Tpm-Maintenance</t>
  </si>
  <si>
    <t>%systemroot%\system32\usoclient.exe StartScan</t>
  </si>
  <si>
    <t>%systemroot%\system32\MusNotification.exe Display</t>
  </si>
  <si>
    <t>\Microsoft\Windows\UpdateOrchestrator\Schedule Scan</t>
  </si>
  <si>
    <t>\Microsoft\Windows\UpdateOrchestrator\Schedule Scan Static Task</t>
  </si>
  <si>
    <t>\Microsoft\Windows\UpdateOrchestrator\USO_UxBroker</t>
  </si>
  <si>
    <t xml:space="preserve">%systemroot%\system32\MusNotification.exe </t>
  </si>
  <si>
    <t>\Microsoft\Windows\UPnP\UPnPHostConfig</t>
  </si>
  <si>
    <t>sc.exe config upnphost start= auto</t>
  </si>
  <si>
    <t>\Microsoft\Windows\User Profile Service\HiveUploadTask</t>
  </si>
  <si>
    <t>10 分アイドルだった場合にのみ開始, 120 分アイドルでない場合再実行</t>
  </si>
  <si>
    <t>12 時間、0 分</t>
  </si>
  <si>
    <t>\Microsoft\Windows\WaaSMedic\PerformRemediation</t>
  </si>
  <si>
    <t>168 時間、0 分</t>
  </si>
  <si>
    <t>\Microsoft\Windows\WDI\ResolutionHost</t>
  </si>
  <si>
    <t>\Microsoft\Windows\Windows Defender\Windows Defender Cache Maintenance</t>
  </si>
  <si>
    <t>定期的なメンテナンス タスクです。</t>
  </si>
  <si>
    <t>\Microsoft\Windows\Windows Defender\Windows Defender Cleanup</t>
  </si>
  <si>
    <t>\Microsoft\Windows\Windows Defender\Windows Defender Scheduled Scan</t>
  </si>
  <si>
    <t>定期的なスキャン タスクです。</t>
  </si>
  <si>
    <t>\Microsoft\Windows\Windows Defender\Windows Defender Verification</t>
  </si>
  <si>
    <t>定期的な検証タスクです。</t>
  </si>
  <si>
    <t>\Microsoft\Windows\Windows Error Reporting\QueueReporting</t>
  </si>
  <si>
    <t>%windir%\system32\wermgr.exe -upload</t>
  </si>
  <si>
    <t>\Microsoft\Windows\Windows Filtering Platform\BfeOnServiceStartTypeChange</t>
  </si>
  <si>
    <t>%windir%\system32\rundll32.exe bfe.dll,BfeOnServiceStartTypeChange</t>
  </si>
  <si>
    <t>\Microsoft\Windows\Windows Media Sharing\UpdateLibrary</t>
  </si>
  <si>
    <t>%ProgramFiles%\Windows Media Player\wmpnscfg.exe" "</t>
  </si>
  <si>
    <t>\Microsoft\Windows\WindowsColorSystem\Calibration Loader</t>
  </si>
  <si>
    <t>このタスクは色調整の設定を適用します。</t>
  </si>
  <si>
    <t>\Microsoft\Windows\WindowsUpdate\Scheduled Start</t>
  </si>
  <si>
    <t>Microsoft Corporation.</t>
  </si>
  <si>
    <t>C:\Windows\system32\sc.exe start wuauserv</t>
  </si>
  <si>
    <t>\Microsoft\Windows\Wininet\CacheTask</t>
  </si>
  <si>
    <t>実行中</t>
  </si>
  <si>
    <t>Wininet キャッシュ タスク</t>
  </si>
  <si>
    <t>\Microsoft\Windows\Workplace Join\Automatic-Device-Join</t>
  </si>
  <si>
    <t>%SystemRoot%\System32\dsregcmd.exe $(Arg0) $(Arg1) $(Arg2)</t>
  </si>
  <si>
    <t>\Microsoft\Windows\Workplace Join\Recovery-Check</t>
  </si>
  <si>
    <t>%SystemRoot%\System32\dsregcmd.exe /checkrecovery</t>
  </si>
  <si>
    <t>回復の確認を実行します。</t>
  </si>
  <si>
    <t>名前</t>
  </si>
  <si>
    <t>説明</t>
  </si>
  <si>
    <t>ログオン</t>
  </si>
  <si>
    <t>ActiveX Installer (AxInstSV)</t>
  </si>
  <si>
    <t>手動</t>
  </si>
  <si>
    <t>Local System</t>
  </si>
  <si>
    <t>AllJoyn Router Service</t>
  </si>
  <si>
    <t>Local Service</t>
  </si>
  <si>
    <t>App Readiness</t>
  </si>
  <si>
    <t>Application Identity</t>
  </si>
  <si>
    <t>Application Information</t>
  </si>
  <si>
    <t>Application Layer Gateway Service</t>
  </si>
  <si>
    <t>Application Management</t>
  </si>
  <si>
    <t>AppX Deployment Service (AppXSVC)</t>
  </si>
  <si>
    <t>Background Intelligent Transfer Service</t>
  </si>
  <si>
    <t>Background Tasks Infrastructure Service</t>
  </si>
  <si>
    <t>自動</t>
  </si>
  <si>
    <t>Base Filtering Engine</t>
  </si>
  <si>
    <t>Certificate Propagation</t>
  </si>
  <si>
    <t>Client License Service (ClipSVC)</t>
  </si>
  <si>
    <t>CNG Key Isolation</t>
  </si>
  <si>
    <t>COM+ Event System</t>
  </si>
  <si>
    <t>COM+ System Application</t>
  </si>
  <si>
    <t>Connected Devices Platform Service</t>
  </si>
  <si>
    <t>Connected User Experiences and Telemetry</t>
  </si>
  <si>
    <t>ConnectUX と PC 設定を Wi-Fi ディスプレイと Bluetooth デバイスに接続し、ペアリングすることを許可します。</t>
  </si>
  <si>
    <t>CoreMessaging</t>
  </si>
  <si>
    <t>Manages communication between system components.</t>
  </si>
  <si>
    <t>Credential Manager</t>
  </si>
  <si>
    <t>Cryptographic Services</t>
  </si>
  <si>
    <t>Network Service</t>
  </si>
  <si>
    <t>Data Sharing Service</t>
  </si>
  <si>
    <t>DCOM Server Process Launcher</t>
  </si>
  <si>
    <t>Delivery Optimization</t>
  </si>
  <si>
    <t>コンテンツ配信の最適化タスクを実行します</t>
  </si>
  <si>
    <t>Device Association Service</t>
  </si>
  <si>
    <t>Device Install Service</t>
  </si>
  <si>
    <t>Device Setup Manager</t>
  </si>
  <si>
    <t>DevQuery Background Discovery Broker</t>
  </si>
  <si>
    <t>アプリによるバックグラウンド タスクを使用したデバイス検出を可能にします</t>
  </si>
  <si>
    <t>DHCP Client</t>
  </si>
  <si>
    <t>Diagnostic Policy Service</t>
  </si>
  <si>
    <t>自動 (遅延開始)</t>
  </si>
  <si>
    <t>Diagnostic Service Host</t>
  </si>
  <si>
    <t>Diagnostic System Host</t>
  </si>
  <si>
    <t>Distributed Link Tracking Client</t>
  </si>
  <si>
    <t>Distributed Transaction Coordinator</t>
  </si>
  <si>
    <t>DNS Client</t>
  </si>
  <si>
    <t>Downloaded Maps Manager</t>
  </si>
  <si>
    <t>Encrypting File System (EFS)</t>
  </si>
  <si>
    <t>Enterprise App Management Service</t>
  </si>
  <si>
    <t>Extensible Authentication Protocol</t>
  </si>
  <si>
    <t>Function Discovery Provider Host</t>
  </si>
  <si>
    <t>Function Discovery Resource Publication</t>
  </si>
  <si>
    <t>Geolocation Service</t>
  </si>
  <si>
    <t>GraphicsPerfSvc</t>
  </si>
  <si>
    <t>Graphics performance monitor service</t>
  </si>
  <si>
    <t>Group Policy Client</t>
  </si>
  <si>
    <t>Human Interface Device Service</t>
  </si>
  <si>
    <t>Hyper-V Data Exchange Service</t>
  </si>
  <si>
    <t>Hyper-V Guest Service Interface</t>
  </si>
  <si>
    <t>Hyper-V Guest Shutdown Service</t>
  </si>
  <si>
    <t>Hyper-V Heartbeat Service</t>
  </si>
  <si>
    <t>Hyper-V PowerShell Direct Service</t>
  </si>
  <si>
    <t>Hyper-V Time Synchronization Service</t>
  </si>
  <si>
    <t>IKE and AuthIP IPsec Keying Modules</t>
  </si>
  <si>
    <t>Internet Connection Sharing (ICS)</t>
  </si>
  <si>
    <t>IP Helper</t>
  </si>
  <si>
    <t>IPsec Policy Agent</t>
  </si>
  <si>
    <t>KDC Proxy Server service (KPS)</t>
  </si>
  <si>
    <t>KtmRm for Distributed Transaction Coordinator</t>
  </si>
  <si>
    <t>Link-Layer Topology Discovery Mapper</t>
  </si>
  <si>
    <t>Local Session Manager</t>
  </si>
  <si>
    <t>Microsoft Account Sign-in Assistant</t>
  </si>
  <si>
    <t>Microsoft App-V Client</t>
  </si>
  <si>
    <t>Manages App-V users and virtual applications</t>
  </si>
  <si>
    <t>Microsoft iSCSI Initiator Service</t>
  </si>
  <si>
    <t>Microsoft Passport</t>
  </si>
  <si>
    <t>Microsoft Passport Container</t>
  </si>
  <si>
    <t>Microsoft Software Shadow Copy Provider</t>
  </si>
  <si>
    <t>Microsoft Storage Spaces SMP</t>
  </si>
  <si>
    <t>Net.Tcp Port Sharing Service</t>
  </si>
  <si>
    <t>Netlogon</t>
  </si>
  <si>
    <t>Network Connection Broker</t>
  </si>
  <si>
    <t>Network Connections</t>
  </si>
  <si>
    <t>Network Connectivity Assistant</t>
  </si>
  <si>
    <t>Network List Service</t>
  </si>
  <si>
    <t>Network Location Awareness</t>
  </si>
  <si>
    <t>Network Setup Service</t>
  </si>
  <si>
    <t>Network Store Interface Service</t>
  </si>
  <si>
    <t>Offline Files</t>
  </si>
  <si>
    <t>OpenSSH Authentication Agent</t>
  </si>
  <si>
    <t>Agent to hold private keys used for public key authentication.</t>
  </si>
  <si>
    <t>Optimize drives</t>
  </si>
  <si>
    <t>Performance Counter DLL Host</t>
  </si>
  <si>
    <t>Performance Logs &amp; Alerts</t>
  </si>
  <si>
    <t>Plug and Play</t>
  </si>
  <si>
    <t>Portable Device Enumerator Service</t>
  </si>
  <si>
    <t>Power</t>
  </si>
  <si>
    <t>Print Spooler</t>
  </si>
  <si>
    <t>Printer Extensions and Notifications</t>
  </si>
  <si>
    <t>Program Compatibility Assistant Service</t>
  </si>
  <si>
    <t>Quality Windows Audio Video Experience</t>
  </si>
  <si>
    <t>Remote Access Auto Connection Manager</t>
  </si>
  <si>
    <t>Remote Access Connection Manager</t>
  </si>
  <si>
    <t>Remote Desktop Configuration</t>
  </si>
  <si>
    <t>Remote Desktop Services</t>
  </si>
  <si>
    <t>Remote Desktop Services UserMode Port Redirector</t>
  </si>
  <si>
    <t>Remote Procedure Call (RPC)</t>
  </si>
  <si>
    <t>Remote Procedure Call (RPC) Locator</t>
  </si>
  <si>
    <t>Remote Registry</t>
  </si>
  <si>
    <t>Resultant Set of Policy Provider</t>
  </si>
  <si>
    <t>Routing and Remote Access</t>
  </si>
  <si>
    <t>RPC Endpoint Mapper</t>
  </si>
  <si>
    <t>Secondary Logon</t>
  </si>
  <si>
    <t>Secure Socket Tunneling Protocol Service</t>
  </si>
  <si>
    <t>Security Accounts Manager</t>
  </si>
  <si>
    <t>Sensor Data Service</t>
  </si>
  <si>
    <t>Sensor Monitoring Service</t>
  </si>
  <si>
    <t>Sensor Service</t>
  </si>
  <si>
    <t>Server</t>
  </si>
  <si>
    <t>Shared PC Account Manager</t>
  </si>
  <si>
    <t>Manages profiles and accounts on a SharedPC configured device</t>
  </si>
  <si>
    <t>Shell Hardware Detection</t>
  </si>
  <si>
    <t>Smart Card</t>
  </si>
  <si>
    <t>Smart Card Device Enumeration Service</t>
  </si>
  <si>
    <t>Smart Card Removal Policy</t>
  </si>
  <si>
    <t>SNMP トラップ</t>
  </si>
  <si>
    <t>Software Protection</t>
  </si>
  <si>
    <t>Special Administration Console Helper</t>
  </si>
  <si>
    <t>Spot Verifier</t>
  </si>
  <si>
    <t>ファイル システム破損の可能性を検査します。</t>
  </si>
  <si>
    <t>SSDP Discovery</t>
  </si>
  <si>
    <t>State Repository Service</t>
  </si>
  <si>
    <t>Still Image Acquisition Events</t>
  </si>
  <si>
    <t>Storage Service</t>
  </si>
  <si>
    <t>Storage Tiers Management</t>
  </si>
  <si>
    <t>SysMain</t>
  </si>
  <si>
    <t>System Event Notification Service</t>
  </si>
  <si>
    <t>System Events Broker</t>
  </si>
  <si>
    <t>Task Scheduler</t>
  </si>
  <si>
    <t>TCP/IP NetBIOS Helper</t>
  </si>
  <si>
    <t>Telephony</t>
  </si>
  <si>
    <t>Themes</t>
  </si>
  <si>
    <t>Time Broker</t>
  </si>
  <si>
    <t>Touch Keyboard and Handwriting Panel Service</t>
  </si>
  <si>
    <t>UPnP Device Host</t>
  </si>
  <si>
    <t>User Access Logging Service</t>
  </si>
  <si>
    <t>User Manager</t>
  </si>
  <si>
    <t>User Profile Service</t>
  </si>
  <si>
    <t>Virtual Disk</t>
  </si>
  <si>
    <t>VMware Alias Manager and Ticket Service</t>
  </si>
  <si>
    <t>Alias Manager and Ticket Service</t>
  </si>
  <si>
    <t>VMware Snapshot Provider</t>
  </si>
  <si>
    <t>VMware スナップショット プロバイダ</t>
  </si>
  <si>
    <t>VMware Tools</t>
  </si>
  <si>
    <t>Volume Shadow Copy</t>
  </si>
  <si>
    <t>WalletService</t>
  </si>
  <si>
    <t>ウォレットのクライアントによって使用されるオブジェクトをホストします</t>
  </si>
  <si>
    <t>Windows Audio</t>
  </si>
  <si>
    <t>Windows Audio Endpoint Builder</t>
  </si>
  <si>
    <t>Windows Biometric Service</t>
  </si>
  <si>
    <t>Windows Connection Manager</t>
  </si>
  <si>
    <t>Windows Defender Advanced Threat Protection Service</t>
  </si>
  <si>
    <t>Windows Defender Firewall</t>
  </si>
  <si>
    <t>Windows Encryption Provider Host Service</t>
  </si>
  <si>
    <t>Windows Error Reporting Service</t>
  </si>
  <si>
    <t>Windows Event Collector</t>
  </si>
  <si>
    <t>Windows Event Log</t>
  </si>
  <si>
    <t>Windows Font Cache Service</t>
  </si>
  <si>
    <t>Windows Image Acquisition (WIA)</t>
  </si>
  <si>
    <t>Windows Installer</t>
  </si>
  <si>
    <t>Windows Licensing Monitoring Service</t>
  </si>
  <si>
    <t>Windows Management Instrumentation</t>
  </si>
  <si>
    <t>Windows Media Player Network Sharing Service</t>
  </si>
  <si>
    <t>Windows Modules Installer</t>
  </si>
  <si>
    <t>Windows Remote Management (WS-Management)</t>
  </si>
  <si>
    <t>Windows Search</t>
  </si>
  <si>
    <t>Windows Time</t>
  </si>
  <si>
    <t>Windows Update</t>
  </si>
  <si>
    <t>Windows Update Medic Service</t>
  </si>
  <si>
    <t>WinHTTP Web Proxy Auto-Discovery Service</t>
  </si>
  <si>
    <t>Wired AutoConfig</t>
  </si>
  <si>
    <t>WMI Performance Adapter</t>
  </si>
  <si>
    <t>Workstation</t>
  </si>
  <si>
    <t>デバイス管理へのデバイス登録アクティビティを行います</t>
  </si>
  <si>
    <t>セキュリティメソッド</t>
    <phoneticPr fontId="1"/>
  </si>
  <si>
    <t>MD5</t>
    <phoneticPr fontId="1"/>
  </si>
  <si>
    <t>暗号化アルゴリズム</t>
    <rPh sb="0" eb="3">
      <t>アンゴ</t>
    </rPh>
    <phoneticPr fontId="1"/>
  </si>
  <si>
    <t>3DES</t>
    <phoneticPr fontId="1"/>
  </si>
  <si>
    <t>DES</t>
    <phoneticPr fontId="1"/>
  </si>
  <si>
    <t>セッション</t>
    <phoneticPr fontId="1"/>
  </si>
  <si>
    <t>整合性アルゴリズム</t>
    <rPh sb="0" eb="3">
      <t>セイゴ</t>
    </rPh>
    <phoneticPr fontId="1"/>
  </si>
  <si>
    <t>認証方法</t>
    <rPh sb="0" eb="4">
      <t>ニンショ</t>
    </rPh>
    <phoneticPr fontId="1"/>
  </si>
  <si>
    <t>アカウントのマッピングで証明書を有効にする</t>
    <rPh sb="12" eb="15">
      <t>ショウメ</t>
    </rPh>
    <rPh sb="16" eb="18">
      <t>ユウコ</t>
    </rPh>
    <phoneticPr fontId="1"/>
  </si>
  <si>
    <t>例外</t>
    <rPh sb="0" eb="2">
      <t>レイガ</t>
    </rPh>
    <phoneticPr fontId="1"/>
  </si>
  <si>
    <t>操作</t>
  </si>
  <si>
    <t>優先</t>
  </si>
  <si>
    <t>プログラム</t>
  </si>
  <si>
    <t>プロトコル</t>
  </si>
  <si>
    <t>はい</t>
  </si>
  <si>
    <t>許可</t>
  </si>
  <si>
    <t>いいえ</t>
  </si>
  <si>
    <t>%SystemRoot%\system32\svchost.exe</t>
  </si>
  <si>
    <t>任意</t>
  </si>
  <si>
    <t>TCP</t>
  </si>
  <si>
    <t>UDP</t>
  </si>
  <si>
    <t>BranchCache コンテンツ取得 (HTTP-受信)</t>
  </si>
  <si>
    <t>BranchCache - コンテンツ取得 (HTTP を使用)</t>
  </si>
  <si>
    <t>BranchCache ピア検出 (WSD-受信)</t>
  </si>
  <si>
    <t>BranchCache - ピア検出 (WSD を使用)</t>
  </si>
  <si>
    <t>%systemroot%\system32\svchost.exe</t>
  </si>
  <si>
    <t>80, 443</t>
  </si>
  <si>
    <t>%systemroot%\system32\dllhost.exe</t>
  </si>
  <si>
    <t>Delivery Optimization (TCP-In)</t>
  </si>
  <si>
    <t>Delivery Optimization (UDP-In)</t>
  </si>
  <si>
    <t>System</t>
  </si>
  <si>
    <t>mDNS (UDP 受信)</t>
  </si>
  <si>
    <t>mDNS</t>
  </si>
  <si>
    <t>%SystemRoot%\System32\lsass.exe</t>
  </si>
  <si>
    <t>Secure Socket トンネリング プロトコル (SSTP 受信)</t>
  </si>
  <si>
    <t>Secure Socket トンネリング プロトコル</t>
  </si>
  <si>
    <t>%SystemRoot%\system32\snmptrap.exe</t>
  </si>
  <si>
    <t>%SystemRoot%\system32\RmtTpmVscMgrSvr.exe</t>
  </si>
  <si>
    <t>Windows Management Instrumentation (DCOM 受信)</t>
  </si>
  <si>
    <t>Windows Management Instrumentation (WMI)</t>
  </si>
  <si>
    <t>Windows Management Instrumentation (WMI 受信)</t>
  </si>
  <si>
    <t>Windows Management Instrumentation (非同期受信)</t>
  </si>
  <si>
    <t>%systemroot%\system32\wbem\unsecapp.exe</t>
  </si>
  <si>
    <t>Windows Media Player (UDP 受信)</t>
  </si>
  <si>
    <t>Windows Media Player</t>
  </si>
  <si>
    <t>%ProgramFiles%\Windows Media Player\wmplayer.exe</t>
  </si>
  <si>
    <t>Windows Media Player x86 (UDP 受信)</t>
  </si>
  <si>
    <t>%ProgramFiles(x86)%\Windows Media Player\wmplayer.exe</t>
  </si>
  <si>
    <t>%PROGRAMFILES%\Windows Media Player\wmpnetwk.exe</t>
  </si>
  <si>
    <t>%PROGRAMFILES%\Windows Media Player\wmplayer.exe</t>
  </si>
  <si>
    <t>%SystemRoot%\system32\sppextcomobj.exe</t>
  </si>
  <si>
    <t>IPHTTPS</t>
  </si>
  <si>
    <t>IPv6</t>
  </si>
  <si>
    <t>IGMP</t>
  </si>
  <si>
    <t>ICMPv6</t>
  </si>
  <si>
    <t>fe80::/64</t>
  </si>
  <si>
    <t>ICMPv4</t>
  </si>
  <si>
    <t>%SystemRoot%\system32\MuxSvcHost.exe</t>
  </si>
  <si>
    <t>デバイス キャスト SSDP 探索 (UDP 受信)</t>
  </si>
  <si>
    <t>デバイス キャスト機能</t>
  </si>
  <si>
    <t>PlayTo 検出</t>
  </si>
  <si>
    <t>デバイス キャスト UPnP イベント (TCP 受信)</t>
  </si>
  <si>
    <t>%SystemRoot%\system32\mdeserver.exe</t>
  </si>
  <si>
    <t>23554, 23555, 23556</t>
  </si>
  <si>
    <t>デバイス キャスト機能 (qWave TCP 受信)</t>
  </si>
  <si>
    <t>デバイス キャスト機能 (qWave UDP 受信)</t>
  </si>
  <si>
    <t>%systemroot%\system32\plasrv.exe</t>
  </si>
  <si>
    <t>%SystemRoot%\system32\spoolsv.exe</t>
  </si>
  <si>
    <t>%SystemRoot%\system32\NetEvtFwdr.exe</t>
  </si>
  <si>
    <t>%SystemRoot%\system32\services.exe</t>
  </si>
  <si>
    <t>%systemroot%\system32\wininit.exe</t>
  </si>
  <si>
    <t>%SystemRoot%\system32\RdpSa.exe</t>
  </si>
  <si>
    <t>%SystemRoot%\system32\vds.exe</t>
  </si>
  <si>
    <t>%SystemRoot%\system32\vdsldr.exe</t>
  </si>
  <si>
    <t>GRE</t>
  </si>
  <si>
    <t>%SystemRoot%\system32\msdtc.exe</t>
  </si>
  <si>
    <t>BranchCache コンテンツ取得 (HTTP-送信)</t>
  </si>
  <si>
    <t>BranchCache ピア検出 (WSD-送信)</t>
  </si>
  <si>
    <t>BranchCache ホスト型キャッシュ クライアント (HTTP-送信)</t>
  </si>
  <si>
    <t>BranchCache - ホスト型キャッシュ クライアント (HTTPS を使用)</t>
  </si>
  <si>
    <t>DiagTrack</t>
  </si>
  <si>
    <t>mDNS (UDP 送信)</t>
  </si>
  <si>
    <t>Windows Management Instrumentation (WMI 送信)</t>
  </si>
  <si>
    <t>Windows Media Player (TCP 送信)</t>
  </si>
  <si>
    <t>Windows Media Player (UDP 送信)</t>
  </si>
  <si>
    <t>Windows Media Player x86 (TCP 送信)</t>
  </si>
  <si>
    <t>Windows Media Player x86 (UDP 送信)</t>
  </si>
  <si>
    <t>Windows デバイスの管理</t>
  </si>
  <si>
    <t>%SystemRoot%\system32\dmcertinst.exe</t>
  </si>
  <si>
    <t>Windows デバイス管理同期クライアント (TCP 送信)</t>
  </si>
  <si>
    <t>%SystemRoot%\system32\omadmclient.exe</t>
  </si>
  <si>
    <t>%SystemRoot%\system32\lsass.exe</t>
  </si>
  <si>
    <t>デバイス キャスト機能 (qWave TCP 送信)</t>
  </si>
  <si>
    <t>デバイス キャスト機能 (qWave UDP 送信)</t>
  </si>
  <si>
    <t>セキュリティの設定</t>
    <rPh sb="7" eb="9">
      <t>セッテ</t>
    </rPh>
    <phoneticPr fontId="1"/>
  </si>
  <si>
    <t>0 文字以上</t>
  </si>
  <si>
    <t>0 日</t>
  </si>
  <si>
    <t>42 日</t>
  </si>
  <si>
    <t>0 回</t>
  </si>
  <si>
    <t>アカウントのロックアウトのしきい値</t>
  </si>
  <si>
    <t>ロックアウト期間</t>
  </si>
  <si>
    <t>0 回ログオンに失敗</t>
  </si>
  <si>
    <t>該当なし</t>
  </si>
  <si>
    <t>アカウント ログオン イベントの監査</t>
  </si>
  <si>
    <t>アカウント管理の監査</t>
  </si>
  <si>
    <t>オブジェクト アクセスの監査</t>
  </si>
  <si>
    <t>システム イベントの監査</t>
  </si>
  <si>
    <t>プロセス追跡の監査</t>
  </si>
  <si>
    <t>ログオン イベントの監査</t>
  </si>
  <si>
    <t>特権使用の監査</t>
  </si>
  <si>
    <t>監査しない</t>
  </si>
  <si>
    <t>オブジェクト ラベルの変更</t>
  </si>
  <si>
    <t>システムのシャットダウン</t>
  </si>
  <si>
    <t>システム時刻の変更</t>
  </si>
  <si>
    <t>シンボリック リンクの作成</t>
  </si>
  <si>
    <t>セキュリティ監査の生成</t>
  </si>
  <si>
    <t>バッチ ジョブとしてのログオンを拒否</t>
  </si>
  <si>
    <t>バッチ ジョブとしてログオン</t>
  </si>
  <si>
    <t>ファイルとその他のオブジェクトの所有権の取得</t>
  </si>
  <si>
    <t>ファイルとディレクトリのバックアップ</t>
  </si>
  <si>
    <t>ファイルとディレクトリの復元</t>
  </si>
  <si>
    <t>プログラムのデバッグ</t>
  </si>
  <si>
    <t>永続的共有オブジェクトの作成</t>
  </si>
  <si>
    <t>監査とセキュリティ ログの管理</t>
  </si>
  <si>
    <t>走査チェックのバイパス</t>
  </si>
  <si>
    <t>単一プロセスのプロファイル</t>
  </si>
  <si>
    <t>認証後にクライアントを偽装</t>
  </si>
  <si>
    <t>LOCAL SERVICE,NETWORK SERVICE,Administrators,SERVICE</t>
  </si>
  <si>
    <t>NT SERVICE\ALL SERVICES</t>
  </si>
  <si>
    <t>Administrators,NT SERVICE\WdiServiceHost</t>
  </si>
  <si>
    <t>Administrators,Backup Operators</t>
  </si>
  <si>
    <t>LOCAL SERVICE,Administrators</t>
  </si>
  <si>
    <t>Administrators,Window Manager\Window Manager Group</t>
  </si>
  <si>
    <t>LOCAL SERVICE,NETWORK SERVICE</t>
  </si>
  <si>
    <t>Everyone,Administrators,Users,Backup Operators</t>
  </si>
  <si>
    <t>Administrators,Backup Operators,Performance Log Users</t>
  </si>
  <si>
    <t>LOCAL SERVICE,NETWORK SERVICE,Administrators</t>
  </si>
  <si>
    <t>Administrators,Remote Desktop Users</t>
  </si>
  <si>
    <t>Administrators,Users,Backup Operators</t>
  </si>
  <si>
    <t>Everyone,LOCAL SERVICE,NETWORK SERVICE,Administrators,Users,Backup Operators</t>
  </si>
  <si>
    <t>セキュリティオプション</t>
    <phoneticPr fontId="1"/>
  </si>
  <si>
    <t>アカウント: Administrator アカウントの状態</t>
  </si>
  <si>
    <t>アカウント: Administrator アカウント名の変更</t>
  </si>
  <si>
    <t>アカウント: Guest アカウントの状態</t>
  </si>
  <si>
    <t>アカウント: Guest アカウント名の変更</t>
  </si>
  <si>
    <t>アカウント:Microsoft アカウントをブロックする</t>
  </si>
  <si>
    <t>システム オブジェクト: Windows システムではないサブシステムのための大文字と小文字の区別をしないことが必須</t>
  </si>
  <si>
    <t>システム オブジェクト: 内部のシステム オブジェクトの既定のアクセス許可を強化する (例: シンボリック リンク)</t>
  </si>
  <si>
    <t>システム暗号化: 暗号化、ハッシュ、署名のための FIPS 準拠アルゴリズムを使う</t>
  </si>
  <si>
    <t>システム設定: オプション サブシステム</t>
  </si>
  <si>
    <t>シャットダウン: システムのシャットダウンにログオンを必要としない</t>
  </si>
  <si>
    <t>デバイス: ログオンなしの装着解除を許可する</t>
  </si>
  <si>
    <t>15 分間</t>
  </si>
  <si>
    <t>Guest</t>
  </si>
  <si>
    <t>30 日間</t>
  </si>
  <si>
    <t>System\CurrentControlSet\Control\ProductOptions,System\CurrentControlSet\Control\Server Applications,Software\Microsoft\Windows NT\CurrentVersion</t>
  </si>
  <si>
    <t>System\CurrentControlSet\Control\Print\Printers,System\CurrentControlSet\Services\Eventlog,Software\Microsoft\OLAP Server,Software\Microsoft\Windows NT\CurrentVersion\Print,Software\Microsoft\Windows NT\CurrentVersion\Windows,System\CurrentControlSet\Control\ContentIndex,System\CurrentControlSet\Control\Terminal Server,System\CurrentControlSet\Control\Terminal Server\UserConfig,System\CurrentControlSet\Control\Terminal Server\DefaultUserConfiguration,Software\Microsoft\Windows NT\CurrentVersion\Perflib,System\CurrentControlSet\Services\SysmonLog</t>
  </si>
  <si>
    <t>128 ビット暗号化が必要</t>
  </si>
  <si>
    <t>Windows 以外のバイナリに対する同意を要求する</t>
  </si>
  <si>
    <t>資格情報を要求する</t>
  </si>
  <si>
    <t>10 ログオン</t>
  </si>
  <si>
    <t>何もしない</t>
  </si>
  <si>
    <t>5 日間</t>
  </si>
  <si>
    <t>監査: セキュリティ監査のログを記録できない場合は直ちにシステムをシャットダウンする</t>
  </si>
  <si>
    <t>監査: バックアップと復元の特権の使用を監査する</t>
  </si>
  <si>
    <t>対話型ログオン: Ctrl + Alt + Del を必要としない</t>
  </si>
  <si>
    <t>未構成</t>
    <rPh sb="0" eb="3">
      <t>ミコウセ</t>
    </rPh>
    <phoneticPr fontId="1"/>
  </si>
  <si>
    <t>アイコン</t>
    <phoneticPr fontId="1"/>
  </si>
  <si>
    <t>未構成</t>
    <rPh sb="0" eb="1">
      <t>ミコウセ</t>
    </rPh>
    <phoneticPr fontId="1"/>
  </si>
  <si>
    <t>このファイル内のアイコンを検索</t>
    <rPh sb="13" eb="15">
      <t>ケ</t>
    </rPh>
    <phoneticPr fontId="1"/>
  </si>
  <si>
    <t>%SystemRoot%\system32\pnidui.dll</t>
    <phoneticPr fontId="1"/>
  </si>
  <si>
    <t>場所の種別</t>
    <rPh sb="0" eb="2">
      <t>バシ</t>
    </rPh>
    <rPh sb="3" eb="5">
      <t>シュベ</t>
    </rPh>
    <phoneticPr fontId="1"/>
  </si>
  <si>
    <t>場所の種類</t>
    <rPh sb="0" eb="1">
      <t>バシ</t>
    </rPh>
    <rPh sb="3" eb="5">
      <t>シュル</t>
    </rPh>
    <phoneticPr fontId="1"/>
  </si>
  <si>
    <t>場所の種類</t>
    <rPh sb="0" eb="2">
      <t>バシ</t>
    </rPh>
    <rPh sb="3" eb="5">
      <t>シュル</t>
    </rPh>
    <phoneticPr fontId="1"/>
  </si>
  <si>
    <t>暗号化ファイルシステム</t>
    <rPh sb="0" eb="3">
      <t xml:space="preserve">アンゴウカファイルシステム </t>
    </rPh>
    <phoneticPr fontId="1"/>
  </si>
  <si>
    <t>BitLockerドライブ暗号化</t>
    <rPh sb="13" eb="16">
      <t>アンゴ</t>
    </rPh>
    <phoneticPr fontId="1"/>
  </si>
  <si>
    <t>構成モデル</t>
    <rPh sb="0" eb="2">
      <t>コウセイモ</t>
    </rPh>
    <phoneticPr fontId="1"/>
  </si>
  <si>
    <t>証明書パス検証の設定</t>
    <rPh sb="0" eb="3">
      <t>ショウメ</t>
    </rPh>
    <rPh sb="5" eb="7">
      <t>ケンショ</t>
    </rPh>
    <rPh sb="8" eb="10">
      <t>セッテ</t>
    </rPh>
    <phoneticPr fontId="1"/>
  </si>
  <si>
    <t>ストア</t>
    <phoneticPr fontId="1"/>
  </si>
  <si>
    <t>信頼された発行元</t>
    <rPh sb="0" eb="2">
      <t>シンラ</t>
    </rPh>
    <rPh sb="5" eb="8">
      <t>ハッコ</t>
    </rPh>
    <phoneticPr fontId="1"/>
  </si>
  <si>
    <t>信頼された発行元の管理</t>
    <rPh sb="0" eb="2">
      <t>シンラ</t>
    </rPh>
    <rPh sb="5" eb="8">
      <t>ハッコ</t>
    </rPh>
    <rPh sb="9" eb="11">
      <t>カ</t>
    </rPh>
    <phoneticPr fontId="1"/>
  </si>
  <si>
    <t>すべての管理者のみに信頼された発行元の管理を許可する</t>
    <rPh sb="0" eb="3">
      <t>スベテノ</t>
    </rPh>
    <rPh sb="4" eb="5">
      <t>カ</t>
    </rPh>
    <rPh sb="10" eb="12">
      <t>シンラ</t>
    </rPh>
    <rPh sb="15" eb="18">
      <t>ハッコ</t>
    </rPh>
    <rPh sb="19" eb="21">
      <t>カ</t>
    </rPh>
    <rPh sb="22" eb="24">
      <t>キョ</t>
    </rPh>
    <phoneticPr fontId="1"/>
  </si>
  <si>
    <t>署名を検証する際の追加チェック</t>
    <rPh sb="0" eb="2">
      <t>ショメ</t>
    </rPh>
    <rPh sb="3" eb="5">
      <t>ケンショ</t>
    </rPh>
    <rPh sb="7" eb="8">
      <t>サ</t>
    </rPh>
    <rPh sb="9" eb="11">
      <t>ツイ</t>
    </rPh>
    <phoneticPr fontId="1"/>
  </si>
  <si>
    <t>発行元の証明書が執行していないことを検証する(推奨)</t>
    <rPh sb="0" eb="3">
      <t>ハッコ</t>
    </rPh>
    <rPh sb="4" eb="7">
      <t>ショウメ</t>
    </rPh>
    <rPh sb="8" eb="10">
      <t>シッコ</t>
    </rPh>
    <rPh sb="18" eb="20">
      <t>ケンショ</t>
    </rPh>
    <rPh sb="23" eb="25">
      <t>スイショ</t>
    </rPh>
    <phoneticPr fontId="1"/>
  </si>
  <si>
    <t>タイムスタンプの証明書が執行していないことを検証する</t>
    <rPh sb="12" eb="14">
      <t>シッコ</t>
    </rPh>
    <rPh sb="22" eb="24">
      <t>ケンショ</t>
    </rPh>
    <phoneticPr fontId="1"/>
  </si>
  <si>
    <t>規定の取得タイムアウトの設定</t>
    <rPh sb="0" eb="2">
      <t>キテ</t>
    </rPh>
    <rPh sb="3" eb="5">
      <t>シュト</t>
    </rPh>
    <rPh sb="12" eb="14">
      <t>セッテ</t>
    </rPh>
    <phoneticPr fontId="1"/>
  </si>
  <si>
    <t>規定のURL取得タイムアウト(秒)(推奨する設定:15)</t>
    <rPh sb="0" eb="2">
      <t>キテ</t>
    </rPh>
    <rPh sb="6" eb="8">
      <t>シュト</t>
    </rPh>
    <rPh sb="15" eb="16">
      <t>ビョ</t>
    </rPh>
    <rPh sb="18" eb="20">
      <t>スイショ</t>
    </rPh>
    <rPh sb="22" eb="24">
      <t>セッテ</t>
    </rPh>
    <phoneticPr fontId="1"/>
  </si>
  <si>
    <t>規定のパス検証取得累積タイムアウト(秒)(推奨する設定:20)</t>
    <rPh sb="0" eb="1">
      <t>キテ</t>
    </rPh>
    <rPh sb="5" eb="7">
      <t>ケンショ</t>
    </rPh>
    <rPh sb="7" eb="9">
      <t>シュト</t>
    </rPh>
    <rPh sb="9" eb="11">
      <t>ルイセ</t>
    </rPh>
    <rPh sb="18" eb="19">
      <t>ビョ</t>
    </rPh>
    <rPh sb="21" eb="23">
      <t>スイショ</t>
    </rPh>
    <rPh sb="25" eb="27">
      <t>セッテ</t>
    </rPh>
    <phoneticPr fontId="1"/>
  </si>
  <si>
    <t>パス検証時に発行者証明書(AIA)取得を許可する(推奨)</t>
    <rPh sb="2" eb="5">
      <t>ケンショ</t>
    </rPh>
    <rPh sb="6" eb="9">
      <t>ハッコ</t>
    </rPh>
    <rPh sb="9" eb="12">
      <t>シ</t>
    </rPh>
    <rPh sb="17" eb="19">
      <t>シュト</t>
    </rPh>
    <rPh sb="20" eb="22">
      <t>キョ</t>
    </rPh>
    <rPh sb="25" eb="27">
      <t>スイショ</t>
    </rPh>
    <phoneticPr fontId="1"/>
  </si>
  <si>
    <t>失効</t>
    <rPh sb="0" eb="2">
      <t>シッコ</t>
    </rPh>
    <phoneticPr fontId="1"/>
  </si>
  <si>
    <t>常にオンライン証明書状態プロトコル(OCSP)応答よりも証明書失効リスト(CRL)を優先する(推奨しません)</t>
    <rPh sb="0" eb="1">
      <t>ツ</t>
    </rPh>
    <rPh sb="7" eb="10">
      <t>シ</t>
    </rPh>
    <rPh sb="10" eb="12">
      <t>ジョウタ</t>
    </rPh>
    <rPh sb="23" eb="25">
      <t>オウト</t>
    </rPh>
    <rPh sb="28" eb="31">
      <t>ショウメ</t>
    </rPh>
    <rPh sb="31" eb="33">
      <t>シッコ</t>
    </rPh>
    <rPh sb="42" eb="44">
      <t>ユウセ</t>
    </rPh>
    <rPh sb="47" eb="49">
      <t>スイショ</t>
    </rPh>
    <phoneticPr fontId="1"/>
  </si>
  <si>
    <t>同じCRL配布ポイントに対応するキャッシュされたOCSP応答が次の数より多ければ、OCSP応答よりもCRLを優先する(推奨設定:50)</t>
    <rPh sb="0" eb="1">
      <t>オナシ</t>
    </rPh>
    <rPh sb="5" eb="7">
      <t>ハイ</t>
    </rPh>
    <rPh sb="12" eb="14">
      <t>タイオ</t>
    </rPh>
    <rPh sb="28" eb="30">
      <t>オウト</t>
    </rPh>
    <rPh sb="31" eb="32">
      <t>ツギ</t>
    </rPh>
    <rPh sb="33" eb="34">
      <t>カス</t>
    </rPh>
    <rPh sb="36" eb="37">
      <t>オオケ</t>
    </rPh>
    <rPh sb="45" eb="47">
      <t>オウト</t>
    </rPh>
    <rPh sb="54" eb="56">
      <t>ユウセ</t>
    </rPh>
    <rPh sb="59" eb="61">
      <t>スイショ</t>
    </rPh>
    <rPh sb="61" eb="63">
      <t>セッテ</t>
    </rPh>
    <phoneticPr fontId="1"/>
  </si>
  <si>
    <t>CRLおよびOCSP応答をその有効期間より長い時間有効にすることを許可する(推奨しません)</t>
    <rPh sb="10" eb="12">
      <t>オウト</t>
    </rPh>
    <rPh sb="15" eb="19">
      <t>ユウコ</t>
    </rPh>
    <rPh sb="21" eb="22">
      <t>ナガ</t>
    </rPh>
    <rPh sb="23" eb="25">
      <t>ジカ</t>
    </rPh>
    <rPh sb="25" eb="27">
      <t>ユ</t>
    </rPh>
    <rPh sb="33" eb="35">
      <t>キョカ</t>
    </rPh>
    <rPh sb="38" eb="40">
      <t>スイショジカンタ</t>
    </rPh>
    <phoneticPr fontId="1"/>
  </si>
  <si>
    <t>有効期間の延長可能時間(時間単位)</t>
    <rPh sb="0" eb="4">
      <t>ユウコ</t>
    </rPh>
    <rPh sb="5" eb="7">
      <t>エンチョ</t>
    </rPh>
    <rPh sb="7" eb="9">
      <t>カノ</t>
    </rPh>
    <rPh sb="9" eb="11">
      <t>シ</t>
    </rPh>
    <rPh sb="12" eb="16">
      <t>ジカンタ</t>
    </rPh>
    <phoneticPr fontId="1"/>
  </si>
  <si>
    <t>AppLocker</t>
    <phoneticPr fontId="1"/>
  </si>
  <si>
    <t>実行可能ファイルの規則</t>
    <rPh sb="0" eb="4">
      <t>ジッコ</t>
    </rPh>
    <rPh sb="9" eb="11">
      <t>キ</t>
    </rPh>
    <phoneticPr fontId="1"/>
  </si>
  <si>
    <t>スクリプトの規則</t>
    <rPh sb="6" eb="8">
      <t>キソ</t>
    </rPh>
    <phoneticPr fontId="1"/>
  </si>
  <si>
    <t>説明</t>
    <rPh sb="0" eb="2">
      <t>セツメ</t>
    </rPh>
    <phoneticPr fontId="1"/>
  </si>
  <si>
    <t>操作</t>
    <rPh sb="0" eb="2">
      <t>ソウ</t>
    </rPh>
    <phoneticPr fontId="1"/>
  </si>
  <si>
    <t>拒否</t>
    <rPh sb="0" eb="2">
      <t>キョ</t>
    </rPh>
    <phoneticPr fontId="1"/>
  </si>
  <si>
    <t>Everyone</t>
    <phoneticPr fontId="1"/>
  </si>
  <si>
    <t>パス</t>
    <phoneticPr fontId="1"/>
  </si>
  <si>
    <t>%PROGRAMFILES%\*</t>
    <phoneticPr fontId="1"/>
  </si>
  <si>
    <t>発行元</t>
    <rPh sb="0" eb="3">
      <t>ハッコ</t>
    </rPh>
    <phoneticPr fontId="1"/>
  </si>
  <si>
    <t>%WINDIR%\*</t>
    <phoneticPr fontId="1"/>
  </si>
  <si>
    <t>すべてのファイル</t>
    <phoneticPr fontId="1"/>
  </si>
  <si>
    <t>BUILTIN\Administrators</t>
    <phoneticPr fontId="1"/>
  </si>
  <si>
    <t>*</t>
    <phoneticPr fontId="1"/>
  </si>
  <si>
    <t>製品名</t>
    <rPh sb="0" eb="3">
      <t>セイヒン</t>
    </rPh>
    <phoneticPr fontId="1"/>
  </si>
  <si>
    <t>以上</t>
    <rPh sb="0" eb="2">
      <t>イジョ</t>
    </rPh>
    <phoneticPr fontId="1"/>
  </si>
  <si>
    <t>以下</t>
    <rPh sb="0" eb="2">
      <t>イ</t>
    </rPh>
    <phoneticPr fontId="1"/>
  </si>
  <si>
    <t>0.0.0.0</t>
    <phoneticPr fontId="1"/>
  </si>
  <si>
    <t>プロパティ</t>
    <phoneticPr fontId="1"/>
  </si>
  <si>
    <t>実施</t>
    <rPh sb="0" eb="2">
      <t>10</t>
    </rPh>
    <phoneticPr fontId="1"/>
  </si>
  <si>
    <t>実行可能ファイルの規則</t>
    <rPh sb="0" eb="4">
      <t>ジッコウカ</t>
    </rPh>
    <rPh sb="9" eb="11">
      <t>キソ</t>
    </rPh>
    <phoneticPr fontId="1"/>
  </si>
  <si>
    <t>構成済み</t>
    <rPh sb="0" eb="2">
      <t>コウセ</t>
    </rPh>
    <rPh sb="2" eb="3">
      <t>ス</t>
    </rPh>
    <phoneticPr fontId="1"/>
  </si>
  <si>
    <t>規則の実施</t>
    <rPh sb="0" eb="2">
      <t>キソ</t>
    </rPh>
    <phoneticPr fontId="1"/>
  </si>
  <si>
    <t>監査のみ</t>
    <rPh sb="0" eb="2">
      <t>カン</t>
    </rPh>
    <phoneticPr fontId="1"/>
  </si>
  <si>
    <t>DLLの規則のコレクションを有効にする</t>
    <rPh sb="4" eb="6">
      <t>キソ</t>
    </rPh>
    <rPh sb="14" eb="16">
      <t>ユウコ</t>
    </rPh>
    <phoneticPr fontId="1"/>
  </si>
  <si>
    <t>%WINDIR%\Installer\*</t>
    <phoneticPr fontId="1"/>
  </si>
  <si>
    <t>*.*</t>
    <phoneticPr fontId="1"/>
  </si>
  <si>
    <t>すべてのスクリプト</t>
    <phoneticPr fontId="1"/>
  </si>
  <si>
    <t>180[分]</t>
    <rPh sb="4" eb="5">
      <t xml:space="preserve">フン </t>
    </rPh>
    <phoneticPr fontId="1"/>
  </si>
  <si>
    <t>480[分]</t>
    <rPh sb="4" eb="5">
      <t>フ</t>
    </rPh>
    <phoneticPr fontId="1"/>
  </si>
  <si>
    <t>IDの保護に用いるIKEセキュリティメソッド</t>
    <rPh sb="3" eb="5">
      <t xml:space="preserve">ホゴ </t>
    </rPh>
    <rPh sb="6" eb="7">
      <t>モチ</t>
    </rPh>
    <phoneticPr fontId="1"/>
  </si>
  <si>
    <t>SHA1</t>
    <phoneticPr fontId="1"/>
  </si>
  <si>
    <t>低(1)</t>
    <rPh sb="0" eb="1">
      <t xml:space="preserve">テイ </t>
    </rPh>
    <phoneticPr fontId="1"/>
  </si>
  <si>
    <t>中(2)</t>
    <rPh sb="0" eb="1">
      <t>チュ</t>
    </rPh>
    <phoneticPr fontId="1"/>
  </si>
  <si>
    <t>高(2048)</t>
    <rPh sb="0" eb="1">
      <t xml:space="preserve">コウ </t>
    </rPh>
    <phoneticPr fontId="1"/>
  </si>
  <si>
    <t>規則</t>
    <rPh sb="0" eb="2">
      <t>キソ</t>
    </rPh>
    <phoneticPr fontId="1"/>
  </si>
  <si>
    <t>整合性と暗号化</t>
    <rPh sb="0" eb="1">
      <t>セイゴ</t>
    </rPh>
    <rPh sb="4" eb="7">
      <t>アンゴ</t>
    </rPh>
    <phoneticPr fontId="1"/>
  </si>
  <si>
    <t>整合性のみ</t>
    <rPh sb="0" eb="3">
      <t>セイゴ</t>
    </rPh>
    <phoneticPr fontId="1"/>
  </si>
  <si>
    <t>&lt;なし&gt;</t>
    <phoneticPr fontId="1"/>
  </si>
  <si>
    <t>KBに1回</t>
    <rPh sb="4" eb="5">
      <t>カ</t>
    </rPh>
    <phoneticPr fontId="1"/>
  </si>
  <si>
    <t>秒に1回</t>
    <rPh sb="0" eb="1">
      <t>ビョ</t>
    </rPh>
    <rPh sb="3" eb="4">
      <t>カ</t>
    </rPh>
    <phoneticPr fontId="1"/>
  </si>
  <si>
    <t>Active Directory規定値(KerberosV5プロトコル)</t>
    <rPh sb="16" eb="19">
      <t>キテイ</t>
    </rPh>
    <phoneticPr fontId="1"/>
  </si>
  <si>
    <t>次の証明機関(CA)からの証明書を使う</t>
    <rPh sb="0" eb="1">
      <t>ツキ</t>
    </rPh>
    <rPh sb="2" eb="6">
      <t>ショウメ</t>
    </rPh>
    <rPh sb="13" eb="16">
      <t>ショウメイシ</t>
    </rPh>
    <rPh sb="17" eb="18">
      <t>ツカ</t>
    </rPh>
    <phoneticPr fontId="1"/>
  </si>
  <si>
    <t>ファイル</t>
    <phoneticPr fontId="1"/>
  </si>
  <si>
    <t>証明書の要求からCA名を除外する</t>
    <rPh sb="0" eb="3">
      <t>ショウメ</t>
    </rPh>
    <rPh sb="4" eb="6">
      <t>ヨウキュ</t>
    </rPh>
    <rPh sb="10" eb="11">
      <t>メ</t>
    </rPh>
    <rPh sb="12" eb="14">
      <t>ジョガ</t>
    </rPh>
    <phoneticPr fontId="1"/>
  </si>
  <si>
    <t>文字列</t>
    <rPh sb="0" eb="3">
      <t>モジレ</t>
    </rPh>
    <phoneticPr fontId="1"/>
  </si>
  <si>
    <t>アカウントログオン</t>
    <phoneticPr fontId="1"/>
  </si>
  <si>
    <t>資格情報の確認の監査</t>
  </si>
  <si>
    <t>その他のアカウント ログオン イベントの監査</t>
  </si>
  <si>
    <t>次の監査イベントを構成する</t>
    <rPh sb="0" eb="1">
      <t>ツキ</t>
    </rPh>
    <rPh sb="2" eb="4">
      <t>カン</t>
    </rPh>
    <rPh sb="9" eb="11">
      <t>コウセ</t>
    </rPh>
    <phoneticPr fontId="1"/>
  </si>
  <si>
    <t>成功</t>
    <rPh sb="0" eb="2">
      <t>セイコ</t>
    </rPh>
    <phoneticPr fontId="1"/>
  </si>
  <si>
    <t>失敗</t>
    <rPh sb="0" eb="2">
      <t>シッパ</t>
    </rPh>
    <phoneticPr fontId="1"/>
  </si>
  <si>
    <t>アカウントの管理</t>
    <rPh sb="6" eb="8">
      <t>カ</t>
    </rPh>
    <phoneticPr fontId="1"/>
  </si>
  <si>
    <t>その他のアカウント管理イベントの監査</t>
  </si>
  <si>
    <t>DPAPI アクティビティの監査</t>
  </si>
  <si>
    <t>PNP アクティビティの監査</t>
  </si>
  <si>
    <t>プロセス作成の監査</t>
  </si>
  <si>
    <t>プロセス終了の監査</t>
  </si>
  <si>
    <t>RPC イベントの監査</t>
  </si>
  <si>
    <t>詳細追跡</t>
    <rPh sb="0" eb="2">
      <t>ショウサ</t>
    </rPh>
    <rPh sb="2" eb="4">
      <t>ツイセ</t>
    </rPh>
    <phoneticPr fontId="1"/>
  </si>
  <si>
    <t>DSアクセス</t>
    <phoneticPr fontId="1"/>
  </si>
  <si>
    <t>ログオン/ログオフ</t>
    <phoneticPr fontId="1"/>
  </si>
  <si>
    <t>アカウント ロックアウトの監査</t>
  </si>
  <si>
    <t>ログオフの監査</t>
  </si>
  <si>
    <t>ログオンの監査</t>
  </si>
  <si>
    <t>その他のログオン/ログオフ イベントの監査</t>
  </si>
  <si>
    <t>特殊なログオンの監査</t>
  </si>
  <si>
    <t>オブジェクトアクセス</t>
    <phoneticPr fontId="1"/>
  </si>
  <si>
    <t>詳細なファイル共有の監査</t>
  </si>
  <si>
    <t>ファイル共有の監査</t>
  </si>
  <si>
    <t>ファイル システムの監査</t>
  </si>
  <si>
    <t>ハンドル操作の監査</t>
  </si>
  <si>
    <t>その他のオブジェクト アクセス イベントの監査</t>
  </si>
  <si>
    <t>レジストリの監査</t>
  </si>
  <si>
    <t>SAM の監査</t>
  </si>
  <si>
    <t>特権の使用</t>
    <rPh sb="0" eb="2">
      <t>トッケ</t>
    </rPh>
    <phoneticPr fontId="1"/>
  </si>
  <si>
    <t>重要でない特権の使用の監査</t>
  </si>
  <si>
    <t>その他の特権の使用イベントの監査</t>
  </si>
  <si>
    <t>重要な特権の使用の監査</t>
  </si>
  <si>
    <t>その他のシステム イベントの監査</t>
  </si>
  <si>
    <t>セキュリティ状態の変更の監査</t>
  </si>
  <si>
    <t>セキュリティ システムの拡張の監査</t>
  </si>
  <si>
    <t>システムの整合性の監査</t>
  </si>
  <si>
    <t>レジストリの監査</t>
    <phoneticPr fontId="1"/>
  </si>
  <si>
    <t>Get-WindowsFeature | Export-Csv "C:\temp\windowsfeature.csv" -Encoding Default</t>
    <phoneticPr fontId="1"/>
  </si>
  <si>
    <t>役割</t>
    <rPh sb="0" eb="2">
      <t>ヤクワ</t>
    </rPh>
    <phoneticPr fontId="1"/>
  </si>
  <si>
    <t>Active Directory Federation Services</t>
  </si>
  <si>
    <t>証明機関</t>
  </si>
  <si>
    <t>証明機関 Web 登録</t>
  </si>
  <si>
    <t>Hyper-V</t>
  </si>
  <si>
    <t>HTTP 共通機能</t>
  </si>
  <si>
    <t>ディレクトリの参照</t>
  </si>
  <si>
    <t>既定のドキュメント</t>
  </si>
  <si>
    <t>静的なコンテンツ</t>
  </si>
  <si>
    <t>HTTP リダイレクト</t>
  </si>
  <si>
    <t>WebDAV 発行</t>
  </si>
  <si>
    <t>セキュリティ</t>
  </si>
  <si>
    <t>IIS クライアント証明書マッピング認証</t>
  </si>
  <si>
    <t>IP およびドメインの制限</t>
  </si>
  <si>
    <t>URL 承認</t>
  </si>
  <si>
    <t>Windows 認証</t>
  </si>
  <si>
    <t>クライアント証明書マッピング認証</t>
  </si>
  <si>
    <t>ダイジェスト認証</t>
  </si>
  <si>
    <t>基本認証</t>
  </si>
  <si>
    <t>静的なコンテンツの圧縮</t>
  </si>
  <si>
    <t>動的なコンテンツの圧縮</t>
  </si>
  <si>
    <t>状態と診断</t>
  </si>
  <si>
    <t>HTTP ログ</t>
  </si>
  <si>
    <t>ODBC ログ</t>
  </si>
  <si>
    <t>カスタム ログ</t>
  </si>
  <si>
    <t>要求の監視</t>
  </si>
  <si>
    <t>.NET 拡張機能 3.5</t>
  </si>
  <si>
    <t>Application Initialization</t>
  </si>
  <si>
    <t>ASP</t>
  </si>
  <si>
    <t>ASP.NET 3.5</t>
  </si>
  <si>
    <t>ASP.NET 4.7</t>
  </si>
  <si>
    <t>CGI</t>
  </si>
  <si>
    <t>ISAPI 拡張</t>
  </si>
  <si>
    <t>WebSocket プロトコル</t>
  </si>
  <si>
    <t>FTP 拡張</t>
  </si>
  <si>
    <t>IIS 6 管理互換</t>
  </si>
  <si>
    <t>IIS 6 WMI 互換</t>
  </si>
  <si>
    <t>Windows Server Update Services</t>
  </si>
  <si>
    <t>WID Connectivity</t>
  </si>
  <si>
    <t>WSUS Services</t>
  </si>
  <si>
    <t>SQL Server Connectivity</t>
  </si>
  <si>
    <t>デバイス正常性構成証明</t>
  </si>
  <si>
    <t>DFS 名前空間</t>
  </si>
  <si>
    <t>DirectAccess および VPN (RAS)</t>
  </si>
  <si>
    <t>.NET Framework 3.5 Features</t>
  </si>
  <si>
    <t>.NET Framework 3.5 (.NET 2.0 および 3.0 を含む)</t>
  </si>
  <si>
    <t>HTTP アクティブ化</t>
  </si>
  <si>
    <t>非 HTTP アクティブ化</t>
  </si>
  <si>
    <t>TCP アクティブ化</t>
  </si>
  <si>
    <t>名前付きパイプのアクティブ化</t>
  </si>
  <si>
    <t>BitLocker ドライブ暗号化</t>
  </si>
  <si>
    <t>BranchCache</t>
  </si>
  <si>
    <t>Direct Play</t>
  </si>
  <si>
    <t>HTTP プロキシを経由した RPC</t>
  </si>
  <si>
    <t>IIS ホスト可能な Web コア</t>
  </si>
  <si>
    <t>Management OData IIS 拡張機能</t>
  </si>
  <si>
    <t>MultiPoint Connector</t>
  </si>
  <si>
    <t>NFS クライアント</t>
  </si>
  <si>
    <t>RDC (Remote Differential Compression)</t>
  </si>
  <si>
    <t>Simple TCP/IP Services</t>
  </si>
  <si>
    <t>SMB 帯域幅の制限</t>
  </si>
  <si>
    <t>Windows Identity Foundation 3.5</t>
  </si>
  <si>
    <t>Windows Internal Database</t>
  </si>
  <si>
    <t>Windows PowerShell</t>
  </si>
  <si>
    <t>Windows PowerShell 5.1</t>
  </si>
  <si>
    <t>Windows PowerShell 2.0 エンジン</t>
  </si>
  <si>
    <t>Windows PowerShell Desired State Configuration Service</t>
  </si>
  <si>
    <t>Windows PowerShell Web Access</t>
  </si>
  <si>
    <t>Windows Server バックアップ</t>
  </si>
  <si>
    <t>Windows Subsystem for Linux</t>
  </si>
  <si>
    <t>Windows TIFF IFilter</t>
  </si>
  <si>
    <t>プロセス モデル</t>
  </si>
  <si>
    <t>.NET 環境 3.5</t>
  </si>
  <si>
    <t>構成 API</t>
  </si>
  <si>
    <t>WinRM IIS 拡張機能</t>
  </si>
  <si>
    <t>XPS Viewer</t>
  </si>
  <si>
    <t>ピア名解決プロトコル</t>
  </si>
  <si>
    <t>マルチパス I/O</t>
  </si>
  <si>
    <t>IP アドレス管理 (IPAM) クライアント</t>
  </si>
  <si>
    <t>AD LDS Snap-Ins and Command-Line Tools</t>
  </si>
  <si>
    <t>API と PowerShell コマンドレット</t>
  </si>
  <si>
    <t>記憶域レプリカ</t>
  </si>
  <si>
    <t>Name</t>
    <phoneticPr fontId="1"/>
  </si>
  <si>
    <t>ADFS-Federation</t>
  </si>
  <si>
    <t>ADRMS</t>
  </si>
  <si>
    <t>ADRMS-Server</t>
  </si>
  <si>
    <t>ADRMS-Identity</t>
  </si>
  <si>
    <t>AD-Domain-Services</t>
  </si>
  <si>
    <t>ADLDS</t>
  </si>
  <si>
    <t>AD-Certificate</t>
  </si>
  <si>
    <t>ADCS-Cert-Authority</t>
  </si>
  <si>
    <t>ADCS-Online-Cert</t>
  </si>
  <si>
    <t>ADCS-Device-Enrollment</t>
  </si>
  <si>
    <t>ADCS-Web-Enrollment</t>
  </si>
  <si>
    <t>ADCS-Enroll-Web-Svc</t>
  </si>
  <si>
    <t>ADCS-Enroll-Web-Pol</t>
  </si>
  <si>
    <t>DHCP</t>
  </si>
  <si>
    <t>DNS</t>
  </si>
  <si>
    <t>Fax</t>
  </si>
  <si>
    <t>HostGuardianServiceRole</t>
  </si>
  <si>
    <t>Web-Server</t>
  </si>
  <si>
    <t>Web-WebServer</t>
  </si>
  <si>
    <t>Web-Common-Http</t>
  </si>
  <si>
    <t>Web-Http-Errors</t>
  </si>
  <si>
    <t>Web-Dir-Browsing</t>
  </si>
  <si>
    <t>Web-Default-Doc</t>
  </si>
  <si>
    <t>Web-Static-Content</t>
  </si>
  <si>
    <t>Web-Http-Redirect</t>
  </si>
  <si>
    <t>Web-DAV-Publishing</t>
  </si>
  <si>
    <t>Web-Security</t>
  </si>
  <si>
    <t>Web-Filtering</t>
  </si>
  <si>
    <t>Web-Cert-Auth</t>
  </si>
  <si>
    <t>Web-IP-Security</t>
  </si>
  <si>
    <t>Web-CertProvider</t>
  </si>
  <si>
    <t>Web-Url-Auth</t>
  </si>
  <si>
    <t>Web-Windows-Auth</t>
  </si>
  <si>
    <t>Web-Client-Auth</t>
  </si>
  <si>
    <t>Web-Digest-Auth</t>
  </si>
  <si>
    <t>Web-Basic-Auth</t>
  </si>
  <si>
    <t>Web-Performance</t>
  </si>
  <si>
    <t>Web-Stat-Compression</t>
  </si>
  <si>
    <t>Web-Dyn-Compression</t>
  </si>
  <si>
    <t>Web-Health</t>
  </si>
  <si>
    <t>Web-Http-Logging</t>
  </si>
  <si>
    <t>Web-ODBC-Logging</t>
  </si>
  <si>
    <t>Web-Custom-Logging</t>
  </si>
  <si>
    <t>Web-Http-Tracing</t>
  </si>
  <si>
    <t>Web-Log-Libraries</t>
  </si>
  <si>
    <t>Web-Request-Monitor</t>
  </si>
  <si>
    <t>Web-App-Dev</t>
  </si>
  <si>
    <t>Web-Net-Ext</t>
  </si>
  <si>
    <t>Web-Net-Ext45</t>
  </si>
  <si>
    <t>Web-AppInit</t>
  </si>
  <si>
    <t>Web-ASP</t>
  </si>
  <si>
    <t>Web-Asp-Net</t>
  </si>
  <si>
    <t>Web-Asp-Net45</t>
  </si>
  <si>
    <t>Web-CGI</t>
  </si>
  <si>
    <t>Web-ISAPI-Filter</t>
  </si>
  <si>
    <t>Web-ISAPI-Ext</t>
  </si>
  <si>
    <t>Web-WebSockets</t>
  </si>
  <si>
    <t>Web-Includes</t>
  </si>
  <si>
    <t>Web-Ftp-Server</t>
  </si>
  <si>
    <t>Web-Ftp-Service</t>
  </si>
  <si>
    <t>Web-Ftp-Ext</t>
  </si>
  <si>
    <t>Web-Mgmt-Tools</t>
  </si>
  <si>
    <t>Web-Mgmt-Console</t>
  </si>
  <si>
    <t>Web-Mgmt-Compat</t>
  </si>
  <si>
    <t>Web-Metabase</t>
  </si>
  <si>
    <t>Web-WMI</t>
  </si>
  <si>
    <t>Web-Lgcy-Scripting</t>
  </si>
  <si>
    <t>Web-Lgcy-Mgmt-Console</t>
  </si>
  <si>
    <t>Web-Scripting-Tools</t>
  </si>
  <si>
    <t>Web-Mgmt-Service</t>
  </si>
  <si>
    <t>UpdateServices</t>
  </si>
  <si>
    <t>UpdateServices-WidDB</t>
  </si>
  <si>
    <t>UpdateServices-Services</t>
  </si>
  <si>
    <t>UpdateServices-DB</t>
  </si>
  <si>
    <t>WDS</t>
  </si>
  <si>
    <t>WDS-Transport</t>
  </si>
  <si>
    <t>WDS-Deployment</t>
  </si>
  <si>
    <t>DeviceHealthAttestationService</t>
  </si>
  <si>
    <t>NPAS</t>
  </si>
  <si>
    <t>FileAndStorage-Services</t>
  </si>
  <si>
    <t>File-Services</t>
  </si>
  <si>
    <t>FS-FileServer</t>
  </si>
  <si>
    <t>FS-DFS-Replication</t>
  </si>
  <si>
    <t>FS-DFS-Namespace</t>
  </si>
  <si>
    <t>FS-iSCSITarget-Server</t>
  </si>
  <si>
    <t>iSCSITarget-VSS-VDS</t>
  </si>
  <si>
    <t>FS-NFS-Service</t>
  </si>
  <si>
    <t>FS-Data-Deduplication</t>
  </si>
  <si>
    <t>FS-BranchCache</t>
  </si>
  <si>
    <t>FS-VSS-Agent</t>
  </si>
  <si>
    <t>FS-Resource-Manager</t>
  </si>
  <si>
    <t>FS-SyncShareService</t>
  </si>
  <si>
    <t>Storage-Services</t>
  </si>
  <si>
    <t>VolumeActivation</t>
  </si>
  <si>
    <t>RemoteAccess</t>
  </si>
  <si>
    <t>DirectAccess-VPN</t>
  </si>
  <si>
    <t>Web-Application-Proxy</t>
  </si>
  <si>
    <t>Routing</t>
  </si>
  <si>
    <t>Remote-Desktop-Services</t>
  </si>
  <si>
    <t>RDS-RD-Server</t>
  </si>
  <si>
    <t>RDS-Web-Access</t>
  </si>
  <si>
    <t>RDS-Gateway</t>
  </si>
  <si>
    <t>RDS-Licensing</t>
  </si>
  <si>
    <t>RDS-Virtualization</t>
  </si>
  <si>
    <t>RDS-Connection-Broker</t>
  </si>
  <si>
    <t>Print-Services</t>
  </si>
  <si>
    <t>Print-Server</t>
  </si>
  <si>
    <t>Print-LPD-Service</t>
  </si>
  <si>
    <t>Print-Internet</t>
  </si>
  <si>
    <t>NET-Framework-Features</t>
  </si>
  <si>
    <t>NET-Framework-Core</t>
  </si>
  <si>
    <t>NET-HTTP-Activation</t>
  </si>
  <si>
    <t>NET-Non-HTTP-Activ</t>
  </si>
  <si>
    <t>NET-Framework-45-Features</t>
  </si>
  <si>
    <t>NET-Framework-45-Core</t>
  </si>
  <si>
    <t>NET-Framework-45-ASPNET</t>
  </si>
  <si>
    <t>NET-WCF-Services45</t>
  </si>
  <si>
    <t>NET-WCF-HTTP-Activation45</t>
  </si>
  <si>
    <t>NET-WCF-TCP-Activation45</t>
  </si>
  <si>
    <t>NET-WCF-TCP-PortSharing45</t>
  </si>
  <si>
    <t>NET-WCF-MSMQ-Activation45</t>
  </si>
  <si>
    <t>NET-WCF-Pipe-Activation45</t>
  </si>
  <si>
    <t>BitLocker</t>
  </si>
  <si>
    <t>BitLocker-NetworkUnlock</t>
  </si>
  <si>
    <t>Direct-Play</t>
  </si>
  <si>
    <t>FabricShieldedTools</t>
  </si>
  <si>
    <t>HostGuardian</t>
  </si>
  <si>
    <t>RPC-over-HTTP-Proxy</t>
  </si>
  <si>
    <t>DiskIo-QoS</t>
  </si>
  <si>
    <t>Web-WHC</t>
  </si>
  <si>
    <t>IPAM</t>
  </si>
  <si>
    <t>LPR-Port-Monitor</t>
  </si>
  <si>
    <t>ManagementOdata</t>
  </si>
  <si>
    <t>MultiPoint-Connector</t>
  </si>
  <si>
    <t>MultiPoint-Connector-Services</t>
  </si>
  <si>
    <t>MultiPoint-Tools</t>
  </si>
  <si>
    <t>NFS-Client</t>
  </si>
  <si>
    <t>CMAK</t>
  </si>
  <si>
    <t>RDC</t>
  </si>
  <si>
    <t>Simple-TCPIP</t>
  </si>
  <si>
    <t>FS-SMB1</t>
  </si>
  <si>
    <t>FS-SMB1-CLIENT</t>
  </si>
  <si>
    <t>FS-SMB1-SERVER</t>
  </si>
  <si>
    <t>FS-SMBBW</t>
  </si>
  <si>
    <t>SMTP-Server</t>
  </si>
  <si>
    <t>SNMP-Service</t>
  </si>
  <si>
    <t>SNMP-WMI-Provider</t>
  </si>
  <si>
    <t>Telnet-Client</t>
  </si>
  <si>
    <t>TFTP-Client</t>
  </si>
  <si>
    <t>WebDAV-Redirector</t>
  </si>
  <si>
    <t>Windows-Identity-Foundation</t>
  </si>
  <si>
    <t>Windows-Internal-Database</t>
  </si>
  <si>
    <t>PowerShellRoot</t>
  </si>
  <si>
    <t>PowerShell</t>
  </si>
  <si>
    <t>PowerShell-V2</t>
  </si>
  <si>
    <t>DSC-Service</t>
  </si>
  <si>
    <t>WindowsPowerShellWebAccess</t>
  </si>
  <si>
    <t>Search-Service</t>
  </si>
  <si>
    <t>Windows-Server-Backup</t>
  </si>
  <si>
    <t>Microsoft-Windows-Subsystem-Linux</t>
  </si>
  <si>
    <t>Windows-TIFF-IFilter</t>
  </si>
  <si>
    <t>WAS</t>
  </si>
  <si>
    <t>WAS-Process-Model</t>
  </si>
  <si>
    <t>WAS-NET-Environment</t>
  </si>
  <si>
    <t>WAS-Config-APIs</t>
  </si>
  <si>
    <t>Biometric-Framework</t>
  </si>
  <si>
    <t>WindowsStorageManagementService</t>
  </si>
  <si>
    <t>WinRM-IIS-Ext</t>
  </si>
  <si>
    <t>WINS</t>
  </si>
  <si>
    <t>WoW64-Support</t>
  </si>
  <si>
    <t>XPS-Viewer</t>
  </si>
  <si>
    <t>Internet-Print-Client</t>
  </si>
  <si>
    <t>GPMC</t>
  </si>
  <si>
    <t>Setup-and-Boot-Event-Collection</t>
  </si>
  <si>
    <t>NetworkVirtualization</t>
  </si>
  <si>
    <t>NLB</t>
  </si>
  <si>
    <t>BITS</t>
  </si>
  <si>
    <t>BITS-IIS-Ext</t>
  </si>
  <si>
    <t>BITS-Compact-Server</t>
  </si>
  <si>
    <t>PNRP</t>
  </si>
  <si>
    <t>Failover-Clustering</t>
  </si>
  <si>
    <t>Multipath-IO</t>
  </si>
  <si>
    <t>MSMQ</t>
  </si>
  <si>
    <t>MSMQ-Services</t>
  </si>
  <si>
    <t>MSMQ-Server</t>
  </si>
  <si>
    <t>MSMQ-HTTP-Support</t>
  </si>
  <si>
    <t>MSMQ-Directory</t>
  </si>
  <si>
    <t>MSMQ-Multicasting</t>
  </si>
  <si>
    <t>MSMQ-Triggers</t>
  </si>
  <si>
    <t>MSMQ-Routing</t>
  </si>
  <si>
    <t>MSMQ-DCOM</t>
  </si>
  <si>
    <t>Server-Media-Foundation</t>
  </si>
  <si>
    <t>Remote-Assistance</t>
  </si>
  <si>
    <t>RSAT</t>
  </si>
  <si>
    <t>RSAT-Feature-Tools</t>
  </si>
  <si>
    <t>RSAT-SMTP</t>
  </si>
  <si>
    <t>RSAT-Feature-Tools-BitLocker</t>
  </si>
  <si>
    <t>RSAT-Feature-Tools-BitLocker-RemoteAdminTool</t>
  </si>
  <si>
    <t>RSAT-Feature-Tools-BitLocker-BdeAducExt</t>
  </si>
  <si>
    <t>RSAT-Bits-Server</t>
  </si>
  <si>
    <t>RSAT-DataCenterBridging-LLDP-Tools</t>
  </si>
  <si>
    <t>IPAM-Client-Feature</t>
  </si>
  <si>
    <t>RSAT-SNMP</t>
  </si>
  <si>
    <t>RSAT-Storage-Replica</t>
  </si>
  <si>
    <t>RSAT-WINS</t>
  </si>
  <si>
    <t>RSAT-Shielded-VM-Tools</t>
  </si>
  <si>
    <t>RSAT-NLB</t>
  </si>
  <si>
    <t>RSAT-Clustering</t>
  </si>
  <si>
    <t>RSAT-Clustering-PowerShell</t>
  </si>
  <si>
    <t>RSAT-Clustering-Mgmt</t>
  </si>
  <si>
    <t>RSAT-Clustering-CmdInterface</t>
  </si>
  <si>
    <t>RSAT-Clustering-AutomationServer</t>
  </si>
  <si>
    <t>RSAT-Role-Tools</t>
  </si>
  <si>
    <t>RSAT-AD-Tools</t>
  </si>
  <si>
    <t>RSAT-ADDS</t>
  </si>
  <si>
    <t>RSAT-AD-AdminCenter</t>
  </si>
  <si>
    <t>RSAT-ADDS-Tools</t>
  </si>
  <si>
    <t>RSAT-ADLDS</t>
  </si>
  <si>
    <t>RSAT-AD-PowerShell</t>
  </si>
  <si>
    <t>RSAT-Hyper-V-Tools</t>
  </si>
  <si>
    <t>Hyper-V-Tools</t>
  </si>
  <si>
    <t>Hyper-V-PowerShell</t>
  </si>
  <si>
    <t>UpdateServices-RSAT</t>
  </si>
  <si>
    <t>UpdateServices-API</t>
  </si>
  <si>
    <t>UpdateServices-UI</t>
  </si>
  <si>
    <t>RSAT-RDS-Tools</t>
  </si>
  <si>
    <t>RSAT-RDS-Gateway</t>
  </si>
  <si>
    <t>RDS-Licensing-UI</t>
  </si>
  <si>
    <t>RSAT-RDS-Licensing-Diagnosis-UI</t>
  </si>
  <si>
    <t>RSAT-ADRMS</t>
  </si>
  <si>
    <t>RSAT-ADCS</t>
  </si>
  <si>
    <t>RSAT-Online-Responder</t>
  </si>
  <si>
    <t>RSAT-ADCS-Mgmt</t>
  </si>
  <si>
    <t>RSAT-DHCP</t>
  </si>
  <si>
    <t>RSAT-DNS-Server</t>
  </si>
  <si>
    <t>RSAT-Fax</t>
  </si>
  <si>
    <t>WDS-AdminPack</t>
  </si>
  <si>
    <t>RSAT-NPAS</t>
  </si>
  <si>
    <t>RSAT-File-Services</t>
  </si>
  <si>
    <t>RSAT-DFS-Mgmt-Con</t>
  </si>
  <si>
    <t>RSAT-NFS-Admin</t>
  </si>
  <si>
    <t>RSAT-FSRM-Mgmt</t>
  </si>
  <si>
    <t>RSAT-VA-Tools</t>
  </si>
  <si>
    <t>RSAT-RemoteAccess</t>
  </si>
  <si>
    <t>RSAT-RemoteAccess-PowerShell</t>
  </si>
  <si>
    <t>RSAT-RemoteAccess-Mgmt</t>
  </si>
  <si>
    <t>RSAT-Print-Services</t>
  </si>
  <si>
    <t>Wireless-Networking</t>
  </si>
  <si>
    <t>Storage-Replica</t>
  </si>
  <si>
    <t>qWave</t>
  </si>
  <si>
    <t>機能</t>
    <rPh sb="0" eb="2">
      <t>キノ</t>
    </rPh>
    <phoneticPr fontId="1"/>
  </si>
  <si>
    <t>デバイスの種類</t>
    <rPh sb="5" eb="7">
      <t>シュル</t>
    </rPh>
    <phoneticPr fontId="1"/>
  </si>
  <si>
    <t>設定値</t>
    <rPh sb="0" eb="3">
      <t>セッテ</t>
    </rPh>
    <phoneticPr fontId="1"/>
  </si>
  <si>
    <t>オン</t>
    <phoneticPr fontId="1"/>
  </si>
  <si>
    <t>システム設定</t>
    <phoneticPr fontId="1"/>
  </si>
  <si>
    <t>○</t>
  </si>
  <si>
    <t>●</t>
  </si>
  <si>
    <t>ドライブ0の割り当てられていない領域</t>
    <rPh sb="6" eb="7">
      <t>ワリア</t>
    </rPh>
    <rPh sb="16" eb="18">
      <t>リョウイ</t>
    </rPh>
    <phoneticPr fontId="1"/>
  </si>
  <si>
    <t>Windows Server 2022 (SERVER_EVAL_x64FRE_ja-jp.iso)</t>
    <phoneticPr fontId="1"/>
  </si>
  <si>
    <t>詳細情報</t>
    <rPh sb="0" eb="4">
      <t>ショウサジョヨミト</t>
    </rPh>
    <phoneticPr fontId="1"/>
  </si>
  <si>
    <t>%ProgramFiles%\WindowsPowerShell\Modules,%SystemRoot%\system32\WindowsPowerShell\v1.0\Modules</t>
    <phoneticPr fontId="1"/>
  </si>
  <si>
    <t>.COM;.EXE;.BAT;.CMD;.VBS;.VBE;.JS;.JSE;.WSF;.WSH;.MSC</t>
    <phoneticPr fontId="1"/>
  </si>
  <si>
    <t>オンオフ</t>
    <phoneticPr fontId="1"/>
  </si>
  <si>
    <t>−</t>
  </si>
  <si>
    <t>−</t>
    <phoneticPr fontId="1"/>
  </si>
  <si>
    <t>パフォ−マンス</t>
  </si>
  <si>
    <t>使用するインスト−ラ−</t>
    <rPh sb="0" eb="2">
      <t>シヨ</t>
    </rPh>
    <phoneticPr fontId="1"/>
  </si>
  <si>
    <t>インスト−ルする言語</t>
    <rPh sb="8" eb="10">
      <t>ゲンコ</t>
    </rPh>
    <phoneticPr fontId="1"/>
  </si>
  <si>
    <t>キ−ボ−ドまたは入力方式</t>
    <rPh sb="8" eb="10">
      <t>ニュウ</t>
    </rPh>
    <rPh sb="10" eb="12">
      <t>ホ</t>
    </rPh>
    <phoneticPr fontId="1"/>
  </si>
  <si>
    <t>キ−ボ−ドの種類</t>
    <rPh sb="6" eb="8">
      <t>シュル</t>
    </rPh>
    <phoneticPr fontId="1"/>
  </si>
  <si>
    <t>日本語キ−ボ−ド(106/109キ−)</t>
    <rPh sb="0" eb="1">
      <t>ニホンゴキ</t>
    </rPh>
    <phoneticPr fontId="1"/>
  </si>
  <si>
    <t>Windowsのインスト−ル場所</t>
    <rPh sb="14" eb="16">
      <t>バシ</t>
    </rPh>
    <phoneticPr fontId="1"/>
  </si>
  <si>
    <t>ビルトインAdministratorsのパスワ−ド</t>
  </si>
  <si>
    <t>(パスワ−ド)</t>
  </si>
  <si>
    <t>コンピュ−タ名</t>
  </si>
  <si>
    <t>コンピュ−タ−の説明</t>
    <rPh sb="8" eb="10">
      <t>セツメ</t>
    </rPh>
    <phoneticPr fontId="1"/>
  </si>
  <si>
    <t>このコンピュ−タのプライマリDNSサフィックス</t>
  </si>
  <si>
    <t>ドメインのメンバ−シップが変更されるときにプライマリDNSサフィックスを変更する</t>
    <rPh sb="13" eb="15">
      <t>ヘンコ</t>
    </rPh>
    <rPh sb="36" eb="38">
      <t>ヘンコ</t>
    </rPh>
    <phoneticPr fontId="1"/>
  </si>
  <si>
    <t>所属するグル−プ</t>
    <rPh sb="0" eb="2">
      <t>ショゾ</t>
    </rPh>
    <phoneticPr fontId="1"/>
  </si>
  <si>
    <t>ワ−クグル−プ</t>
  </si>
  <si>
    <t>ワ−クグル−プ名</t>
  </si>
  <si>
    <t>ハ−ドウェア</t>
  </si>
  <si>
    <t>デバイスのインスト−ル設定</t>
    <rPh sb="11" eb="13">
      <t>セッテ</t>
    </rPh>
    <phoneticPr fontId="1"/>
  </si>
  <si>
    <t>デバイス用に利用可能な製造元のアプリとカスタムアイコンを自動的にダウンロ−ドしますか?</t>
    <rPh sb="4" eb="5">
      <t xml:space="preserve">ヨウ </t>
    </rPh>
    <rPh sb="6" eb="10">
      <t>リヨ</t>
    </rPh>
    <rPh sb="11" eb="14">
      <t>セイゾ</t>
    </rPh>
    <rPh sb="28" eb="30">
      <t>ジド</t>
    </rPh>
    <rPh sb="30" eb="31">
      <t>テ</t>
    </rPh>
    <phoneticPr fontId="1"/>
  </si>
  <si>
    <t>パフォ−マンスオプション</t>
  </si>
  <si>
    <t>コンピュ−タに応じて最適なものを自動的に選択する</t>
    <rPh sb="7" eb="8">
      <t>オウシ</t>
    </rPh>
    <rPh sb="10" eb="12">
      <t>サイテ</t>
    </rPh>
    <rPh sb="16" eb="19">
      <t>ジド</t>
    </rPh>
    <rPh sb="20" eb="22">
      <t>センタ</t>
    </rPh>
    <phoneticPr fontId="1"/>
  </si>
  <si>
    <t>パフォ−マンスを優先する</t>
    <rPh sb="8" eb="10">
      <t>ユウセ</t>
    </rPh>
    <phoneticPr fontId="1"/>
  </si>
  <si>
    <t>Windows内のアニメ−ションコントロ−ルと要素</t>
    <rPh sb="7" eb="8">
      <t>ナイ</t>
    </rPh>
    <rPh sb="23" eb="25">
      <t>ヨウ</t>
    </rPh>
    <phoneticPr fontId="1"/>
  </si>
  <si>
    <t>ウィンドウを最大化や最小化するときにアニメ−ションで表示する</t>
    <rPh sb="10" eb="12">
      <t>サイシ</t>
    </rPh>
    <rPh sb="12" eb="13">
      <t xml:space="preserve">カ </t>
    </rPh>
    <rPh sb="26" eb="28">
      <t>ヒョ</t>
    </rPh>
    <phoneticPr fontId="1"/>
  </si>
  <si>
    <t>スクリ−ンフォントの縁を滑らかにする</t>
    <rPh sb="10" eb="11">
      <t>フチ</t>
    </rPh>
    <rPh sb="12" eb="13">
      <t>ナメ</t>
    </rPh>
    <phoneticPr fontId="1"/>
  </si>
  <si>
    <t>タスクバ−でアニメ−ションを表示する</t>
    <rPh sb="14" eb="16">
      <t>ヒョ</t>
    </rPh>
    <phoneticPr fontId="1"/>
  </si>
  <si>
    <t>タスクバ−の縮小版のプレビュ−を保存する</t>
    <rPh sb="6" eb="9">
      <t>シュクショ</t>
    </rPh>
    <rPh sb="16" eb="18">
      <t>ホゾ</t>
    </rPh>
    <phoneticPr fontId="1"/>
  </si>
  <si>
    <t>ヒントをフェ−ドまたはスライドで表示する</t>
    <rPh sb="16" eb="18">
      <t>ヒョ</t>
    </rPh>
    <phoneticPr fontId="1"/>
  </si>
  <si>
    <t>プレビュ−を有効にする</t>
    <rPh sb="6" eb="8">
      <t>ユウコ</t>
    </rPh>
    <phoneticPr fontId="1"/>
  </si>
  <si>
    <t>マウスポインタ−の下に影を表示する</t>
    <rPh sb="9" eb="10">
      <t>シ</t>
    </rPh>
    <rPh sb="11" eb="12">
      <t>カケ</t>
    </rPh>
    <rPh sb="13" eb="15">
      <t>ヒョ</t>
    </rPh>
    <phoneticPr fontId="1"/>
  </si>
  <si>
    <t>メニュ−をフェ−ドまたはスライドして表示する</t>
    <rPh sb="18" eb="20">
      <t>ヒョ</t>
    </rPh>
    <phoneticPr fontId="1"/>
  </si>
  <si>
    <t>メニュ−項目をクリック後にフェ−ドアウトする</t>
  </si>
  <si>
    <t>リストボックスを滑らかにスクロ−ルする</t>
    <rPh sb="8" eb="9">
      <t>ナ</t>
    </rPh>
    <phoneticPr fontId="1"/>
  </si>
  <si>
    <t>半透明の[選択]ツ−ルを表示する</t>
    <rPh sb="0" eb="3">
      <t>ハントウメ</t>
    </rPh>
    <rPh sb="5" eb="7">
      <t>センタ</t>
    </rPh>
    <rPh sb="12" eb="14">
      <t>ヒョ</t>
    </rPh>
    <phoneticPr fontId="1"/>
  </si>
  <si>
    <t>プロセッサのスケジュ−ル</t>
  </si>
  <si>
    <t>バックグラウンドサ−ビス</t>
  </si>
  <si>
    <t>全てのドライブのペ−ジングファイルのサイズを自動的に管理する</t>
    <rPh sb="0" eb="1">
      <t>スベ</t>
    </rPh>
    <rPh sb="22" eb="25">
      <t>ジド</t>
    </rPh>
    <rPh sb="26" eb="28">
      <t>カン</t>
    </rPh>
    <phoneticPr fontId="1"/>
  </si>
  <si>
    <t>ペ−ジングファイルなし</t>
  </si>
  <si>
    <t>デ−タ実行防止</t>
    <rPh sb="3" eb="7">
      <t>ジッコ</t>
    </rPh>
    <phoneticPr fontId="1"/>
  </si>
  <si>
    <t>重要なWindowsのプログラムおよびサ−ビスについてのみ有効にする</t>
    <rPh sb="0" eb="2">
      <t>10</t>
    </rPh>
    <rPh sb="29" eb="31">
      <t>ユウコ</t>
    </rPh>
    <phoneticPr fontId="1"/>
  </si>
  <si>
    <t>次に選択するものを除く全てのプログラムおよびサ−ビスについてDEPを有効にする</t>
    <rPh sb="0" eb="1">
      <t>ツキ</t>
    </rPh>
    <rPh sb="2" eb="4">
      <t>センタ</t>
    </rPh>
    <rPh sb="9" eb="10">
      <t>ノゾ</t>
    </rPh>
    <rPh sb="11" eb="12">
      <t>スベ</t>
    </rPh>
    <rPh sb="34" eb="36">
      <t>ユウコ</t>
    </rPh>
    <phoneticPr fontId="1"/>
  </si>
  <si>
    <t>規定のオペレ−ティングシステム</t>
    <rPh sb="0" eb="2">
      <t>キテ</t>
    </rPh>
    <phoneticPr fontId="1"/>
  </si>
  <si>
    <t>オペレ−ティングシステムの一覧を表示する時間</t>
    <rPh sb="13" eb="15">
      <t>イチラ</t>
    </rPh>
    <rPh sb="16" eb="18">
      <t>ヒョ</t>
    </rPh>
    <rPh sb="20" eb="22">
      <t>ジカ</t>
    </rPh>
    <phoneticPr fontId="1"/>
  </si>
  <si>
    <t>システムエラ−</t>
  </si>
  <si>
    <t>リモ−ト</t>
  </si>
  <si>
    <t>リモ−トアシスタンス</t>
  </si>
  <si>
    <t>このコンピュ−タへのリモ−トアシスタンス接続を許可する</t>
    <rPh sb="20" eb="22">
      <t>セツゾ</t>
    </rPh>
    <rPh sb="23" eb="25">
      <t>キョ</t>
    </rPh>
    <phoneticPr fontId="1"/>
  </si>
  <si>
    <t>リモ−トデスクトップ</t>
  </si>
  <si>
    <t>このコンピュ−タへのリモ−ト接続を許可しない</t>
    <rPh sb="14" eb="16">
      <t>セツゾ</t>
    </rPh>
    <rPh sb="17" eb="19">
      <t>キョ</t>
    </rPh>
    <phoneticPr fontId="1"/>
  </si>
  <si>
    <t>このコンピュ−タへのリモ−ト接続を許可する</t>
    <rPh sb="14" eb="15">
      <t>セツゾ</t>
    </rPh>
    <rPh sb="16" eb="17">
      <t>ヲ</t>
    </rPh>
    <rPh sb="17" eb="18">
      <t>キョ</t>
    </rPh>
    <phoneticPr fontId="1"/>
  </si>
  <si>
    <t>ネットワ−クレベル認証でリモ−トデスクトップを実行しているコンピュ−タからのみ接続を許可する</t>
    <rPh sb="9" eb="11">
      <t>ニンショ</t>
    </rPh>
    <rPh sb="23" eb="25">
      <t>ジッコ</t>
    </rPh>
    <rPh sb="39" eb="41">
      <t>セツゾ</t>
    </rPh>
    <rPh sb="42" eb="44">
      <t>キョ</t>
    </rPh>
    <phoneticPr fontId="1"/>
  </si>
  <si>
    <t>ユ−ザの選択</t>
    <rPh sb="4" eb="6">
      <t>センタ</t>
    </rPh>
    <phoneticPr fontId="1"/>
  </si>
  <si>
    <t>プライベ−ト</t>
  </si>
  <si>
    <t>ドライブのデフラグと最適化 ([コントロ−ルパネル] - [システムとセキュリティ] - [管理ツ−ル]-[ドライブのデフラグと最適化])</t>
    <rPh sb="10" eb="13">
      <t>サイテ</t>
    </rPh>
    <rPh sb="46" eb="48">
      <t>カ</t>
    </rPh>
    <rPh sb="64" eb="67">
      <t>サイテ</t>
    </rPh>
    <phoneticPr fontId="1"/>
  </si>
  <si>
    <t>スケジュ−ルされた最適化</t>
    <rPh sb="9" eb="12">
      <t>サイテ</t>
    </rPh>
    <phoneticPr fontId="1"/>
  </si>
  <si>
    <t>スケジュ−ルに従って実行する</t>
    <rPh sb="7" eb="8">
      <t>シタガッ</t>
    </rPh>
    <rPh sb="10" eb="12">
      <t>ジッコウス</t>
    </rPh>
    <phoneticPr fontId="1"/>
  </si>
  <si>
    <t>3回連続してスケジュ−ルが実行されなかった場合にタスクの優先度を上げる</t>
    <rPh sb="1" eb="2">
      <t>カ</t>
    </rPh>
    <rPh sb="2" eb="4">
      <t>レンゾ</t>
    </rPh>
    <rPh sb="13" eb="15">
      <t>ジッコ</t>
    </rPh>
    <rPh sb="21" eb="23">
      <t>バア</t>
    </rPh>
    <rPh sb="28" eb="31">
      <t>ユウセ</t>
    </rPh>
    <rPh sb="32" eb="33">
      <t>アゲ</t>
    </rPh>
    <phoneticPr fontId="1"/>
  </si>
  <si>
    <t>ポリシ−</t>
  </si>
  <si>
    <t>取り外しポリシ−</t>
    <rPh sb="0" eb="1">
      <t>トリハズ</t>
    </rPh>
    <phoneticPr fontId="1"/>
  </si>
  <si>
    <t>高パフォ−マンス(規定)</t>
    <rPh sb="0" eb="1">
      <t xml:space="preserve">コウ </t>
    </rPh>
    <rPh sb="9" eb="11">
      <t>キテ</t>
    </rPh>
    <phoneticPr fontId="1"/>
  </si>
  <si>
    <t>ボリュ−ム</t>
  </si>
  <si>
    <t>ベ−シック</t>
  </si>
  <si>
    <t>パ−ティションのスタイル</t>
  </si>
  <si>
    <t>GUIDパ−ティションテ−ブル(GPT)</t>
  </si>
  <si>
    <t>マスタ−ブ−トレコ−ド(MBR)</t>
  </si>
  <si>
    <t>ボリュ−ム名</t>
    <rPh sb="5" eb="6">
      <t>メ</t>
    </rPh>
    <phoneticPr fontId="1"/>
  </si>
  <si>
    <t>タスクのスケジュ−ル(週単位)</t>
    <rPh sb="11" eb="12">
      <t>シュ</t>
    </rPh>
    <rPh sb="12" eb="14">
      <t>ヒタン</t>
    </rPh>
    <phoneticPr fontId="1"/>
  </si>
  <si>
    <t>クォ−タ</t>
  </si>
  <si>
    <t>クォ−タの管理を有効にする</t>
    <rPh sb="5" eb="7">
      <t>カン</t>
    </rPh>
    <rPh sb="8" eb="10">
      <t>ユウコ</t>
    </rPh>
    <phoneticPr fontId="1"/>
  </si>
  <si>
    <t>クォ−タ制限を超過したユ−ザ−のディスク割り当てを拒否する</t>
    <rPh sb="4" eb="6">
      <t>セイゲ</t>
    </rPh>
    <rPh sb="7" eb="9">
      <t>チョウ</t>
    </rPh>
    <rPh sb="20" eb="21">
      <t>ワリア</t>
    </rPh>
    <rPh sb="25" eb="27">
      <t>キョ</t>
    </rPh>
    <phoneticPr fontId="1"/>
  </si>
  <si>
    <t>ユ−ザ−がクォ−タ制限値を超えたらイベントをログに記録する</t>
    <rPh sb="9" eb="12">
      <t>セイゲ</t>
    </rPh>
    <rPh sb="13" eb="14">
      <t>コ</t>
    </rPh>
    <rPh sb="25" eb="27">
      <t>キロ</t>
    </rPh>
    <phoneticPr fontId="1"/>
  </si>
  <si>
    <t>ユ−ザ−が警告レベルを超えたらイベントをログに記録する</t>
    <rPh sb="5" eb="7">
      <t>ケイコ</t>
    </rPh>
    <rPh sb="11" eb="12">
      <t>コ</t>
    </rPh>
    <rPh sb="23" eb="25">
      <t>キロ</t>
    </rPh>
    <phoneticPr fontId="1"/>
  </si>
  <si>
    <t>イベントビュ−ア−([コントロ−ルパネル] - [システムとセキュリティ] - [管理ツ−ル]-[イベントログの表示])</t>
  </si>
  <si>
    <t>イベントを上書きしないでログをア−カイブする</t>
    <rPh sb="5" eb="7">
      <t>ウワガ</t>
    </rPh>
    <phoneticPr fontId="1"/>
  </si>
  <si>
    <t>アカウントポリシ−</t>
  </si>
  <si>
    <t>パスワ−ドのポリシ−</t>
  </si>
  <si>
    <t>パスワ−ドの長さ</t>
  </si>
  <si>
    <t>パスワ−ドの変更禁止期間</t>
  </si>
  <si>
    <t>パスワ−ドの有効期間</t>
  </si>
  <si>
    <t>パスワ−ドの履歴を記録する</t>
  </si>
  <si>
    <t>暗号化を元に戻せる状態でパスワ−ドを保存する</t>
  </si>
  <si>
    <t>複雑さの要件を満たす必要があるパスワ−ド</t>
  </si>
  <si>
    <t>アカウントロックアウトのポリシ−</t>
  </si>
  <si>
    <t>ロックアウト カウンタ−のリセット</t>
  </si>
  <si>
    <t>ロ−カルポリシ−</t>
  </si>
  <si>
    <t>監査ポリシ−</t>
    <rPh sb="0" eb="2">
      <t>カン</t>
    </rPh>
    <phoneticPr fontId="1"/>
  </si>
  <si>
    <t>ディレクトリ サ−ビスのアクセスの監査</t>
  </si>
  <si>
    <t>ポリシ−の変更の監査</t>
  </si>
  <si>
    <t>ユ−ザ−権利の割り当て</t>
    <rPh sb="4" eb="6">
      <t>ケ</t>
    </rPh>
    <rPh sb="7" eb="8">
      <t>ワリア</t>
    </rPh>
    <phoneticPr fontId="1"/>
  </si>
  <si>
    <t>セキュリティが強化されたWIndows Defender ファイアウォ−ル</t>
    <rPh sb="7" eb="9">
      <t>キョ</t>
    </rPh>
    <phoneticPr fontId="1"/>
  </si>
  <si>
    <t>ネットワ−クリストマネ−ジャ−ポリシ−</t>
  </si>
  <si>
    <t>ネットワ−ク</t>
  </si>
  <si>
    <t>ネットワ−ク名</t>
  </si>
  <si>
    <t>ユ−ザ−のアクセス許可</t>
  </si>
  <si>
    <t>ユ−ザ−は名前を変更できる</t>
    <rPh sb="5" eb="7">
      <t>ナマ</t>
    </rPh>
    <rPh sb="8" eb="10">
      <t>ヘンコ</t>
    </rPh>
    <phoneticPr fontId="1"/>
  </si>
  <si>
    <t>ユ−ザ−は名前を変更できない</t>
    <rPh sb="4" eb="5">
      <t>ハ</t>
    </rPh>
    <rPh sb="5" eb="6">
      <t>ナマ</t>
    </rPh>
    <rPh sb="8" eb="9">
      <t>ヘンコ</t>
    </rPh>
    <phoneticPr fontId="1"/>
  </si>
  <si>
    <t>ネットワ−クアイコン</t>
  </si>
  <si>
    <t>ユ−ザ−はアイコンを変更できる</t>
    <rPh sb="10" eb="12">
      <t>ヘンコ</t>
    </rPh>
    <phoneticPr fontId="1"/>
  </si>
  <si>
    <t>ユ−ザ−はアイコンを変更できない</t>
    <rPh sb="4" eb="5">
      <t>ハ</t>
    </rPh>
    <rPh sb="10" eb="11">
      <t>ヘンコ</t>
    </rPh>
    <phoneticPr fontId="1"/>
  </si>
  <si>
    <t>ネットワ−クの場所</t>
  </si>
  <si>
    <t>ネットワ−クの場所</t>
    <rPh sb="7" eb="9">
      <t>バシ</t>
    </rPh>
    <phoneticPr fontId="1"/>
  </si>
  <si>
    <t>ユ−ザ−は場所を変更できる</t>
    <rPh sb="5" eb="7">
      <t>バシ</t>
    </rPh>
    <rPh sb="8" eb="10">
      <t>ヘンコ</t>
    </rPh>
    <phoneticPr fontId="1"/>
  </si>
  <si>
    <t>ユ−ザ−は場所を変更できない</t>
    <rPh sb="4" eb="5">
      <t>ハ</t>
    </rPh>
    <rPh sb="5" eb="7">
      <t>バシ</t>
    </rPh>
    <rPh sb="8" eb="9">
      <t>ヘンコ</t>
    </rPh>
    <phoneticPr fontId="1"/>
  </si>
  <si>
    <t>識別されていないネットワ−ク</t>
  </si>
  <si>
    <t>ネットワ−クの識別中</t>
  </si>
  <si>
    <t>すべてのネットワ−ク</t>
  </si>
  <si>
    <t>ネットワ−クの場所</t>
    <rPh sb="0" eb="2">
      <t>ネットワークノ</t>
    </rPh>
    <rPh sb="7" eb="8">
      <t>バシ</t>
    </rPh>
    <phoneticPr fontId="1"/>
  </si>
  <si>
    <t>公開キ−のポリシ−</t>
    <rPh sb="0" eb="2">
      <t>コウカ</t>
    </rPh>
    <phoneticPr fontId="1"/>
  </si>
  <si>
    <t>デ−タ保護</t>
  </si>
  <si>
    <t>証明書サ−ビスクライアント-証明書登録ポリシ−</t>
    <rPh sb="0" eb="3">
      <t>ショウメ</t>
    </rPh>
    <rPh sb="14" eb="17">
      <t>ショ</t>
    </rPh>
    <rPh sb="17" eb="19">
      <t>トウロ</t>
    </rPh>
    <phoneticPr fontId="1"/>
  </si>
  <si>
    <t>登録ポリシ−</t>
    <rPh sb="0" eb="2">
      <t>トウロ</t>
    </rPh>
    <phoneticPr fontId="1"/>
  </si>
  <si>
    <t>これらのポリシ−の設定を定義する</t>
  </si>
  <si>
    <t>これらのポリシ−の設定を定義する</t>
    <rPh sb="9" eb="11">
      <t>セッテ</t>
    </rPh>
    <rPh sb="12" eb="14">
      <t>テイキ</t>
    </rPh>
    <phoneticPr fontId="1"/>
  </si>
  <si>
    <t>ユ−ザ−ごとの証明書ストア</t>
    <rPh sb="7" eb="10">
      <t>ショウメ</t>
    </rPh>
    <phoneticPr fontId="1"/>
  </si>
  <si>
    <t>ユ−ザ−が信頼するル−ト証明機関(CA)が証明書の検証に使用されることを許可する(推奨)</t>
    <rPh sb="5" eb="7">
      <t>シンラ</t>
    </rPh>
    <rPh sb="12" eb="14">
      <t>ショウ</t>
    </rPh>
    <rPh sb="14" eb="16">
      <t>キカ</t>
    </rPh>
    <rPh sb="21" eb="24">
      <t>ショウメ</t>
    </rPh>
    <rPh sb="25" eb="27">
      <t>ケンショ</t>
    </rPh>
    <rPh sb="28" eb="30">
      <t>シヨ</t>
    </rPh>
    <rPh sb="36" eb="38">
      <t>キョ</t>
    </rPh>
    <phoneticPr fontId="1"/>
  </si>
  <si>
    <t>ユ−ザ−がピア信頼証明書を信頼することを許可する(推奨)</t>
    <rPh sb="7" eb="9">
      <t>シンラ</t>
    </rPh>
    <rPh sb="9" eb="12">
      <t>ショウメ</t>
    </rPh>
    <rPh sb="13" eb="15">
      <t>シンラ</t>
    </rPh>
    <rPh sb="20" eb="22">
      <t>キョ</t>
    </rPh>
    <rPh sb="25" eb="27">
      <t>スイショ</t>
    </rPh>
    <phoneticPr fontId="1"/>
  </si>
  <si>
    <t>ル−ト証明書ストア</t>
  </si>
  <si>
    <t>クライアントコンピュ−タ−が信頼できるル−トCA</t>
    <rPh sb="14" eb="16">
      <t>シンラ</t>
    </rPh>
    <phoneticPr fontId="1"/>
  </si>
  <si>
    <t>サ−ドパ−ティのル−トCAとエンタ−プライズのル−トCA(推奨)</t>
    <rPh sb="29" eb="31">
      <t>スイショ</t>
    </rPh>
    <phoneticPr fontId="1"/>
  </si>
  <si>
    <t>エンタ−プライズのル−トCAのみ</t>
  </si>
  <si>
    <t>CAは、ユ−ザ−プリンシパル名の制約にも準拠する必要がある(推奨されません)</t>
    <rPh sb="14" eb="15">
      <t>メ</t>
    </rPh>
    <rPh sb="16" eb="18">
      <t>セイ</t>
    </rPh>
    <rPh sb="20" eb="22">
      <t>ジュ</t>
    </rPh>
    <rPh sb="24" eb="26">
      <t>ヒツヨ</t>
    </rPh>
    <rPh sb="30" eb="32">
      <t>スイショ</t>
    </rPh>
    <phoneticPr fontId="1"/>
  </si>
  <si>
    <t>すべての管理者およびユ−ザ−にユ−ザ−が所持する信頼された発行元の管理を許可する</t>
    <rPh sb="4" eb="7">
      <t>カ</t>
    </rPh>
    <rPh sb="20" eb="22">
      <t>ショシ</t>
    </rPh>
    <rPh sb="24" eb="26">
      <t>シンラ</t>
    </rPh>
    <rPh sb="29" eb="32">
      <t>ハッコ</t>
    </rPh>
    <rPh sb="33" eb="35">
      <t>カン</t>
    </rPh>
    <rPh sb="36" eb="38">
      <t>キョ</t>
    </rPh>
    <phoneticPr fontId="1"/>
  </si>
  <si>
    <t>エンタ−プライズの管理者のみに信頼された発行元の管理を許可する</t>
    <rPh sb="9" eb="12">
      <t>カ</t>
    </rPh>
    <rPh sb="15" eb="17">
      <t>シンラ</t>
    </rPh>
    <rPh sb="20" eb="23">
      <t>ハッコ</t>
    </rPh>
    <rPh sb="24" eb="26">
      <t>カンリ</t>
    </rPh>
    <rPh sb="27" eb="29">
      <t>キョ</t>
    </rPh>
    <phoneticPr fontId="1"/>
  </si>
  <si>
    <t>ネットワ−クの取得</t>
    <rPh sb="7" eb="9">
      <t>シュト</t>
    </rPh>
    <phoneticPr fontId="1"/>
  </si>
  <si>
    <t>Microsoftル−ト証明書プログラムで証明書を自動更新する(推奨)</t>
    <rPh sb="12" eb="15">
      <t>ショウ</t>
    </rPh>
    <rPh sb="21" eb="24">
      <t>ショウメ</t>
    </rPh>
    <rPh sb="25" eb="29">
      <t>ジド</t>
    </rPh>
    <rPh sb="32" eb="34">
      <t>スイショ</t>
    </rPh>
    <phoneticPr fontId="1"/>
  </si>
  <si>
    <t>クロス証明書ダウンロ−ド間隔(時間)(推奨する設定:168)</t>
    <rPh sb="3" eb="6">
      <t>ショウメ</t>
    </rPh>
    <rPh sb="12" eb="14">
      <t>カンカ</t>
    </rPh>
    <rPh sb="15" eb="17">
      <t>ジカ</t>
    </rPh>
    <rPh sb="19" eb="21">
      <t>スイショ</t>
    </rPh>
    <rPh sb="23" eb="25">
      <t>セッテ</t>
    </rPh>
    <phoneticPr fontId="1"/>
  </si>
  <si>
    <t>証明書サ−ビスクライアント-自動登録</t>
    <rPh sb="0" eb="3">
      <t>ショウメ</t>
    </rPh>
    <rPh sb="14" eb="18">
      <t>ジド</t>
    </rPh>
    <phoneticPr fontId="1"/>
  </si>
  <si>
    <t>登録ポリシ−の構成</t>
    <rPh sb="0" eb="2">
      <t>トウロ</t>
    </rPh>
    <rPh sb="7" eb="9">
      <t>コウセ</t>
    </rPh>
    <phoneticPr fontId="1"/>
  </si>
  <si>
    <t>ソフトウェアの制限のポリシ−</t>
    <rPh sb="7" eb="9">
      <t>セイゲ</t>
    </rPh>
    <phoneticPr fontId="1"/>
  </si>
  <si>
    <t>アプリケ−ション制御ポリシ−</t>
    <rPh sb="8" eb="10">
      <t>セイギ</t>
    </rPh>
    <phoneticPr fontId="1"/>
  </si>
  <si>
    <t>Windowsインスト−ラ−の規則</t>
    <rPh sb="15" eb="17">
      <t>キソ</t>
    </rPh>
    <phoneticPr fontId="1"/>
  </si>
  <si>
    <t>パッケ−ジアプリの規則</t>
    <rPh sb="9" eb="11">
      <t>キソ</t>
    </rPh>
    <phoneticPr fontId="1"/>
  </si>
  <si>
    <t>Program Files フォルダ−内にあるすべてのファイル</t>
  </si>
  <si>
    <t>Everyone グル−プのメンバ−に、Program Files フォルダ−内にあるアプリケ−ションの実行を許可します。</t>
  </si>
  <si>
    <t>ユ−ザ−またはグル−プ</t>
  </si>
  <si>
    <t>Windows フォルダ−内にあるすべてのファイル</t>
  </si>
  <si>
    <t>Everyone グル−プのメンバ−に、Windows フォルダ−内にあるアプリケ−ションの実行を許可します。</t>
  </si>
  <si>
    <t>ロ−カルの Administrators グル−プのメンバ−に、すべてのアプリケ−ションの実行を許可します。</t>
  </si>
  <si>
    <t>デジタル署名されたすべての Windows インスト−ラ− ファイル</t>
  </si>
  <si>
    <t>Everyone グル−プのメンバ−に、デジタル署名された Windows インスト−ラ−の実行を許可します。</t>
  </si>
  <si>
    <t>ファイルのバ−ジョン</t>
  </si>
  <si>
    <t>対象バ−ジョン</t>
    <rPh sb="0" eb="2">
      <t>タイショ</t>
    </rPh>
    <phoneticPr fontId="1"/>
  </si>
  <si>
    <t>%systemdrive%\Windows\Installer 内にあるすべての Windows インスト−ラ− ファイル</t>
  </si>
  <si>
    <t>Everyone グル−プのメンバ−に、%systemdrive%\Windows\Installer 内にあるすべての Windows インスト−ラ−の実行を許可します。</t>
  </si>
  <si>
    <t>すべての Windows インスト−ラ− ファイル</t>
  </si>
  <si>
    <t>ロ−カルの Administrators グル−プのメンバ−に対し、すべての Windows インスト−ラ− ファイルの実行を許可します。</t>
  </si>
  <si>
    <t>Program Files フォルダ−にあるすべてのスクリプト</t>
  </si>
  <si>
    <t>Everyone グル−プのメンバ−に対し、Program Files フォルダ−にあるスクリプトの実行を許可します。</t>
  </si>
  <si>
    <t>Windows フォルダ−にあるすべてのスクリプト</t>
  </si>
  <si>
    <t>Everyone グル−プのメンバ−に対し、Windows フォルダ−にあるスクリプトの実行を許可します。</t>
  </si>
  <si>
    <t>ロ−カルの Administrators グル−プのメンバ−に対し、すべてのスクリプトの実行を許可します。</t>
  </si>
  <si>
    <t>署名されたすべてのパッケ−ジ アプリ</t>
  </si>
  <si>
    <t>Everyone グル−プのメンバ−に対し、署名されたパッケ−ジ アプリの実行を許可します。</t>
  </si>
  <si>
    <t>パッケ−ジ名</t>
  </si>
  <si>
    <t>IPセキュリティポリシ−(ロ−カルコンピュ−タ−)</t>
  </si>
  <si>
    <t>新しい IP セキュリティ ポリシ−</t>
  </si>
  <si>
    <t>ポリシ−の変更を確認する間隔</t>
    <rPh sb="5" eb="7">
      <t>ヘンコ</t>
    </rPh>
    <rPh sb="8" eb="10">
      <t>カクニ</t>
    </rPh>
    <rPh sb="12" eb="14">
      <t>カンカ</t>
    </rPh>
    <phoneticPr fontId="1"/>
  </si>
  <si>
    <t>キ−交換の設定</t>
    <rPh sb="5" eb="7">
      <t>セッテ</t>
    </rPh>
    <phoneticPr fontId="1"/>
  </si>
  <si>
    <t>マスタ−キ−のPFS(Perfect Forward Secrecy)</t>
  </si>
  <si>
    <t>新しいキ−を認証して生成する間隔</t>
    <rPh sb="0" eb="1">
      <t>アタラ</t>
    </rPh>
    <rPh sb="6" eb="8">
      <t>ニンショ</t>
    </rPh>
    <rPh sb="10" eb="12">
      <t>セイセ</t>
    </rPh>
    <rPh sb="14" eb="16">
      <t>カンカ</t>
    </rPh>
    <phoneticPr fontId="1"/>
  </si>
  <si>
    <t>Diffie-Hellmanグル−プ</t>
  </si>
  <si>
    <t>暗号化をしないデ−タとアドレスの整合性(AH)</t>
    <rPh sb="0" eb="3">
      <t>アンゴ</t>
    </rPh>
    <rPh sb="16" eb="19">
      <t>セイゴ</t>
    </rPh>
    <phoneticPr fontId="1"/>
  </si>
  <si>
    <t>デ−タの整合性と暗号化(ESP)</t>
    <rPh sb="4" eb="7">
      <t>セイゴ</t>
    </rPh>
    <rPh sb="8" eb="11">
      <t>アンゴ</t>
    </rPh>
    <phoneticPr fontId="1"/>
  </si>
  <si>
    <t>セッションキ−の設定</t>
    <rPh sb="8" eb="10">
      <t>セッテ</t>
    </rPh>
    <phoneticPr fontId="1"/>
  </si>
  <si>
    <t>新しいキ−の生成間隔</t>
    <rPh sb="0" eb="1">
      <t>アタラ</t>
    </rPh>
    <rPh sb="6" eb="8">
      <t>セイセイカ</t>
    </rPh>
    <rPh sb="8" eb="10">
      <t>カンカ</t>
    </rPh>
    <phoneticPr fontId="1"/>
  </si>
  <si>
    <t>セッションキ−のPFS(Perfect Forward Secrecy)を使う</t>
    <rPh sb="37" eb="38">
      <t>ツカ</t>
    </rPh>
    <phoneticPr fontId="1"/>
  </si>
  <si>
    <t>次の文字列(事前共有キ−)を使う</t>
    <rPh sb="0" eb="2">
      <t>ツキ</t>
    </rPh>
    <rPh sb="2" eb="5">
      <t>モジレ</t>
    </rPh>
    <rPh sb="6" eb="8">
      <t>ジゼ</t>
    </rPh>
    <rPh sb="8" eb="10">
      <t>キョウユ</t>
    </rPh>
    <rPh sb="14" eb="15">
      <t>ツカ</t>
    </rPh>
    <phoneticPr fontId="1"/>
  </si>
  <si>
    <t>監査ポリシ−の詳細な構成</t>
    <rPh sb="0" eb="2">
      <t>カン</t>
    </rPh>
    <rPh sb="7" eb="9">
      <t>ショウサ</t>
    </rPh>
    <rPh sb="10" eb="12">
      <t>コウセ</t>
    </rPh>
    <phoneticPr fontId="1"/>
  </si>
  <si>
    <t>システム監査ポリシ− - ロ−カルグル−プポリシ−</t>
  </si>
  <si>
    <t>Kerberos 認証サ−ビスの監査</t>
  </si>
  <si>
    <t>Kerberos サ−ビス チケット操作の監査</t>
  </si>
  <si>
    <t>アプリケ−ション グル−プの管理の監査</t>
  </si>
  <si>
    <t>コンピュ−タ− アカウントの管理の監査</t>
  </si>
  <si>
    <t>配布グル−プの管理の監査</t>
  </si>
  <si>
    <t>セキュリティ グル−プの管理の監査</t>
  </si>
  <si>
    <t>ユ−ザ− アカウントの管理の監査</t>
  </si>
  <si>
    <t>ト−クン権限の調整を監査する</t>
  </si>
  <si>
    <t>詳細なディレクトリ サ−ビス レプリケ−ションの監査</t>
  </si>
  <si>
    <t>ディレクトリ サ−ビス アクセスの監査</t>
  </si>
  <si>
    <t>ディレクトリ サ−ビスの変更の監査</t>
  </si>
  <si>
    <t>ディレクトリ サ−ビス レプリケ−ションの監査</t>
  </si>
  <si>
    <t>ユ−ザ−要求/デバイスの信頼性情報の監査</t>
  </si>
  <si>
    <t>グル−プ メンバ−シップの監査</t>
  </si>
  <si>
    <t>IPsec 拡張モ−ドの監査</t>
  </si>
  <si>
    <t>IPsec メイン モ−ドの監査</t>
  </si>
  <si>
    <t>IPsec クイック モ−ドの監査</t>
  </si>
  <si>
    <t>ネットワ−ク ポリシ− サ−バ−の監査</t>
  </si>
  <si>
    <t>生成されたアプリケ−ションの監査</t>
  </si>
  <si>
    <t>証明書サ−ビスの監査</t>
  </si>
  <si>
    <t>フィルタリング プラットフォ−ムの接続の監査</t>
  </si>
  <si>
    <t>フィルタリング プラットフォ−ム パケットの破棄の監査</t>
  </si>
  <si>
    <t>カ−ネル オブジェクトの監査</t>
  </si>
  <si>
    <t>リム−バブル記憶域の監査</t>
  </si>
  <si>
    <t>集約型アクセス ポリシ− ステ−ジングの監査</t>
  </si>
  <si>
    <t>ポリシ−の変更</t>
    <rPh sb="5" eb="7">
      <t>ヘンコ</t>
    </rPh>
    <phoneticPr fontId="1"/>
  </si>
  <si>
    <t>監査ポリシ−の変更の監査</t>
  </si>
  <si>
    <t>認証ポリシ−の変更の監査</t>
  </si>
  <si>
    <t>承認ポリシ−の変更の監査</t>
  </si>
  <si>
    <t>フィルタリング プラットフォ−ム ポリシ−の変更の監査</t>
  </si>
  <si>
    <t>MPSSVC ル−ルレベル ポリシ−の変更の監査</t>
  </si>
  <si>
    <t>その他のポリシ−変更イベントの監査</t>
  </si>
  <si>
    <t>IPsec ドライバ−の監査</t>
  </si>
  <si>
    <t>グロ−バルオブジェクトアクセスの監査</t>
    <rPh sb="16" eb="18">
      <t>カ</t>
    </rPh>
    <phoneticPr fontId="1"/>
  </si>
  <si>
    <t>Active Directory Rights Management サ−ビス</t>
  </si>
  <si>
    <t>Active Directory Rights Management サ−バ−</t>
  </si>
  <si>
    <t>ID フェデレ−ション サポ−ト</t>
  </si>
  <si>
    <t>Active Directory ドメイン サ−ビス</t>
  </si>
  <si>
    <t>Active Directory ライトウェイト ディレクトリ サ−ビス</t>
  </si>
  <si>
    <t>Active Directory 証明書サ−ビス</t>
  </si>
  <si>
    <t>オンライン レスポンダ−</t>
  </si>
  <si>
    <t>ネットワ−ク デバイス登録サ−ビス</t>
  </si>
  <si>
    <t>証明書の登録 Web サ−ビス</t>
  </si>
  <si>
    <t>証明書の登録ポリシ− Web サ−ビス</t>
  </si>
  <si>
    <t>DHCP サ−バ−</t>
  </si>
  <si>
    <t>DNS サ−バ−</t>
  </si>
  <si>
    <t>FAX サ−バ−</t>
  </si>
  <si>
    <t>Host Guardian サ−ビス</t>
  </si>
  <si>
    <t>Web サ−バ− (IIS)</t>
  </si>
  <si>
    <t>Web サ−バ−</t>
  </si>
  <si>
    <t>HTTP エラ−</t>
  </si>
  <si>
    <t>要求フィルタ−</t>
  </si>
  <si>
    <t>SSL 証明書の集中サポ−ト</t>
  </si>
  <si>
    <t>トレ−ス</t>
  </si>
  <si>
    <t>ログ ツ−ル</t>
  </si>
  <si>
    <t>アプリケ−ション開発</t>
  </si>
  <si>
    <t>ISAPI フィルタ−</t>
  </si>
  <si>
    <t>サ−バ−側インクル−ド</t>
  </si>
  <si>
    <t>FTP サ−バ−</t>
  </si>
  <si>
    <t>FTP サ−ビス</t>
  </si>
  <si>
    <t>管理ツ−ル</t>
  </si>
  <si>
    <t>IIS 管理コンソ−ル</t>
  </si>
  <si>
    <t>IIS 6 メタベ−ス互換</t>
  </si>
  <si>
    <t>IIS 6 スクリプト ツ−ル</t>
  </si>
  <si>
    <t>IIS 6 管理コンソ−ル</t>
  </si>
  <si>
    <t>IIS 管理スクリプトおよびツ−ル</t>
  </si>
  <si>
    <t>管理サ−ビス</t>
  </si>
  <si>
    <t>Windows 展開サ−ビス</t>
  </si>
  <si>
    <t>トランスポ−ト サ−バ−</t>
  </si>
  <si>
    <t>展開サ−バ−</t>
  </si>
  <si>
    <t>ネットワ−ク ポリシ−とアクセス サ−ビス</t>
  </si>
  <si>
    <t>ファイル サ−ビスと記憶域サ−ビス</t>
  </si>
  <si>
    <t>ファイル サ−ビスおよび iSCSI サ−ビス</t>
  </si>
  <si>
    <t>ファイル サ−バ−</t>
  </si>
  <si>
    <t>DFS レプリケ−ション</t>
  </si>
  <si>
    <t>iSCSI タ−ゲット サ−バ−</t>
  </si>
  <si>
    <t>iSCSI タ−ゲット記憶域プロバイダ− (VDS および VSS ハ−ドウェア プロバイダ−)</t>
  </si>
  <si>
    <t>NFS サ−バ−</t>
  </si>
  <si>
    <t>デ−タ重複除去</t>
  </si>
  <si>
    <t>ネットワ−ク ファイル用 BranchCache</t>
  </si>
  <si>
    <t>ファイル サ−バ− VSS エ−ジェント サ−ビス</t>
  </si>
  <si>
    <t>ファイル サ−バ− リソ−ス マネ−ジャ−</t>
  </si>
  <si>
    <t>ワ−ク フォルダ−</t>
  </si>
  <si>
    <t>記憶域サ−ビス</t>
  </si>
  <si>
    <t>ボリュ−ム ライセンス認証サ−ビス</t>
  </si>
  <si>
    <t>リモ−ト アクセス</t>
  </si>
  <si>
    <t>Web アプリケ−ション プロキシ</t>
  </si>
  <si>
    <t>ル−ティング</t>
  </si>
  <si>
    <t>リモ−ト デスクトップ サ−ビス</t>
  </si>
  <si>
    <t>リモ−ト デスクトップ Web アクセス</t>
  </si>
  <si>
    <t>リモ−ト デスクトップ ゲ−トウェイ</t>
  </si>
  <si>
    <t>リモ−ト デスクトップ ライセンス</t>
  </si>
  <si>
    <t>リモ−ト デスクトップ仮想化ホスト</t>
  </si>
  <si>
    <t>リモ−ト デスクトップ接続ブロ−カ−</t>
  </si>
  <si>
    <t>印刷とドキュメント サ−ビス</t>
  </si>
  <si>
    <t>プリント サ−バ−</t>
  </si>
  <si>
    <t>LPD サ−ビス</t>
  </si>
  <si>
    <t>インタ−ネット印刷</t>
  </si>
  <si>
    <t>WCF サ−ビス</t>
  </si>
  <si>
    <t>TCP ポ−ト共有</t>
  </si>
  <si>
    <t>メッセ−ジ キュ− (MSMQ) アクティブ化</t>
  </si>
  <si>
    <t>BitLocker ネットワ−ク ロック解除</t>
  </si>
  <si>
    <t>Fabric Management 用の VM シ−ルド ツ−ル</t>
  </si>
  <si>
    <t>Host Guardian Hyper-V サポ−ト</t>
  </si>
  <si>
    <t>I/O サ−ビス品質</t>
  </si>
  <si>
    <t>IP アドレス管理 (IPAM) サ−バ−</t>
  </si>
  <si>
    <t>LPR ポ−ト モニタ−</t>
  </si>
  <si>
    <t>MultiPoint Connector サ−ビス</t>
  </si>
  <si>
    <t>MultiPoint マネ−ジャ−および MultiPoint ダッシュ ボ−ド</t>
  </si>
  <si>
    <t>SMTP サ−バ−</t>
  </si>
  <si>
    <t>SNMP サ−ビス</t>
  </si>
  <si>
    <t>WMI SNMP プロバイダ−</t>
  </si>
  <si>
    <t>WebDAV リダイレクタ−</t>
  </si>
  <si>
    <t>Windows Search サ−ビス</t>
  </si>
  <si>
    <t>Windows プロセス アクティブ化サ−ビス</t>
  </si>
  <si>
    <t>Windows 生体認証フレ−ムワ−ク</t>
  </si>
  <si>
    <t>Windows 標準ベ−スの記憶域の管理</t>
  </si>
  <si>
    <t>WINS サ−バ−</t>
  </si>
  <si>
    <t>WoW64 サポ−ト</t>
  </si>
  <si>
    <t>インタ−ネット印刷クライアント</t>
  </si>
  <si>
    <t>グル−プ ポリシ−の管理</t>
  </si>
  <si>
    <t>セットアップおよびブ−ト イベント収集</t>
  </si>
  <si>
    <t>ネットワ−ク仮想化</t>
  </si>
  <si>
    <t>ネットワ−ク負荷分散</t>
  </si>
  <si>
    <t>バックグラウンド インテリジェント転送サ−ビス (BITS)</t>
  </si>
  <si>
    <t>IIS サ−バ−拡張機能</t>
  </si>
  <si>
    <t>コンパクト サ−バ−</t>
  </si>
  <si>
    <t>フェ−ルオ−バ− クラスタリング</t>
  </si>
  <si>
    <t>メッセ−ジ キュ−</t>
  </si>
  <si>
    <t>メッセ−ジ キュ− サ−ビス</t>
  </si>
  <si>
    <t>メッセ−ジ キュ− サ−バ−</t>
  </si>
  <si>
    <t>HTTP サポ−ト</t>
  </si>
  <si>
    <t>ディレクトリ サ−ビス統合</t>
  </si>
  <si>
    <t>マルチキャスト サポ−ト</t>
  </si>
  <si>
    <t>メッセ−ジ キュ− トリガ−</t>
  </si>
  <si>
    <t>ル−ティング サ−ビス</t>
  </si>
  <si>
    <t>メッセ−ジ キュ− DCOM プロキシ</t>
  </si>
  <si>
    <t>メディア ファンデ−ション</t>
  </si>
  <si>
    <t>リモ−ト アシスタンス</t>
  </si>
  <si>
    <t>リモ−ト サ−バ−管理ツ−ル</t>
  </si>
  <si>
    <t>機能管理ツ−ル</t>
  </si>
  <si>
    <t>SMTP サ−バ− ツ−ル</t>
  </si>
  <si>
    <t>BitLocker ドライブ暗号化管理ユ−ティリティ</t>
  </si>
  <si>
    <t>BitLocker ドライブ暗号化ツ−ル</t>
  </si>
  <si>
    <t>BitLocker 回復パスワ−ド ビュ−ア−</t>
  </si>
  <si>
    <t>BITS サ−バ−拡張ツ−ル</t>
  </si>
  <si>
    <t>DataCenterBridging LLDP ツ−ル</t>
  </si>
  <si>
    <t>SNMP ツ−ル</t>
  </si>
  <si>
    <t>Windows PowerShell 用記憶域レプリカ モジュ−ル</t>
  </si>
  <si>
    <t>WINS サ−バ− ツ−ル</t>
  </si>
  <si>
    <t>シ−ルドされた VM のツ−ル</t>
  </si>
  <si>
    <t>ネットワ−ク負荷分散ツ−ル</t>
  </si>
  <si>
    <t>フェ−ルオ−バ− クラスタリング ツ−ル</t>
  </si>
  <si>
    <t>Windows PowerShell 用のフェ−ルオ−バ− クラスタ− モジュ−ル</t>
  </si>
  <si>
    <t>フェ−ルオ−バ− クラスタ−管理ツ−ル</t>
  </si>
  <si>
    <t>フェ−ルオ−バ− クラスタ− コマンド インタ−フェイス</t>
  </si>
  <si>
    <t>フェ−ルオ−バ− クラスタ−自動化サ−バ−</t>
  </si>
  <si>
    <t>役割管理ツ−ル</t>
  </si>
  <si>
    <t>AD DS および AD LDS ツ−ル</t>
  </si>
  <si>
    <t>AD DS ツ−ル</t>
  </si>
  <si>
    <t>Active Directory 管理センタ−</t>
  </si>
  <si>
    <t>AD DS スナップインおよびコマンドライン ツ−ル</t>
  </si>
  <si>
    <t>Windows PowerShell の Active Directory モジュ−ル</t>
  </si>
  <si>
    <t>Hyper-V 管理ツ−ル</t>
  </si>
  <si>
    <t>Hyper-V GUI 管理ツ−ル</t>
  </si>
  <si>
    <t>Windows PowerShell 用 Hyper-V モジュ−ル</t>
  </si>
  <si>
    <t>Windows Server Update Services ツ−ル</t>
  </si>
  <si>
    <t>ユ−ザ− インタ−フェイス管理コンソ−ル</t>
  </si>
  <si>
    <t>リモ−ト デスクトップ サ−ビス ツ−ル</t>
  </si>
  <si>
    <t>リモ−ト デスクトップ ゲ−トウェイ ツ−ル</t>
  </si>
  <si>
    <t>リモ−ト デスクトップ ライセンス ツ−ル</t>
  </si>
  <si>
    <t>リモ−ト デスクトップ ライセンス診断機能ツ−ル</t>
  </si>
  <si>
    <t>Active Directory Rights Management サ−ビス ツ−ル</t>
  </si>
  <si>
    <t>Active Directory 証明書サ−ビス ツ−ル</t>
  </si>
  <si>
    <t>オンライン レスポンダ− ツ−ル</t>
  </si>
  <si>
    <t>証明機関管理ツ−ル</t>
  </si>
  <si>
    <t>DHCP サ−バ− ツ−ル</t>
  </si>
  <si>
    <t>DNS サ−バ− ツ−ル</t>
  </si>
  <si>
    <t>FAX サ−バ− ツ−ル</t>
  </si>
  <si>
    <t>ネットワ−ク ポリシ−とアクセス サ−ビス ツ−ル</t>
  </si>
  <si>
    <t>ファイル サ−ビス ツ−ル</t>
  </si>
  <si>
    <t>DFS 管理ツ−ル</t>
  </si>
  <si>
    <t>ネットワ−ク ファイル システム管理ツ−ルのサ−ビス</t>
  </si>
  <si>
    <t>ファイル サ−バ− リソ−ス マネ−ジャ− ツ−ル</t>
  </si>
  <si>
    <t>ボリュ−ム ライセンス認証ツ−ル</t>
  </si>
  <si>
    <t>リモ−ト アクセス管理ツ−ル</t>
  </si>
  <si>
    <t>Windows PowerShell 用のリモ−ト アクセス モジュ−ル</t>
  </si>
  <si>
    <t>リモ−ト アクセス GUI ツ−ルとコマンド ライン ツ−ル</t>
  </si>
  <si>
    <t>印刷とドキュメント サ−ビス ツ−ル</t>
  </si>
  <si>
    <t>ワイヤレス LAN サ−ビス</t>
  </si>
  <si>
    <t>高品質な Windows オ−ディオ ビデオ エクスペリエンス</t>
  </si>
  <si>
    <t>VPN</t>
    <phoneticPr fontId="1"/>
  </si>
  <si>
    <t>10分</t>
    <rPh sb="2" eb="3">
      <t xml:space="preserve">フン </t>
    </rPh>
    <phoneticPr fontId="1"/>
  </si>
  <si>
    <t>システムのプロパティ([SystemPropertiesComputerName.EXE])</t>
    <rPh sb="0" eb="2">
      <t>システムノ</t>
    </rPh>
    <phoneticPr fontId="1"/>
  </si>
  <si>
    <t>ディスクの管理([コンピュータの管理] - [記憶域] - [ディスクの管理])</t>
    <rPh sb="5" eb="7">
      <t>カ</t>
    </rPh>
    <rPh sb="16" eb="18">
      <t>カ</t>
    </rPh>
    <rPh sb="23" eb="26">
      <t>キオ</t>
    </rPh>
    <rPh sb="36" eb="38">
      <t>カ</t>
    </rPh>
    <phoneticPr fontId="1"/>
  </si>
  <si>
    <t>クイック取り外し</t>
    <rPh sb="4" eb="5">
      <t>トリハズ</t>
    </rPh>
    <phoneticPr fontId="1"/>
  </si>
  <si>
    <t>書き込みキャッシュポリシー</t>
    <rPh sb="0" eb="1">
      <t>カキコ</t>
    </rPh>
    <phoneticPr fontId="1"/>
  </si>
  <si>
    <t>デバイスの書き込みキャッシュを有効にする</t>
    <rPh sb="5" eb="6">
      <t>カキコ</t>
    </rPh>
    <rPh sb="15" eb="17">
      <t>ユウコ</t>
    </rPh>
    <phoneticPr fontId="1"/>
  </si>
  <si>
    <t>デバイスでWindowsによる書き込みキャッシュバッファーのフラッシュをオフにする</t>
    <rPh sb="15" eb="16">
      <t>カキコ</t>
    </rPh>
    <phoneticPr fontId="1"/>
  </si>
  <si>
    <t>System (C:)</t>
    <phoneticPr fontId="1"/>
  </si>
  <si>
    <t>サイズ</t>
    <phoneticPr fontId="1"/>
  </si>
  <si>
    <t>ドライブレター</t>
    <phoneticPr fontId="1"/>
  </si>
  <si>
    <t>アロケーションユニットサイズ</t>
    <phoneticPr fontId="1"/>
  </si>
  <si>
    <t>ボリュームラベル</t>
    <phoneticPr fontId="1"/>
  </si>
  <si>
    <t>クイックフォーマット</t>
    <phoneticPr fontId="1"/>
  </si>
  <si>
    <t>ファイルとフォルダーの圧縮を有効にする</t>
    <rPh sb="11" eb="13">
      <t>アッシュ</t>
    </rPh>
    <rPh sb="14" eb="16">
      <t>ユウコ</t>
    </rPh>
    <phoneticPr fontId="1"/>
  </si>
  <si>
    <t>FAT32</t>
    <phoneticPr fontId="1"/>
  </si>
  <si>
    <t>ReFS</t>
    <phoneticPr fontId="1"/>
  </si>
  <si>
    <t>規定値</t>
    <rPh sb="0" eb="3">
      <t>キテ</t>
    </rPh>
    <phoneticPr fontId="1"/>
  </si>
  <si>
    <t>Data</t>
    <phoneticPr fontId="1"/>
  </si>
  <si>
    <t>フォーマット</t>
    <phoneticPr fontId="1"/>
  </si>
  <si>
    <t>このドライブを圧縮してディスク領域を空ける</t>
    <rPh sb="7" eb="9">
      <t>アッシュ</t>
    </rPh>
    <rPh sb="15" eb="17">
      <t>リョウイ</t>
    </rPh>
    <rPh sb="18" eb="19">
      <t>ア</t>
    </rPh>
    <phoneticPr fontId="1"/>
  </si>
  <si>
    <t>このドライブ上のファイルに対し、プロパティだけでなくコンテンツにもインデックスを付ける</t>
    <rPh sb="13" eb="14">
      <t>タイ</t>
    </rPh>
    <rPh sb="40" eb="41">
      <t xml:space="preserve">ツケル </t>
    </rPh>
    <phoneticPr fontId="1"/>
  </si>
  <si>
    <t>シャドウコピー</t>
    <phoneticPr fontId="1"/>
  </si>
  <si>
    <t>制限値の設定</t>
    <rPh sb="0" eb="2">
      <t>セイゲ</t>
    </rPh>
    <rPh sb="3" eb="4">
      <t>セイゲ</t>
    </rPh>
    <rPh sb="4" eb="6">
      <t>セッテ</t>
    </rPh>
    <phoneticPr fontId="1"/>
  </si>
  <si>
    <t>1KB</t>
    <phoneticPr fontId="1"/>
  </si>
  <si>
    <t>パーティション3</t>
    <phoneticPr fontId="1"/>
  </si>
  <si>
    <t>System</t>
    <phoneticPr fontId="1"/>
  </si>
  <si>
    <t>パーティション2 (予約済み)</t>
    <rPh sb="10" eb="12">
      <t>ヨヤ</t>
    </rPh>
    <rPh sb="12" eb="13">
      <t>ス</t>
    </rPh>
    <phoneticPr fontId="1"/>
  </si>
  <si>
    <t>パーティション1 (EFIシステムパーティション)</t>
    <phoneticPr fontId="1"/>
  </si>
  <si>
    <t>パーティション4 (回復)</t>
    <rPh sb="10" eb="12">
      <t>カイフ</t>
    </rPh>
    <phoneticPr fontId="1"/>
  </si>
  <si>
    <t>回復</t>
    <rPh sb="0" eb="2">
      <t>カイフ</t>
    </rPh>
    <phoneticPr fontId="1"/>
  </si>
  <si>
    <t>C:</t>
    <phoneticPr fontId="1"/>
  </si>
  <si>
    <t>次のボリューム上に配置</t>
    <rPh sb="0" eb="1">
      <t>ツ</t>
    </rPh>
    <rPh sb="7" eb="8">
      <t>ジョ</t>
    </rPh>
    <rPh sb="9" eb="11">
      <t>ハイ</t>
    </rPh>
    <phoneticPr fontId="1"/>
  </si>
  <si>
    <t>\\?\Volume{e64d1c6e-9c7f-4151-aeb2-4a64e026e342}\</t>
    <rPh sb="0" eb="2">
      <t>カイフ</t>
    </rPh>
    <phoneticPr fontId="1"/>
  </si>
  <si>
    <t>制限あり</t>
    <rPh sb="0" eb="1">
      <t>セイゲ</t>
    </rPh>
    <phoneticPr fontId="1"/>
  </si>
  <si>
    <t>制限値</t>
    <rPh sb="0" eb="3">
      <t>セイゲ</t>
    </rPh>
    <phoneticPr fontId="1"/>
  </si>
  <si>
    <t>スケジュール</t>
    <phoneticPr fontId="1"/>
  </si>
  <si>
    <t>スケジュール1</t>
    <phoneticPr fontId="1"/>
  </si>
  <si>
    <t>週単位</t>
    <rPh sb="0" eb="1">
      <t>シュ</t>
    </rPh>
    <phoneticPr fontId="1"/>
  </si>
  <si>
    <t>1時間0分</t>
    <rPh sb="1" eb="3">
      <t>ジカ</t>
    </rPh>
    <rPh sb="4" eb="5">
      <t xml:space="preserve">フン </t>
    </rPh>
    <phoneticPr fontId="1"/>
  </si>
  <si>
    <t>間隔(○週に1回)</t>
    <rPh sb="0" eb="2">
      <t>カンカ</t>
    </rPh>
    <rPh sb="4" eb="5">
      <t>シ</t>
    </rPh>
    <rPh sb="7" eb="8">
      <t>カ</t>
    </rPh>
    <phoneticPr fontId="1"/>
  </si>
  <si>
    <t>リモートデスクトップ</t>
    <phoneticPr fontId="1"/>
  </si>
  <si>
    <t>ネットワークとインターネット</t>
    <phoneticPr fontId="1"/>
  </si>
  <si>
    <t>Microsoftネットワーク用クライアント</t>
    <rPh sb="15" eb="16">
      <t>ヨ</t>
    </rPh>
    <phoneticPr fontId="1"/>
  </si>
  <si>
    <t>Microsoftネットワーク用ファイルとプリンター共有</t>
    <rPh sb="26" eb="28">
      <t>キョウユ</t>
    </rPh>
    <phoneticPr fontId="1"/>
  </si>
  <si>
    <t>QoSパケットスケジューラ</t>
    <phoneticPr fontId="1"/>
  </si>
  <si>
    <t>インターネットプロトコルバージョン4 (TCP/IPv4)</t>
    <phoneticPr fontId="1"/>
  </si>
  <si>
    <t>Microsoft Network Adapter Multiplexor Protocol</t>
    <phoneticPr fontId="1"/>
  </si>
  <si>
    <t>Microsoft LLDP プロトコルドライバー</t>
    <phoneticPr fontId="1"/>
  </si>
  <si>
    <t>インターネットプロトコルバージョン6 (TCP/IPv6)</t>
    <phoneticPr fontId="1"/>
  </si>
  <si>
    <t>Link-Layer Topology Discovery Responder</t>
    <phoneticPr fontId="1"/>
  </si>
  <si>
    <t>Link-Layer Topology Discovery Mapper I/O Driver</t>
    <phoneticPr fontId="1"/>
  </si>
  <si>
    <t>IPアドレスを自動的に取得する</t>
    <rPh sb="7" eb="10">
      <t>ジド</t>
    </rPh>
    <rPh sb="11" eb="13">
      <t>シュト</t>
    </rPh>
    <phoneticPr fontId="1"/>
  </si>
  <si>
    <t>次のIPアドレスを使う</t>
    <rPh sb="0" eb="1">
      <t>ツ</t>
    </rPh>
    <rPh sb="9" eb="10">
      <t>ツカ</t>
    </rPh>
    <phoneticPr fontId="1"/>
  </si>
  <si>
    <t>ラジオボタン</t>
    <phoneticPr fontId="1"/>
  </si>
  <si>
    <t>IPアドレス</t>
    <phoneticPr fontId="1"/>
  </si>
  <si>
    <t>サブネットマスク</t>
    <phoneticPr fontId="1"/>
  </si>
  <si>
    <t>デフォルトゲートウェイ</t>
    <phoneticPr fontId="1"/>
  </si>
  <si>
    <t>192.168.10.201</t>
    <phoneticPr fontId="1"/>
  </si>
  <si>
    <t>255.255.255.0</t>
    <phoneticPr fontId="1"/>
  </si>
  <si>
    <t>192.168.10.1</t>
    <phoneticPr fontId="1"/>
  </si>
  <si>
    <t>DNSサーバーのアドレスを自動的に取得する</t>
    <rPh sb="13" eb="16">
      <t>ジド</t>
    </rPh>
    <rPh sb="17" eb="19">
      <t>シュト</t>
    </rPh>
    <phoneticPr fontId="1"/>
  </si>
  <si>
    <t>次のDNSサーバーのアドレスを使う</t>
    <rPh sb="15" eb="16">
      <t>ツカ</t>
    </rPh>
    <phoneticPr fontId="1"/>
  </si>
  <si>
    <t>優先DNSサーバー</t>
    <rPh sb="0" eb="2">
      <t>ユウセ</t>
    </rPh>
    <phoneticPr fontId="1"/>
  </si>
  <si>
    <t>代替DNSサーバー</t>
    <rPh sb="0" eb="2">
      <t xml:space="preserve">ダイタイ </t>
    </rPh>
    <phoneticPr fontId="1"/>
  </si>
  <si>
    <t>ー</t>
    <phoneticPr fontId="1"/>
  </si>
  <si>
    <t>IP設定</t>
    <rPh sb="2" eb="4">
      <t>セッテ</t>
    </rPh>
    <phoneticPr fontId="1"/>
  </si>
  <si>
    <t>IPアドレス1</t>
    <phoneticPr fontId="1"/>
  </si>
  <si>
    <t>ゲートウェイ1</t>
    <phoneticPr fontId="1"/>
  </si>
  <si>
    <t>ゲートウェイ</t>
    <phoneticPr fontId="1"/>
  </si>
  <si>
    <t>メトリック</t>
    <phoneticPr fontId="1"/>
  </si>
  <si>
    <t>自動メトリック</t>
    <rPh sb="0" eb="2">
      <t>ジド</t>
    </rPh>
    <phoneticPr fontId="1"/>
  </si>
  <si>
    <t>自動メトリック</t>
    <rPh sb="0" eb="2">
      <t>ジドウ</t>
    </rPh>
    <phoneticPr fontId="1"/>
  </si>
  <si>
    <t>インターフェイスメトリック</t>
    <phoneticPr fontId="1"/>
  </si>
  <si>
    <t>DNS</t>
    <phoneticPr fontId="1"/>
  </si>
  <si>
    <t>DNSサーバーアドレス(使用順)</t>
    <rPh sb="12" eb="15">
      <t>シヨ</t>
    </rPh>
    <phoneticPr fontId="1"/>
  </si>
  <si>
    <t>プライマリおよび接続専用のDNSサフィックスを追加する</t>
    <rPh sb="8" eb="12">
      <t>セツゾ</t>
    </rPh>
    <rPh sb="23" eb="25">
      <t>ツイ</t>
    </rPh>
    <phoneticPr fontId="1"/>
  </si>
  <si>
    <t>プライマリDNSサフィックスの親サフィックスを追加する</t>
    <rPh sb="15" eb="16">
      <t>オ</t>
    </rPh>
    <rPh sb="23" eb="25">
      <t>ツイ</t>
    </rPh>
    <phoneticPr fontId="1"/>
  </si>
  <si>
    <t>以下のDNSサフィックスを順に追加する</t>
    <rPh sb="0" eb="2">
      <t>イ</t>
    </rPh>
    <rPh sb="13" eb="14">
      <t>ジュ</t>
    </rPh>
    <rPh sb="15" eb="17">
      <t>ツイ</t>
    </rPh>
    <phoneticPr fontId="1"/>
  </si>
  <si>
    <t>この接続のDNSサフィックス</t>
    <rPh sb="2" eb="4">
      <t>セツゾ</t>
    </rPh>
    <phoneticPr fontId="1"/>
  </si>
  <si>
    <t>この接続のアドレスをDNSに登録する</t>
    <rPh sb="0" eb="2">
      <t>コノ</t>
    </rPh>
    <rPh sb="2" eb="3">
      <t>セツゾ</t>
    </rPh>
    <rPh sb="14" eb="16">
      <t>トウロ</t>
    </rPh>
    <phoneticPr fontId="1"/>
  </si>
  <si>
    <t>WINS</t>
    <phoneticPr fontId="1"/>
  </si>
  <si>
    <t>WINSアドレス(使用順)</t>
    <rPh sb="9" eb="12">
      <t>シヨ</t>
    </rPh>
    <phoneticPr fontId="1"/>
  </si>
  <si>
    <t>LMHOSTSの参照を有効にする</t>
    <rPh sb="8" eb="10">
      <t>サンショ</t>
    </rPh>
    <rPh sb="11" eb="13">
      <t>ユウコ</t>
    </rPh>
    <phoneticPr fontId="1"/>
  </si>
  <si>
    <t>NetBIOS設定</t>
    <rPh sb="7" eb="9">
      <t>セッテ</t>
    </rPh>
    <phoneticPr fontId="1"/>
  </si>
  <si>
    <t>既定値</t>
    <rPh sb="0" eb="2">
      <t>キテ</t>
    </rPh>
    <phoneticPr fontId="1"/>
  </si>
  <si>
    <t>NetBIOS over TCP/IPを有効にする</t>
    <rPh sb="20" eb="22">
      <t>ユウコ</t>
    </rPh>
    <phoneticPr fontId="1"/>
  </si>
  <si>
    <t>NetBIOS over TCP/IPを無効にする</t>
    <rPh sb="20" eb="22">
      <t>ムコ</t>
    </rPh>
    <phoneticPr fontId="1"/>
  </si>
  <si>
    <t>IPv6アドレスを自動的に取得する</t>
    <rPh sb="9" eb="12">
      <t>ジド</t>
    </rPh>
    <rPh sb="13" eb="15">
      <t>シュト</t>
    </rPh>
    <phoneticPr fontId="1"/>
  </si>
  <si>
    <t>次のIPv6アドレスを使う</t>
    <rPh sb="0" eb="1">
      <t>ツ</t>
    </rPh>
    <rPh sb="11" eb="12">
      <t>ツカ</t>
    </rPh>
    <phoneticPr fontId="1"/>
  </si>
  <si>
    <t>IPv6アドレス</t>
    <phoneticPr fontId="1"/>
  </si>
  <si>
    <t>サブネットプレフィックスの長さ</t>
    <rPh sb="13" eb="14">
      <t>ナガ</t>
    </rPh>
    <phoneticPr fontId="1"/>
  </si>
  <si>
    <t>DNSサーバーのIPアドレス</t>
    <phoneticPr fontId="1"/>
  </si>
  <si>
    <t>代替DNSサーバー</t>
    <rPh sb="0" eb="2">
      <t>ダイタ</t>
    </rPh>
    <phoneticPr fontId="1"/>
  </si>
  <si>
    <t>この接続のDNSサフィックスをDNS登録に使う</t>
    <rPh sb="2" eb="4">
      <t>セツゾ</t>
    </rPh>
    <rPh sb="18" eb="20">
      <t>トウロ</t>
    </rPh>
    <rPh sb="20" eb="21">
      <t>トウロ</t>
    </rPh>
    <rPh sb="21" eb="22">
      <t>ツカ</t>
    </rPh>
    <phoneticPr fontId="1"/>
  </si>
  <si>
    <t>コールバックしない</t>
    <phoneticPr fontId="1"/>
  </si>
  <si>
    <t>共有の詳細設定</t>
    <rPh sb="0" eb="2">
      <t>キョウユ</t>
    </rPh>
    <rPh sb="3" eb="7">
      <t>ショウサ</t>
    </rPh>
    <phoneticPr fontId="1"/>
  </si>
  <si>
    <t>プライベート</t>
    <phoneticPr fontId="1"/>
  </si>
  <si>
    <t>ネットワーク探索</t>
    <rPh sb="6" eb="8">
      <t>タンサ</t>
    </rPh>
    <phoneticPr fontId="1"/>
  </si>
  <si>
    <t>ネットワーク探索を有効にする</t>
    <rPh sb="9" eb="11">
      <t>ユウコ</t>
    </rPh>
    <phoneticPr fontId="1"/>
  </si>
  <si>
    <t>ネットワークに接続されているデバイスの自動セットアップを有効にする</t>
    <rPh sb="7" eb="9">
      <t>セツゾ</t>
    </rPh>
    <rPh sb="19" eb="21">
      <t>ジド</t>
    </rPh>
    <rPh sb="28" eb="30">
      <t>ユウコ</t>
    </rPh>
    <phoneticPr fontId="1"/>
  </si>
  <si>
    <t>ネットワーク探索を無効にする</t>
    <rPh sb="9" eb="11">
      <t>ムコ</t>
    </rPh>
    <phoneticPr fontId="1"/>
  </si>
  <si>
    <t>ファイルとプリンターの共有</t>
    <rPh sb="11" eb="13">
      <t>キョウユ</t>
    </rPh>
    <phoneticPr fontId="1"/>
  </si>
  <si>
    <t>ファイルとプリンターの共有を有効にする</t>
    <rPh sb="11" eb="13">
      <t>キョウユ</t>
    </rPh>
    <rPh sb="14" eb="16">
      <t>ユウコ</t>
    </rPh>
    <phoneticPr fontId="1"/>
  </si>
  <si>
    <t>ファイルとプリンタへの共有を無効にする</t>
    <rPh sb="11" eb="13">
      <t>キョウユ</t>
    </rPh>
    <rPh sb="14" eb="16">
      <t>ムコ</t>
    </rPh>
    <phoneticPr fontId="1"/>
  </si>
  <si>
    <t>ゲストまたはパブリック</t>
    <phoneticPr fontId="1"/>
  </si>
  <si>
    <t>すべてのネットワーク</t>
    <phoneticPr fontId="1"/>
  </si>
  <si>
    <t>パブリックフォルダーの共有</t>
    <rPh sb="11" eb="13">
      <t>キョウユ</t>
    </rPh>
    <phoneticPr fontId="1"/>
  </si>
  <si>
    <t>共有を有効にして、ネットワークアクセスがある場合はパブリックフォルダー内のファイルを読み書きできるようにする</t>
    <rPh sb="0" eb="2">
      <t>キョウユ</t>
    </rPh>
    <rPh sb="3" eb="5">
      <t>ユウコウニ</t>
    </rPh>
    <rPh sb="22" eb="24">
      <t>バア</t>
    </rPh>
    <rPh sb="42" eb="43">
      <t>ヨミカ</t>
    </rPh>
    <phoneticPr fontId="1"/>
  </si>
  <si>
    <t>パブリックフォルダーの共有を無効にする (このコンピュータにログオンしている場合はこれらのフォルダーにアクセスできます)</t>
    <rPh sb="11" eb="13">
      <t>キョウユ</t>
    </rPh>
    <rPh sb="14" eb="16">
      <t>ムコ</t>
    </rPh>
    <rPh sb="38" eb="40">
      <t>バア</t>
    </rPh>
    <phoneticPr fontId="1"/>
  </si>
  <si>
    <t>メディアストリーミング</t>
    <phoneticPr fontId="1"/>
  </si>
  <si>
    <t>パスワード保護共有</t>
    <rPh sb="5" eb="9">
      <t>ホゴ</t>
    </rPh>
    <phoneticPr fontId="1"/>
  </si>
  <si>
    <t>パスワード保護共有を有効にする</t>
    <rPh sb="5" eb="9">
      <t>ホゴ</t>
    </rPh>
    <rPh sb="10" eb="12">
      <t>ユウコ</t>
    </rPh>
    <phoneticPr fontId="1"/>
  </si>
  <si>
    <t>パスワード保護共有を無効にする</t>
    <rPh sb="5" eb="9">
      <t>ホゴ</t>
    </rPh>
    <rPh sb="10" eb="12">
      <t>ムコ</t>
    </rPh>
    <phoneticPr fontId="1"/>
  </si>
  <si>
    <t>ダイヤルアップ</t>
    <phoneticPr fontId="1"/>
  </si>
  <si>
    <t>詳細オプション</t>
    <rPh sb="0" eb="2">
      <t>ショウサイ</t>
    </rPh>
    <phoneticPr fontId="1"/>
  </si>
  <si>
    <t>従量制課金接続経由でのVPNを許可</t>
    <rPh sb="0" eb="5">
      <t>ジュウ</t>
    </rPh>
    <rPh sb="5" eb="9">
      <t>セツゾ</t>
    </rPh>
    <rPh sb="15" eb="17">
      <t>キョ</t>
    </rPh>
    <phoneticPr fontId="1"/>
  </si>
  <si>
    <t>ローミング中のVPNを許可</t>
    <rPh sb="11" eb="13">
      <t>キョ</t>
    </rPh>
    <phoneticPr fontId="1"/>
  </si>
  <si>
    <t>プロキシ</t>
    <phoneticPr fontId="1"/>
  </si>
  <si>
    <t>自動プロキシセットアップ</t>
    <rPh sb="0" eb="2">
      <t>ジド</t>
    </rPh>
    <phoneticPr fontId="1"/>
  </si>
  <si>
    <t>設定を自動的に検出する</t>
    <rPh sb="0" eb="2">
      <t>セッテ</t>
    </rPh>
    <rPh sb="3" eb="6">
      <t>ジド</t>
    </rPh>
    <rPh sb="7" eb="9">
      <t>ケンシュ</t>
    </rPh>
    <phoneticPr fontId="1"/>
  </si>
  <si>
    <t>セットアップスクリプトを使う</t>
    <rPh sb="12" eb="13">
      <t>ツカ</t>
    </rPh>
    <phoneticPr fontId="1"/>
  </si>
  <si>
    <t>スクリプトのアドレス</t>
    <phoneticPr fontId="1"/>
  </si>
  <si>
    <t>手動プロキシセットアップ</t>
    <rPh sb="0" eb="2">
      <t>シュド</t>
    </rPh>
    <phoneticPr fontId="1"/>
  </si>
  <si>
    <t>プロキシサーバーを使う</t>
    <rPh sb="9" eb="10">
      <t>ツカ</t>
    </rPh>
    <phoneticPr fontId="1"/>
  </si>
  <si>
    <t>アドレス</t>
    <phoneticPr fontId="1"/>
  </si>
  <si>
    <t>ポート</t>
    <phoneticPr fontId="1"/>
  </si>
  <si>
    <t>次のエントリで始まるアドレス以外にプロキシサーバーを使います。エントリを区切るにはセミコロン(;)を使います。</t>
    <rPh sb="0" eb="1">
      <t>ツ</t>
    </rPh>
    <rPh sb="7" eb="8">
      <t>ハジマ</t>
    </rPh>
    <rPh sb="14" eb="16">
      <t>イガ</t>
    </rPh>
    <rPh sb="26" eb="27">
      <t>ツカ</t>
    </rPh>
    <rPh sb="36" eb="38">
      <t>クギ</t>
    </rPh>
    <rPh sb="50" eb="51">
      <t>ツカ</t>
    </rPh>
    <phoneticPr fontId="1"/>
  </si>
  <si>
    <t>ローカル(イントラネット)のアドレスにはプロキシサーバーを使わない</t>
    <rPh sb="29" eb="30">
      <t>ツカワ</t>
    </rPh>
    <phoneticPr fontId="1"/>
  </si>
  <si>
    <t>固定ルート</t>
    <rPh sb="0" eb="2">
      <t>コテ</t>
    </rPh>
    <phoneticPr fontId="1"/>
  </si>
  <si>
    <t>ネットワーク名</t>
    <rPh sb="6" eb="7">
      <t>メ</t>
    </rPh>
    <phoneticPr fontId="1"/>
  </si>
  <si>
    <t>ゲートウェイのIPアドレス</t>
    <phoneticPr fontId="1"/>
  </si>
  <si>
    <t>1時間</t>
    <rPh sb="1" eb="3">
      <t>ジカ</t>
    </rPh>
    <phoneticPr fontId="1"/>
  </si>
  <si>
    <t>3時間</t>
    <rPh sb="1" eb="3">
      <t>ジカ</t>
    </rPh>
    <phoneticPr fontId="1"/>
  </si>
  <si>
    <t>コントロールパネル</t>
    <phoneticPr fontId="1"/>
  </si>
  <si>
    <t>Microsoft Edge</t>
    <phoneticPr fontId="1"/>
  </si>
  <si>
    <t>プログラム名</t>
    <phoneticPr fontId="1"/>
  </si>
  <si>
    <t>バージョン</t>
    <phoneticPr fontId="1"/>
  </si>
  <si>
    <t>MIcrosoft Visual C++ 2015-2019 Redistributable(x64) - 14.28.29913</t>
    <phoneticPr fontId="1"/>
  </si>
  <si>
    <t>14.28.29913.0</t>
    <phoneticPr fontId="1"/>
  </si>
  <si>
    <t>101.0.1210.47</t>
    <phoneticPr fontId="1"/>
  </si>
  <si>
    <t>MIcrosoft Visual C++ 2015-2019 Redistributable(x86) - 14.28.29913</t>
    <phoneticPr fontId="1"/>
  </si>
  <si>
    <t>VMware Tools</t>
    <phoneticPr fontId="1"/>
  </si>
  <si>
    <t>11.3.5.18557794</t>
    <phoneticPr fontId="1"/>
  </si>
  <si>
    <t>[コントールパネル] - [プログラム] - [プログラムと機能]</t>
    <rPh sb="30" eb="32">
      <t>キノ</t>
    </rPh>
    <phoneticPr fontId="1"/>
  </si>
  <si>
    <t>[コントールパネル] - [プログラム] - [プログラムと機能] - [インストールされた更新プログラム]</t>
    <rPh sb="30" eb="32">
      <t>キノ</t>
    </rPh>
    <rPh sb="46" eb="48">
      <t>コウシンプ</t>
    </rPh>
    <phoneticPr fontId="1"/>
  </si>
  <si>
    <t>Microsoft Windows (KB5013944) のセキュリティ更新プログラム</t>
    <rPh sb="37" eb="39">
      <t>コウシンプ</t>
    </rPh>
    <phoneticPr fontId="1"/>
  </si>
  <si>
    <t>Servicing Stack 10.0.20348.677</t>
    <phoneticPr fontId="1"/>
  </si>
  <si>
    <t>Microsoft Windows (KB5013630) の更新プログラム</t>
    <rPh sb="31" eb="33">
      <t>コウシ</t>
    </rPh>
    <phoneticPr fontId="1"/>
  </si>
  <si>
    <t>Microsoft Edge</t>
  </si>
  <si>
    <t>スタートアップアプリ</t>
    <phoneticPr fontId="1"/>
  </si>
  <si>
    <t>プライバシー</t>
    <phoneticPr fontId="1"/>
  </si>
  <si>
    <t>タイムゾーン</t>
    <phoneticPr fontId="1"/>
  </si>
  <si>
    <t>-</t>
    <phoneticPr fontId="1"/>
  </si>
  <si>
    <t>アクティブ時間の変更</t>
    <phoneticPr fontId="1"/>
  </si>
  <si>
    <t>このデバイスのアクティブ時間を、アクティビティに基づいて自動的に調整する</t>
    <rPh sb="24" eb="25">
      <t>モトヅ</t>
    </rPh>
    <rPh sb="28" eb="31">
      <t>ジド</t>
    </rPh>
    <rPh sb="32" eb="34">
      <t>チョウセ</t>
    </rPh>
    <phoneticPr fontId="1"/>
  </si>
  <si>
    <t>アクティブ時間</t>
    <phoneticPr fontId="1"/>
  </si>
  <si>
    <t>開始時刻</t>
    <rPh sb="0" eb="3">
      <t>カイシ</t>
    </rPh>
    <phoneticPr fontId="1"/>
  </si>
  <si>
    <t>終了時刻</t>
    <rPh sb="0" eb="3">
      <t>シュウリョ</t>
    </rPh>
    <phoneticPr fontId="1"/>
  </si>
  <si>
    <t>更新プログラムのオプション</t>
    <rPh sb="0" eb="2">
      <t>コウシンプ</t>
    </rPh>
    <phoneticPr fontId="1"/>
  </si>
  <si>
    <t>Windowsの更新時に他のMicrosoft製品の更新プログラムを受け取る</t>
    <rPh sb="7" eb="10">
      <t xml:space="preserve">コウシンジニ </t>
    </rPh>
    <rPh sb="11" eb="12">
      <t xml:space="preserve">タノ </t>
    </rPh>
    <rPh sb="22" eb="24">
      <t>セイヒ</t>
    </rPh>
    <rPh sb="25" eb="27">
      <t>コウシ</t>
    </rPh>
    <rPh sb="33" eb="34">
      <t>ウケト</t>
    </rPh>
    <phoneticPr fontId="1"/>
  </si>
  <si>
    <t>従量課金接続を使って更新プログラムをダウンロードする</t>
    <rPh sb="0" eb="3">
      <t>ジュウ</t>
    </rPh>
    <rPh sb="3" eb="5">
      <t>セツゾ</t>
    </rPh>
    <rPh sb="6" eb="7">
      <t>ツカッ</t>
    </rPh>
    <rPh sb="9" eb="11">
      <t>コウシンプ</t>
    </rPh>
    <phoneticPr fontId="1"/>
  </si>
  <si>
    <t>更新プログラムをインストールするために再起動が必要な場合は、できるだけすぐにこのデバイスを再起動してください。再起動の前に通知が表示されます。デバイスがコンセントに接続されていて電源が入っている必要があります。</t>
    <rPh sb="0" eb="1">
      <t>コウシンプ</t>
    </rPh>
    <rPh sb="18" eb="21">
      <t>サイキ</t>
    </rPh>
    <rPh sb="22" eb="24">
      <t>ヒツヨ</t>
    </rPh>
    <rPh sb="25" eb="27">
      <t>バア</t>
    </rPh>
    <rPh sb="44" eb="47">
      <t>サイ</t>
    </rPh>
    <rPh sb="54" eb="57">
      <t>サイキ</t>
    </rPh>
    <rPh sb="58" eb="59">
      <t>マ</t>
    </rPh>
    <rPh sb="60" eb="62">
      <t>ツウ</t>
    </rPh>
    <rPh sb="63" eb="65">
      <t>ヒョ</t>
    </rPh>
    <rPh sb="81" eb="83">
      <t>セツゾ</t>
    </rPh>
    <rPh sb="88" eb="90">
      <t>デンゲ</t>
    </rPh>
    <rPh sb="91" eb="92">
      <t>ハイッ</t>
    </rPh>
    <rPh sb="96" eb="98">
      <t>ヒツヨ</t>
    </rPh>
    <phoneticPr fontId="1"/>
  </si>
  <si>
    <t>更新プログラムの通知</t>
    <rPh sb="0" eb="2">
      <t>コウシンプ</t>
    </rPh>
    <rPh sb="8" eb="10">
      <t>ツウ</t>
    </rPh>
    <phoneticPr fontId="1"/>
  </si>
  <si>
    <t>更新を完了するためにデバイスの再起動が必要な時に通知を表示します。</t>
    <rPh sb="2" eb="4">
      <t>カンリョ</t>
    </rPh>
    <rPh sb="14" eb="17">
      <t>サイキ</t>
    </rPh>
    <rPh sb="18" eb="20">
      <t>ヒツヨ</t>
    </rPh>
    <rPh sb="21" eb="22">
      <t>トキ</t>
    </rPh>
    <rPh sb="23" eb="25">
      <t>ツウ</t>
    </rPh>
    <rPh sb="26" eb="28">
      <t>ヒョ</t>
    </rPh>
    <phoneticPr fontId="1"/>
  </si>
  <si>
    <t>Windowsセキュリティ</t>
    <phoneticPr fontId="1"/>
  </si>
  <si>
    <t>ウィルスと脅威の防止</t>
    <rPh sb="5" eb="7">
      <t>キョ</t>
    </rPh>
    <rPh sb="8" eb="10">
      <t>ボウ</t>
    </rPh>
    <phoneticPr fontId="1"/>
  </si>
  <si>
    <t>ウィルスと脅威の防止の設定</t>
    <rPh sb="5" eb="7">
      <t>キョウ</t>
    </rPh>
    <rPh sb="8" eb="10">
      <t>ボウ</t>
    </rPh>
    <rPh sb="11" eb="13">
      <t>セッテ</t>
    </rPh>
    <phoneticPr fontId="1"/>
  </si>
  <si>
    <t>リアルタイム保護</t>
    <phoneticPr fontId="1"/>
  </si>
  <si>
    <t>クラウド提供の保護</t>
    <rPh sb="3" eb="5">
      <t>テイキョ</t>
    </rPh>
    <rPh sb="6" eb="8">
      <t>ホコ</t>
    </rPh>
    <phoneticPr fontId="1"/>
  </si>
  <si>
    <t>サンプルの自動送信</t>
    <rPh sb="4" eb="8">
      <t>ジド</t>
    </rPh>
    <phoneticPr fontId="1"/>
  </si>
  <si>
    <t>改ざん防止</t>
    <phoneticPr fontId="1"/>
  </si>
  <si>
    <t>コントロールされたフォルダーアクセス</t>
    <phoneticPr fontId="1"/>
  </si>
  <si>
    <t>ランサムウェアの防止</t>
    <rPh sb="8" eb="10">
      <t>ボウ</t>
    </rPh>
    <phoneticPr fontId="1"/>
  </si>
  <si>
    <t>除外</t>
    <rPh sb="0" eb="1">
      <t>ジョガ</t>
    </rPh>
    <phoneticPr fontId="1"/>
  </si>
  <si>
    <t>通知</t>
    <rPh sb="0" eb="1">
      <t>ツウ</t>
    </rPh>
    <phoneticPr fontId="1"/>
  </si>
  <si>
    <t>ウィルスと脅威の防止に関する通知</t>
    <rPh sb="5" eb="7">
      <t>キョウ</t>
    </rPh>
    <rPh sb="8" eb="10">
      <t>ボウ</t>
    </rPh>
    <rPh sb="11" eb="12">
      <t>カン</t>
    </rPh>
    <rPh sb="14" eb="16">
      <t>ツウ</t>
    </rPh>
    <phoneticPr fontId="1"/>
  </si>
  <si>
    <t>情報提供の通知を受け取る</t>
    <rPh sb="0" eb="4">
      <t>ジョウホウテイキ</t>
    </rPh>
    <rPh sb="5" eb="7">
      <t>ツウ</t>
    </rPh>
    <rPh sb="8" eb="9">
      <t>ウケト</t>
    </rPh>
    <phoneticPr fontId="1"/>
  </si>
  <si>
    <t>最近のアクティビティとスキャン結果</t>
    <rPh sb="0" eb="2">
      <t>サイキ</t>
    </rPh>
    <phoneticPr fontId="1"/>
  </si>
  <si>
    <t>脅威が見つかりましたが、直ちに対処する必要はありません</t>
    <rPh sb="0" eb="2">
      <t>キョウ</t>
    </rPh>
    <rPh sb="3" eb="4">
      <t>ミツカ</t>
    </rPh>
    <rPh sb="12" eb="13">
      <t>タダチ</t>
    </rPh>
    <rPh sb="15" eb="17">
      <t>タイシ</t>
    </rPh>
    <rPh sb="19" eb="21">
      <t>ヒツヨ</t>
    </rPh>
    <phoneticPr fontId="1"/>
  </si>
  <si>
    <t>ファイルまたはアクティビティがブロックされています</t>
    <phoneticPr fontId="1"/>
  </si>
  <si>
    <t>ファイアウォールとネットワーク保護の通知</t>
    <rPh sb="15" eb="17">
      <t xml:space="preserve">ホゴ </t>
    </rPh>
    <rPh sb="18" eb="20">
      <t>ツウ</t>
    </rPh>
    <phoneticPr fontId="1"/>
  </si>
  <si>
    <t>Microsoft Defenderファイアウォールで新しいアプリがプロックされた時に通知を受け取る</t>
    <rPh sb="27" eb="28">
      <t>アタ</t>
    </rPh>
    <rPh sb="41" eb="42">
      <t>トキ</t>
    </rPh>
    <rPh sb="43" eb="45">
      <t>ツウ</t>
    </rPh>
    <rPh sb="46" eb="47">
      <t>ウケト</t>
    </rPh>
    <phoneticPr fontId="1"/>
  </si>
  <si>
    <t>ドメインファイアウォール</t>
    <phoneticPr fontId="1"/>
  </si>
  <si>
    <t>プライベートファイアウォール</t>
    <phoneticPr fontId="1"/>
  </si>
  <si>
    <t>パブリックファイアウォール</t>
    <phoneticPr fontId="1"/>
  </si>
  <si>
    <t>ファイアウォールとネットワーク保護</t>
    <rPh sb="15" eb="17">
      <t xml:space="preserve">ホゴ </t>
    </rPh>
    <phoneticPr fontId="1"/>
  </si>
  <si>
    <t>ドメインネットワーク</t>
    <phoneticPr fontId="1"/>
  </si>
  <si>
    <t>Microsoft Defender ファイアウォール</t>
    <phoneticPr fontId="1"/>
  </si>
  <si>
    <t>着信接続</t>
    <rPh sb="0" eb="3">
      <t>チャ</t>
    </rPh>
    <phoneticPr fontId="1"/>
  </si>
  <si>
    <t>許可されたアプリの一覧にあるアプリも含め、すべての着信接続をブロックします。</t>
    <rPh sb="0" eb="2">
      <t>キョ</t>
    </rPh>
    <rPh sb="9" eb="11">
      <t>イチラ</t>
    </rPh>
    <rPh sb="18" eb="19">
      <t>フ</t>
    </rPh>
    <rPh sb="25" eb="29">
      <t>チャ</t>
    </rPh>
    <phoneticPr fontId="1"/>
  </si>
  <si>
    <t>プライベートネットワーク</t>
    <phoneticPr fontId="1"/>
  </si>
  <si>
    <t>パブリックネットワーク</t>
    <phoneticPr fontId="1"/>
  </si>
  <si>
    <t>アプリとブラウザーコントロール</t>
    <phoneticPr fontId="1"/>
  </si>
  <si>
    <t>評価ベースの保護</t>
    <rPh sb="0" eb="2">
      <t>ヒョ</t>
    </rPh>
    <rPh sb="6" eb="8">
      <t xml:space="preserve">ホゴ </t>
    </rPh>
    <phoneticPr fontId="1"/>
  </si>
  <si>
    <t>アプリとファイルの確認</t>
    <rPh sb="8" eb="10">
      <t>カクニ</t>
    </rPh>
    <phoneticPr fontId="1"/>
  </si>
  <si>
    <t>望ましくない可能性のあるアプリのブロック</t>
    <rPh sb="5" eb="8">
      <t>カノ</t>
    </rPh>
    <phoneticPr fontId="1"/>
  </si>
  <si>
    <t>アプリをブロックする</t>
    <phoneticPr fontId="1"/>
  </si>
  <si>
    <t>ダウンロードをブロックする</t>
    <phoneticPr fontId="1"/>
  </si>
  <si>
    <t>Exploit protection</t>
    <phoneticPr fontId="1"/>
  </si>
  <si>
    <t>制御フローガード (CFG)</t>
    <rPh sb="0" eb="2">
      <t>セイギ</t>
    </rPh>
    <phoneticPr fontId="1"/>
  </si>
  <si>
    <t>データ実行防止 (DEP)</t>
    <rPh sb="3" eb="7">
      <t>ジッコ</t>
    </rPh>
    <phoneticPr fontId="1"/>
  </si>
  <si>
    <t>イメージのランダム化を強制する (必須ASLR)</t>
    <rPh sb="9" eb="10">
      <t xml:space="preserve">カ </t>
    </rPh>
    <rPh sb="11" eb="13">
      <t>キョウセ</t>
    </rPh>
    <rPh sb="17" eb="19">
      <t>ヒッ</t>
    </rPh>
    <phoneticPr fontId="1"/>
  </si>
  <si>
    <t>仮想メモリの割り当てをランダム化する (ボトムアップASLR)</t>
    <rPh sb="0" eb="2">
      <t>カソウ</t>
    </rPh>
    <rPh sb="6" eb="7">
      <t>ワリア</t>
    </rPh>
    <phoneticPr fontId="1"/>
  </si>
  <si>
    <t>高エントロピASLR</t>
    <rPh sb="0" eb="1">
      <t xml:space="preserve">コウ </t>
    </rPh>
    <phoneticPr fontId="1"/>
  </si>
  <si>
    <t>例外チェーンを検証する (SEHOP)</t>
    <rPh sb="0" eb="2">
      <t>レ</t>
    </rPh>
    <rPh sb="7" eb="9">
      <t>ケンショ</t>
    </rPh>
    <phoneticPr fontId="1"/>
  </si>
  <si>
    <t>ヒープの生合成を検証する</t>
    <rPh sb="4" eb="7">
      <t>セイゴウセ</t>
    </rPh>
    <rPh sb="8" eb="10">
      <t>ケンショ</t>
    </rPh>
    <phoneticPr fontId="1"/>
  </si>
  <si>
    <t>プログラム設定</t>
    <rPh sb="4" eb="6">
      <t>セッテ</t>
    </rPh>
    <phoneticPr fontId="1"/>
  </si>
  <si>
    <t>ExtExport.exe</t>
    <phoneticPr fontId="1"/>
  </si>
  <si>
    <t>デバイスセキュリティ</t>
    <phoneticPr fontId="1"/>
  </si>
  <si>
    <t>コア分離</t>
    <phoneticPr fontId="1"/>
  </si>
  <si>
    <t>任意のコードガード(ACG)</t>
    <rPh sb="0" eb="2">
      <t>ニ</t>
    </rPh>
    <phoneticPr fontId="1"/>
  </si>
  <si>
    <t>システム設定の上書き</t>
    <rPh sb="7" eb="9">
      <t>ウワガ</t>
    </rPh>
    <phoneticPr fontId="1"/>
  </si>
  <si>
    <t>スレッドオプトアウトを許可する</t>
    <rPh sb="11" eb="13">
      <t>キョ</t>
    </rPh>
    <phoneticPr fontId="1"/>
  </si>
  <si>
    <t>監査のみ</t>
    <rPh sb="0" eb="2">
      <t>カンサ</t>
    </rPh>
    <phoneticPr fontId="1"/>
  </si>
  <si>
    <t>低整合性イメージをブロックする</t>
    <rPh sb="0" eb="1">
      <t>テイ</t>
    </rPh>
    <rPh sb="1" eb="4">
      <t>セイゴウセ</t>
    </rPh>
    <phoneticPr fontId="1"/>
  </si>
  <si>
    <t>リモートイメージをブロックする</t>
    <phoneticPr fontId="1"/>
  </si>
  <si>
    <t>信頼されていないフォントをブロックする</t>
    <rPh sb="0" eb="2">
      <t>シンラ</t>
    </rPh>
    <phoneticPr fontId="1"/>
  </si>
  <si>
    <t>コードの整合性ガード</t>
    <rPh sb="4" eb="7">
      <t>セイゴ</t>
    </rPh>
    <phoneticPr fontId="1"/>
  </si>
  <si>
    <t>Microsoft Storeによって署名されているイメージの読み込みも許可する</t>
    <rPh sb="19" eb="21">
      <t>ショメ</t>
    </rPh>
    <rPh sb="31" eb="32">
      <t>ヨミコ</t>
    </rPh>
    <rPh sb="36" eb="38">
      <t>キョ</t>
    </rPh>
    <phoneticPr fontId="1"/>
  </si>
  <si>
    <t>制御フローガード(CFG)</t>
    <rPh sb="0" eb="2">
      <t>セイギ</t>
    </rPh>
    <phoneticPr fontId="1"/>
  </si>
  <si>
    <t>厳密なCFGを使用する</t>
    <rPh sb="0" eb="2">
      <t>ゲンミ</t>
    </rPh>
    <rPh sb="7" eb="9">
      <t>シヨ</t>
    </rPh>
    <phoneticPr fontId="1"/>
  </si>
  <si>
    <t>データ実行防止(DEP)</t>
    <rPh sb="5" eb="7">
      <t>ボウ</t>
    </rPh>
    <phoneticPr fontId="1"/>
  </si>
  <si>
    <t>ATLサンクシミュレーションを有効にする</t>
    <rPh sb="15" eb="17">
      <t>ユウコ</t>
    </rPh>
    <phoneticPr fontId="1"/>
  </si>
  <si>
    <t>拡張ポイントを無効にする</t>
    <rPh sb="0" eb="2">
      <t>カクチョ</t>
    </rPh>
    <rPh sb="7" eb="9">
      <t>ムコ</t>
    </rPh>
    <phoneticPr fontId="1"/>
  </si>
  <si>
    <t>Win32Kシステムコールを無効にする</t>
    <rPh sb="14" eb="16">
      <t>ムコ</t>
    </rPh>
    <phoneticPr fontId="1"/>
  </si>
  <si>
    <t>子プロセスを許可しない</t>
    <rPh sb="0" eb="1">
      <t xml:space="preserve">コ </t>
    </rPh>
    <rPh sb="6" eb="8">
      <t>キョカ</t>
    </rPh>
    <phoneticPr fontId="1"/>
  </si>
  <si>
    <t>エクスポートアドレスフィルター(EAF)</t>
    <phoneticPr fontId="1"/>
  </si>
  <si>
    <t>エクスプロイトによってよく悪用されるモジュールのアクセスを検証します</t>
    <rPh sb="13" eb="15">
      <t>アクヨ</t>
    </rPh>
    <rPh sb="29" eb="31">
      <t>ケンショ</t>
    </rPh>
    <phoneticPr fontId="1"/>
  </si>
  <si>
    <t>イメージのランダム化を矯正する(必須ASLR)</t>
    <rPh sb="11" eb="13">
      <t>キョウセ</t>
    </rPh>
    <rPh sb="16" eb="18">
      <t>ヒッ</t>
    </rPh>
    <phoneticPr fontId="1"/>
  </si>
  <si>
    <t>ストリップイメージを許可しない</t>
    <rPh sb="10" eb="12">
      <t>キョ</t>
    </rPh>
    <phoneticPr fontId="1"/>
  </si>
  <si>
    <t>ハードウェア矯正されたスタック保護</t>
    <rPh sb="6" eb="8">
      <t>キョウセ</t>
    </rPh>
    <rPh sb="15" eb="17">
      <t xml:space="preserve">ホゴ </t>
    </rPh>
    <phoneticPr fontId="1"/>
  </si>
  <si>
    <t>互換性のあるモジュールのみではなく、全てのモジュールに適用</t>
    <rPh sb="0" eb="3">
      <t>ゴカン</t>
    </rPh>
    <rPh sb="18" eb="19">
      <t>スベ</t>
    </rPh>
    <rPh sb="27" eb="29">
      <t>テキヨ</t>
    </rPh>
    <phoneticPr fontId="1"/>
  </si>
  <si>
    <t>インポートアドレスフィルター(IAF)</t>
    <phoneticPr fontId="1"/>
  </si>
  <si>
    <t>仮想メモリの割り当てをランダム化する(ボトムアップASLR)</t>
    <rPh sb="0" eb="2">
      <t>カソウ</t>
    </rPh>
    <rPh sb="6" eb="7">
      <t>ワリア</t>
    </rPh>
    <phoneticPr fontId="1"/>
  </si>
  <si>
    <t>高エントロピを使用しない</t>
    <rPh sb="0" eb="1">
      <t xml:space="preserve">コウ </t>
    </rPh>
    <rPh sb="7" eb="9">
      <t>シヨ</t>
    </rPh>
    <phoneticPr fontId="1"/>
  </si>
  <si>
    <t>実行をシミュレートする(SimExec)</t>
    <rPh sb="0" eb="2">
      <t>ジッコ</t>
    </rPh>
    <phoneticPr fontId="1"/>
  </si>
  <si>
    <t>API呼び出しを検証する(CallerCheck)</t>
    <rPh sb="3" eb="4">
      <t>ヨビダ</t>
    </rPh>
    <rPh sb="8" eb="10">
      <t>ケンショ</t>
    </rPh>
    <phoneticPr fontId="1"/>
  </si>
  <si>
    <t>例外チェーンを検証する(SEHOP)</t>
    <rPh sb="0" eb="2">
      <t>レイガ</t>
    </rPh>
    <rPh sb="7" eb="9">
      <t>ケンショ</t>
    </rPh>
    <phoneticPr fontId="1"/>
  </si>
  <si>
    <t>ハンドルの使用状態を検証する</t>
    <rPh sb="5" eb="7">
      <t>シヨ</t>
    </rPh>
    <rPh sb="7" eb="9">
      <t>ジョウタ</t>
    </rPh>
    <rPh sb="10" eb="12">
      <t>ケンショ</t>
    </rPh>
    <phoneticPr fontId="1"/>
  </si>
  <si>
    <t>ヒープの整合性を検証する</t>
    <rPh sb="4" eb="7">
      <t>セイゴウセ</t>
    </rPh>
    <rPh sb="8" eb="10">
      <t>ケンショ</t>
    </rPh>
    <phoneticPr fontId="1"/>
  </si>
  <si>
    <t>イメージの依存関係の整合性を検証する</t>
    <rPh sb="5" eb="9">
      <t>イゾ</t>
    </rPh>
    <rPh sb="10" eb="13">
      <t>セイゴ</t>
    </rPh>
    <rPh sb="14" eb="16">
      <t>ケンショ</t>
    </rPh>
    <phoneticPr fontId="1"/>
  </si>
  <si>
    <t>スタックの整合性を検証する(StackPivot)</t>
    <rPh sb="5" eb="8">
      <t>セイゴ</t>
    </rPh>
    <rPh sb="9" eb="11">
      <t>ケンショ</t>
    </rPh>
    <phoneticPr fontId="1"/>
  </si>
  <si>
    <t>ie4uinit.exe</t>
    <phoneticPr fontId="1"/>
  </si>
  <si>
    <t>ieinstal.exe</t>
    <phoneticPr fontId="1"/>
  </si>
  <si>
    <t>ielowutil.exe</t>
    <phoneticPr fontId="1"/>
  </si>
  <si>
    <t>ieUnatt.exe</t>
    <phoneticPr fontId="1"/>
  </si>
  <si>
    <t>iexplore.exe</t>
    <phoneticPr fontId="1"/>
  </si>
  <si>
    <t>mscorsvw.exe</t>
    <phoneticPr fontId="1"/>
  </si>
  <si>
    <t>msfeedssync.exe</t>
    <phoneticPr fontId="1"/>
  </si>
  <si>
    <t>mshta.exe</t>
    <phoneticPr fontId="1"/>
  </si>
  <si>
    <t>ngen.exe</t>
    <phoneticPr fontId="1"/>
  </si>
  <si>
    <t>ngentask.exe</t>
    <phoneticPr fontId="1"/>
  </si>
  <si>
    <t>メモリ整合性</t>
    <phoneticPr fontId="1"/>
  </si>
  <si>
    <t>システムとセキュリティ</t>
    <phoneticPr fontId="1"/>
  </si>
  <si>
    <t>セキュリティとメンテナンス</t>
    <phoneticPr fontId="1"/>
  </si>
  <si>
    <t>ユーザーアカウント制御</t>
    <rPh sb="9" eb="11">
      <t>セイギ</t>
    </rPh>
    <phoneticPr fontId="1"/>
  </si>
  <si>
    <t>次の場合は常に通知する</t>
    <rPh sb="0" eb="1">
      <t>ツ</t>
    </rPh>
    <rPh sb="5" eb="6">
      <t>ツ</t>
    </rPh>
    <phoneticPr fontId="1"/>
  </si>
  <si>
    <t>アプリがコンピューターに変更を加えようとする場合のみ通知する(既定)</t>
    <rPh sb="12" eb="14">
      <t>ヘンコ</t>
    </rPh>
    <rPh sb="15" eb="16">
      <t>クワ</t>
    </rPh>
    <rPh sb="22" eb="24">
      <t>バア</t>
    </rPh>
    <rPh sb="26" eb="28">
      <t>ツウ</t>
    </rPh>
    <rPh sb="31" eb="33">
      <t>キテ</t>
    </rPh>
    <phoneticPr fontId="1"/>
  </si>
  <si>
    <t>アプリがコンピューターに変更を加えようとする場合のみ通知する(デスクトップを暗転しない)</t>
    <rPh sb="12" eb="14">
      <t>ヘンコ</t>
    </rPh>
    <rPh sb="15" eb="16">
      <t>クワ</t>
    </rPh>
    <rPh sb="22" eb="24">
      <t>バア</t>
    </rPh>
    <rPh sb="26" eb="28">
      <t>ツウ</t>
    </rPh>
    <rPh sb="38" eb="40">
      <t>アンテ</t>
    </rPh>
    <phoneticPr fontId="1"/>
  </si>
  <si>
    <t>以下の場合でも通知しない</t>
    <rPh sb="0" eb="2">
      <t>イ</t>
    </rPh>
    <rPh sb="7" eb="9">
      <t>ツウ</t>
    </rPh>
    <phoneticPr fontId="1"/>
  </si>
  <si>
    <t>メンテナンス</t>
    <phoneticPr fontId="1"/>
  </si>
  <si>
    <t>自動メンテナンス</t>
    <rPh sb="0" eb="2">
      <t>ジド</t>
    </rPh>
    <phoneticPr fontId="1"/>
  </si>
  <si>
    <t>メンテナンスタスクの実行時刻(毎日)</t>
    <rPh sb="10" eb="14">
      <t>ジッコ</t>
    </rPh>
    <rPh sb="15" eb="17">
      <t>マイニ</t>
    </rPh>
    <phoneticPr fontId="1"/>
  </si>
  <si>
    <t>スケジュールされたメンテナンスによるコンピューターのスリープ解除を許可する</t>
    <rPh sb="33" eb="35">
      <t>キョ</t>
    </rPh>
    <phoneticPr fontId="1"/>
  </si>
  <si>
    <t>セキュリティとメンテナンスの設定を変更</t>
    <rPh sb="14" eb="16">
      <t>セッテ</t>
    </rPh>
    <rPh sb="17" eb="19">
      <t>ヘンコ</t>
    </rPh>
    <phoneticPr fontId="1"/>
  </si>
  <si>
    <t>セキュリティメッセージ</t>
    <phoneticPr fontId="1"/>
  </si>
  <si>
    <t>インターネットセキュリティ設定</t>
    <rPh sb="13" eb="15">
      <t>セッテ</t>
    </rPh>
    <phoneticPr fontId="1"/>
  </si>
  <si>
    <t>ネットワークファイアウォール</t>
    <phoneticPr fontId="1"/>
  </si>
  <si>
    <t>Mirosoftアカウント</t>
    <phoneticPr fontId="1"/>
  </si>
  <si>
    <t>スパイウェアと不要なソフトウェアの対策</t>
    <rPh sb="7" eb="9">
      <t>フヨ</t>
    </rPh>
    <rPh sb="17" eb="19">
      <t>タイサ</t>
    </rPh>
    <phoneticPr fontId="1"/>
  </si>
  <si>
    <t>ウィルス対策</t>
    <phoneticPr fontId="1"/>
  </si>
  <si>
    <t>Windowsのライセンス認証</t>
    <rPh sb="13" eb="15">
      <t>ニンショ</t>
    </rPh>
    <phoneticPr fontId="1"/>
  </si>
  <si>
    <t>メンテナンスメッセージ</t>
    <phoneticPr fontId="1"/>
  </si>
  <si>
    <t>Windowsバックアップ</t>
    <phoneticPr fontId="1"/>
  </si>
  <si>
    <t>ドライブの状態</t>
    <rPh sb="5" eb="7">
      <t>ジョウタ</t>
    </rPh>
    <phoneticPr fontId="1"/>
  </si>
  <si>
    <t>デバイスのソフトウェア</t>
    <phoneticPr fontId="1"/>
  </si>
  <si>
    <t>Windowsトラブルシューティング</t>
    <phoneticPr fontId="1"/>
  </si>
  <si>
    <t>ホームグループ</t>
    <phoneticPr fontId="1"/>
  </si>
  <si>
    <t>ファイル履歴</t>
    <rPh sb="4" eb="6">
      <t>リレ</t>
    </rPh>
    <phoneticPr fontId="1"/>
  </si>
  <si>
    <t>ワークフォルダー</t>
    <phoneticPr fontId="1"/>
  </si>
  <si>
    <t>15分</t>
    <rPh sb="2" eb="3">
      <t xml:space="preserve">フン </t>
    </rPh>
    <phoneticPr fontId="1"/>
  </si>
  <si>
    <t>1日</t>
    <rPh sb="1" eb="2">
      <t>ニ</t>
    </rPh>
    <phoneticPr fontId="1"/>
  </si>
  <si>
    <t>route print</t>
    <phoneticPr fontId="1"/>
  </si>
  <si>
    <t>クォータの管理を有効にする</t>
    <rPh sb="5" eb="7">
      <t>カ</t>
    </rPh>
    <rPh sb="8" eb="10">
      <t>ユウコ</t>
    </rPh>
    <phoneticPr fontId="1"/>
  </si>
  <si>
    <t>クォータ制限を超過したユーザーのディスク割り当てを拒否する</t>
    <rPh sb="7" eb="9">
      <t>チョ</t>
    </rPh>
    <rPh sb="20" eb="21">
      <t>ワリア</t>
    </rPh>
    <rPh sb="25" eb="27">
      <t>キョ</t>
    </rPh>
    <phoneticPr fontId="1"/>
  </si>
  <si>
    <t>このボリューム上の新規ユーザーに対する既定のクォータ制限値を選択してください。</t>
    <rPh sb="7" eb="8">
      <t>ジョ</t>
    </rPh>
    <rPh sb="9" eb="11">
      <t>シン</t>
    </rPh>
    <rPh sb="16" eb="17">
      <t>タイ</t>
    </rPh>
    <rPh sb="19" eb="21">
      <t>キテ</t>
    </rPh>
    <rPh sb="26" eb="29">
      <t>セイゲ</t>
    </rPh>
    <rPh sb="30" eb="32">
      <t>センタ</t>
    </rPh>
    <phoneticPr fontId="1"/>
  </si>
  <si>
    <t>ディスク領域を制限する</t>
    <rPh sb="7" eb="9">
      <t>セイゲ</t>
    </rPh>
    <phoneticPr fontId="1"/>
  </si>
  <si>
    <t>警告レベルの設定</t>
    <rPh sb="0" eb="2">
      <t>ケイコ</t>
    </rPh>
    <phoneticPr fontId="1"/>
  </si>
  <si>
    <t>このボリュームに対するクォータログのオプションを選択してください。</t>
    <rPh sb="8" eb="9">
      <t>タイ</t>
    </rPh>
    <rPh sb="24" eb="26">
      <t>センタ</t>
    </rPh>
    <phoneticPr fontId="1"/>
  </si>
  <si>
    <t>ユーザーがクォータ制限値を超えたらイベントをログに記録する</t>
    <rPh sb="9" eb="12">
      <t>セイゲ</t>
    </rPh>
    <rPh sb="13" eb="14">
      <t>コエ</t>
    </rPh>
    <rPh sb="25" eb="27">
      <t>キロ</t>
    </rPh>
    <phoneticPr fontId="1"/>
  </si>
  <si>
    <t>ユーザーが警告レベルを超えたらイベントをログに記録する</t>
    <rPh sb="5" eb="7">
      <t>ケイコ</t>
    </rPh>
    <rPh sb="11" eb="12">
      <t>コ</t>
    </rPh>
    <rPh sb="23" eb="25">
      <t>キロ</t>
    </rPh>
    <phoneticPr fontId="1"/>
  </si>
  <si>
    <t>クォータエントリ</t>
    <phoneticPr fontId="1"/>
  </si>
  <si>
    <t>グループ</t>
  </si>
  <si>
    <t>ローカル アドレス</t>
  </si>
  <si>
    <t>リモート アドレス</t>
  </si>
  <si>
    <t>ローカル ポート</t>
  </si>
  <si>
    <t>リモート ポート</t>
  </si>
  <si>
    <t>承認されているユーザー</t>
  </si>
  <si>
    <t>承認されているコンピューター</t>
  </si>
  <si>
    <t>承認されたローカル プリンシパル</t>
  </si>
  <si>
    <t>ローカル ユーザー オーナー</t>
  </si>
  <si>
    <t>アプリケーション パッケージ</t>
  </si>
  <si>
    <t>AllJoyn ルーター (TCP 受信)</t>
  </si>
  <si>
    <t>AllJoyn ルーター</t>
  </si>
  <si>
    <t>AllJoyn ルーター (UDP 受信)</t>
  </si>
  <si>
    <t>ローカル サブネット</t>
  </si>
  <si>
    <t>BranchCache ホスト型キャッシュ サーバー (HTTP-受信)</t>
  </si>
  <si>
    <t>BranchCache - ホスト型キャッシュ サーバー (HTTPS を使用)</t>
  </si>
  <si>
    <t>COM+ ネットワーク アクセス (DCOM-受信)</t>
  </si>
  <si>
    <t>COM+ ネットワーク アクセス</t>
  </si>
  <si>
    <t>COM+ リモート管理 (DCOM-受信)</t>
  </si>
  <si>
    <t>COM+ リモート管理</t>
  </si>
  <si>
    <t>RPC 動的ポート</t>
  </si>
  <si>
    <t>DIAL プロトコル サーバー (HTTP 受信)</t>
  </si>
  <si>
    <t>DIAL プロトコル サーバー</t>
  </si>
  <si>
    <t>iSCSI サービス (TCP 受信)</t>
  </si>
  <si>
    <t>iSCSI サービス</t>
  </si>
  <si>
    <t>Microsoft Edge (mDNS-In)</t>
  </si>
  <si>
    <t>C:\Program Files (x86)\Microsoft\Edge\Application\msedge.exe</t>
  </si>
  <si>
    <t>Microsoft メディア ファンデーション ネットワーク ソース受信 [TCP 554]</t>
  </si>
  <si>
    <t>Microsoft メディア ファンデーション ネットワーク ソース</t>
  </si>
  <si>
    <t>554, 8554-8558</t>
  </si>
  <si>
    <t>Microsoft メディア ファンデーション ネットワーク ソース受信 [UDP 5004-5009]</t>
  </si>
  <si>
    <t>5000-5020</t>
  </si>
  <si>
    <t>Netlogon サービス (NP 受信)</t>
  </si>
  <si>
    <t>Netlogon サービス</t>
  </si>
  <si>
    <t>Netlogon サービス Authz (RPC)</t>
  </si>
  <si>
    <t>ファイルとプリンターの共有 (SMB-QUIC 受信)</t>
  </si>
  <si>
    <t>QUIC でのファイルとプリンターの共有</t>
  </si>
  <si>
    <t>SMBDirect でのファイルとプリンターの共有 (iWARP 受信)</t>
  </si>
  <si>
    <t>SMBDirect でのファイルとプリンターの共有</t>
  </si>
  <si>
    <t>SNMP トラップ サービス (UDP 受信)</t>
  </si>
  <si>
    <t>TPM 仮想スマートカード管理 (DCOM 受信)</t>
  </si>
  <si>
    <t>TPM 仮想スマートカード管理</t>
  </si>
  <si>
    <t>TPM 仮想スマートカード管理 (TCP 受信)</t>
  </si>
  <si>
    <t>Windows Defender ファイアウォール リモート管理 (RPC)</t>
  </si>
  <si>
    <t>Windows Defender ファイアウォール リモート管理</t>
  </si>
  <si>
    <t>Windows Defender ファイアウォール リモート管理 (RPC-EPMAP)</t>
  </si>
  <si>
    <t>RPC エンドポイント マッパー</t>
  </si>
  <si>
    <t>Windows Media Player ネットワーク共有サービス (HTTP ストリーミング受信)</t>
  </si>
  <si>
    <t>Windows Media Player ネットワーク共有サービス</t>
  </si>
  <si>
    <t>Windows Media Player ネットワーク共有サービス (qWave TCP 受信)</t>
  </si>
  <si>
    <t>Windows Media Player ネットワーク共有サービス (qWave UDP 受信)</t>
  </si>
  <si>
    <t>Windows Media Player ネットワーク共有サービス (SSDP 受信)</t>
  </si>
  <si>
    <t>Windows Media Player ネットワーク共有サービス (TCP 受信)</t>
  </si>
  <si>
    <t>Windows Media Player ネットワーク共有サービス (UDP 受信)</t>
  </si>
  <si>
    <t>Windows Media Player ネットワーク共有サービス (UPnP 受信)</t>
  </si>
  <si>
    <t>Windows Media Player ネットワーク共有サービス (ストリーミング UDP 受信)</t>
  </si>
  <si>
    <t>WIN2022AD1\Administrator</t>
  </si>
  <si>
    <t>microsoft.windows.search_cw5n1h2txyewy</t>
  </si>
  <si>
    <t>Windows セキュリティ</t>
  </si>
  <si>
    <t>Microsoft.Windows.SecHealthUI_cw5n1h2txyewy</t>
  </si>
  <si>
    <t>Windows リモート管理 (HTTP 受信)</t>
  </si>
  <si>
    <t>Windows リモート管理</t>
  </si>
  <si>
    <t>Windows リモート管理 - 互換モード (HTTP-In)</t>
  </si>
  <si>
    <t>Windows リモート管理 (互換性)</t>
  </si>
  <si>
    <t>アカウント</t>
  </si>
  <si>
    <t>microsoft.windows.cloudexperiencehost_cw5n1h2txyewy</t>
  </si>
  <si>
    <t>キー管理サービス (TCP 受信)</t>
  </si>
  <si>
    <t>キー管理サービス</t>
  </si>
  <si>
    <t>コア ネットワーク - IPHTTPS (TCP-受信)</t>
  </si>
  <si>
    <t>コア ネットワーク</t>
  </si>
  <si>
    <t>コア ネットワーク - IPv6 (IPv6 受信)</t>
  </si>
  <si>
    <t>コア ネットワーク - IPv6 用動的ホスト構成プロトコル (DHCPV6-受信)</t>
  </si>
  <si>
    <t>コア ネットワーク - Teredo (UDP 受信)</t>
  </si>
  <si>
    <t>エッジ トラバーサル</t>
  </si>
  <si>
    <t>コア ネットワーク - インターネット グループ管理プロトコル (IGMP 受信)</t>
  </si>
  <si>
    <t>コア ネットワーク - パケットが大きすぎます (ICMPv6 受信)</t>
  </si>
  <si>
    <t>コア ネットワーク - パラメーターの問題 (ICMPv6 受信)</t>
  </si>
  <si>
    <t>コア ネットワーク - マルチキャスト リスナー クエリ (ICMPv6 受信)</t>
  </si>
  <si>
    <t>コア ネットワーク - マルチキャスト リスナー レポート (ICMPv6 受信)</t>
  </si>
  <si>
    <t>コア ネットワーク - マルチキャスト リスナー レポート v2 (ICMPv6 受信)</t>
  </si>
  <si>
    <t>コア ネットワーク - マルチキャスト リスナー完了 (ICMPv6 受信)</t>
  </si>
  <si>
    <t>コア ネットワーク - ルーター アドバタイズ (ICMPv6 受信)</t>
  </si>
  <si>
    <t>コア ネットワーク - ルーター要請 (ICMPv6-受信)</t>
  </si>
  <si>
    <t>コア ネットワーク - 近隣探索アドバタイズ (ICMPv6 受信)</t>
  </si>
  <si>
    <t>コア ネットワーク - 近隣探索要請 (ICMPv6 受信)</t>
  </si>
  <si>
    <t>コア ネットワーク - 時間超過 (ICMPv6 受信)</t>
  </si>
  <si>
    <t>コア ネットワーク - 到達不可能な宛先 - 断片化が必要 (ICMPv4 受信)</t>
  </si>
  <si>
    <t>コア ネットワーク - 到達不可能な宛先 (ICMPv6 受信)</t>
  </si>
  <si>
    <t>コア ネットワーク - 動的ホスト構成プロトコル (DHCP 受信)</t>
  </si>
  <si>
    <t>コア ネットワーク診断 - ICMP エコー要求 (ICMPv4 受信)</t>
  </si>
  <si>
    <t>コア ネットワーク診断</t>
  </si>
  <si>
    <t>コア ネットワーク診断 - ICMP エコー要求 (ICMPv6 受信)</t>
  </si>
  <si>
    <t>スケジュールされたリモート タスク管理 (RPC)</t>
  </si>
  <si>
    <t>スケジュールされたリモート タスク管理</t>
  </si>
  <si>
    <t>スケジュールされたリモート タスク管理 (RPC-EPMAP)</t>
  </si>
  <si>
    <t>スタート</t>
  </si>
  <si>
    <t>microsoft.windows.startmenuexperiencehost_cw5n1h2txyewy</t>
  </si>
  <si>
    <t>ソフトウェア ロード バランサー マルチプレクサー (TCP 受信)</t>
  </si>
  <si>
    <t>ソフトウェア ロード バランサー</t>
  </si>
  <si>
    <t>デスクトップ アプリ Web ビューアー</t>
  </si>
  <si>
    <t>microsoft.win32webviewhost_cw5n1h2txyewy</t>
  </si>
  <si>
    <t>PlayTo レンダラー</t>
  </si>
  <si>
    <t>デバイス キャスト ストリーミング サーバー (HTTP ストリーミング受信)</t>
  </si>
  <si>
    <t>デバイス キャスト ストリーミング サーバー (RTCP ストリーミング受信)</t>
  </si>
  <si>
    <t>デバイス キャスト ストリーミング サーバー (RTSP ストリーミング受信)</t>
  </si>
  <si>
    <t>ネットワーク探索 (LLMNR UDP 受信)</t>
  </si>
  <si>
    <t>ネットワーク探索</t>
  </si>
  <si>
    <t>ネットワーク探索 (NB データグラム受信)</t>
  </si>
  <si>
    <t>ネットワーク探索 (NB 名受信)</t>
  </si>
  <si>
    <t>ネットワーク探索 (Pub WSD 受信)</t>
  </si>
  <si>
    <t>ネットワーク探索 (SSDP 受信)</t>
  </si>
  <si>
    <t>ネットワーク探索 (UPnP 受信)</t>
  </si>
  <si>
    <t>ネットワーク探索 (WSD EventsSecure 受信)</t>
  </si>
  <si>
    <t>ネットワーク探索 (WSD イベント受信)</t>
  </si>
  <si>
    <t>ネットワーク探索 (WSD 受信)</t>
  </si>
  <si>
    <t>パフォーマンス ログと警告 (DCOM 受信)</t>
  </si>
  <si>
    <t>パフォーマンス ログと警告</t>
  </si>
  <si>
    <t>パフォーマンス ログと警告 (TCP 受信)</t>
  </si>
  <si>
    <t>ファイルとプリンターの共有 (LLMNR UDP 受信)</t>
  </si>
  <si>
    <t>ファイルとプリンターの共有</t>
  </si>
  <si>
    <t>ファイルとプリンターの共有 (NB セッション受信)</t>
  </si>
  <si>
    <t>ファイルとプリンターの共有 (NB データグラム受信)</t>
  </si>
  <si>
    <t>ファイルとプリンターの共有 (NB 名受信)</t>
  </si>
  <si>
    <t>ファイルとプリンターの共有 (SMB 受信)</t>
  </si>
  <si>
    <t>ファイルとプリンターの共有 (Spooler Service - RPC)</t>
  </si>
  <si>
    <t>ファイルとプリンターの共有 (エコー要求 - ICMPv4 受信)</t>
  </si>
  <si>
    <t>ファイルとプリンターの共有 (エコー要求 - ICMPv6 受信)</t>
  </si>
  <si>
    <t>ファイルとプリンターの共有 (スプーラー サービス - RPC-EPMAP)</t>
  </si>
  <si>
    <t>リモート イベント モニター (RPC)</t>
  </si>
  <si>
    <t>リモート イベント モニター</t>
  </si>
  <si>
    <t>リモート イベント モニター (RPC-EPMAP)</t>
  </si>
  <si>
    <t>リモート イベント ログ管理 (RPC-EPMAP)</t>
  </si>
  <si>
    <t>リモート イベントのログ管理</t>
  </si>
  <si>
    <t>リモート イベントのログ管理 (NP 受信)</t>
  </si>
  <si>
    <t>リモート イベントのログ管理 (RPC)</t>
  </si>
  <si>
    <t>リモート サービス管理 (NP 受信)</t>
  </si>
  <si>
    <t>リモート サービス管理</t>
  </si>
  <si>
    <t>リモート サービス管理 (RPC)</t>
  </si>
  <si>
    <t>リモート サービス管理 (RPC-EPMAP)</t>
  </si>
  <si>
    <t>リモート シャットダウンの受信規則 (RPC-EP 受信)</t>
  </si>
  <si>
    <t>リモート シャットダウン</t>
  </si>
  <si>
    <t>リモート シャットダウンの受信規則 (TCP 受信)</t>
  </si>
  <si>
    <t>リモート デスクトップ - シャドウ (TCP 受信)</t>
  </si>
  <si>
    <t>リモート デスクトップ</t>
  </si>
  <si>
    <t>リモート デスクトップ - ユーザー モード (TCP 受信)</t>
  </si>
  <si>
    <t>リモート デスクトップ - ユーザー モード (UDP 受信)</t>
  </si>
  <si>
    <t>リモート デスクトップ - (TCP-WS-In)</t>
  </si>
  <si>
    <t>リモート デスクトップ (WebSocket)</t>
  </si>
  <si>
    <t>リモート デスクトップ - (TCP-WSS 受信)</t>
  </si>
  <si>
    <t>リモート ボリューム管理 - 仮想ディスク サービス (RPC)</t>
  </si>
  <si>
    <t>リモート ボリューム管理</t>
  </si>
  <si>
    <t>リモート ボリューム管理 - 仮想ディスク サービス ローダー (RPC)</t>
  </si>
  <si>
    <t>リモート ボリューム管理 (RPC-EPMAP)</t>
  </si>
  <si>
    <t>ルーティングとリモート アクセス (GRE 受信)</t>
  </si>
  <si>
    <t>ルーティングとリモート アクセス</t>
  </si>
  <si>
    <t>ルーティングとリモート アクセス (L2TP 受信)</t>
  </si>
  <si>
    <t>ルーティングとリモート アクセス (PPTP 受信)</t>
  </si>
  <si>
    <t>仮想マシンの監視 (DCOM 受信)</t>
  </si>
  <si>
    <t>仮想マシンの監視</t>
  </si>
  <si>
    <t>仮想マシンの監視 (NB セッション受信)</t>
  </si>
  <si>
    <t>仮想マシンの監視 (RPC)</t>
  </si>
  <si>
    <t>仮想マシンの監視 (エコー要求 - ICMPv4 受信)</t>
  </si>
  <si>
    <t>仮想マシンの監視 (エコー要求 - ICMPv6 受信)</t>
  </si>
  <si>
    <t>職場または学校アカウント</t>
  </si>
  <si>
    <t>microsoft.aad.brokerplugin_cw5n1h2txyewy</t>
  </si>
  <si>
    <t>分散トランザクション コーディネーター (RPC)</t>
  </si>
  <si>
    <t>分散トランザクション コーディネーター</t>
  </si>
  <si>
    <t>分散トランザクション コーディネーター (RPC-EPMAP)</t>
  </si>
  <si>
    <t>分散トランザクション コーディネーター (TCP 受信)</t>
  </si>
  <si>
    <t>AllJoyn ルーター (TCP 送信)</t>
  </si>
  <si>
    <t>AllJoyn ルーター (UDP 送信)</t>
  </si>
  <si>
    <t>BranchCache ホスト型キャッシュ サーバー (HTTP-送信)</t>
  </si>
  <si>
    <t>iSCSI サービス (TCP 送信)</t>
  </si>
  <si>
    <t>Microsoft メディア ファンデーション ネットワーク ソース送信 [TCP ALL]</t>
  </si>
  <si>
    <t>ファイルとプリンターの共有 (SMB-QUIC 送信)</t>
  </si>
  <si>
    <t>TPM 仮想スマートカード管理 (TCP 送信)</t>
  </si>
  <si>
    <t>Windows Defender SmartScreen</t>
  </si>
  <si>
    <t>microsoft.windows.apprep.chxapp_cw5n1h2txyewy</t>
  </si>
  <si>
    <t>Windows Feature Experience Pack</t>
  </si>
  <si>
    <t>microsoftwindows.client.cbs_cw5n1h2txyewy</t>
  </si>
  <si>
    <t>Windows Media Player ネットワーク共有サービス (HTTP ストリーミング送信)</t>
  </si>
  <si>
    <t>Windows Media Player ネットワーク共有サービス (qWave TCP 送信)</t>
  </si>
  <si>
    <t>Windows Media Player ネットワーク共有サービス (qWave UDP 送信)</t>
  </si>
  <si>
    <t>Windows Media Player ネットワーク共有サービス (SSDP 送信)</t>
  </si>
  <si>
    <t>Windows Media Player ネットワーク共有サービス (TCP 送信)</t>
  </si>
  <si>
    <t>Windows Media Player ネットワーク共有サービス (UDP 送信)</t>
  </si>
  <si>
    <t>Windows Media Player ネットワーク共有サービス (UPnP 送信)</t>
  </si>
  <si>
    <t>Windows Media Player ネットワーク共有サービス (UPnPHost 送信)</t>
  </si>
  <si>
    <t>Windows Media Player ネットワーク共有サービス (ストリーミング TCP 送信)</t>
  </si>
  <si>
    <t>Windows Media Player ネットワーク共有サービス (ストリーミング UDP 送信)</t>
  </si>
  <si>
    <t>Windows シェル エクスペリエンス</t>
  </si>
  <si>
    <t>microsoft.windows.peopleexperiencehost_cw5n1h2txyewy</t>
  </si>
  <si>
    <t>microsoft.windows.shellexperiencehost_cw5n1h2txyewy</t>
  </si>
  <si>
    <t>Windows デバイス管理デバイス登録プログラム (TCP 送信)</t>
  </si>
  <si>
    <t>%SystemRoot%\system32\deviceenroller.exe</t>
  </si>
  <si>
    <t>Windows デバイス管理証明書インストーラー (TCP 送信)</t>
  </si>
  <si>
    <t>Windows デバイス管理登録サービス (TCP 送信)</t>
  </si>
  <si>
    <t>Windows の既定のロック画面</t>
  </si>
  <si>
    <t>microsoft.lockapp_cw5n1h2txyewy</t>
  </si>
  <si>
    <t>キャプティブ ポータル フロー</t>
  </si>
  <si>
    <t>microsoft.windows.oobenetworkcaptiveportal_cw5n1h2txyewy</t>
  </si>
  <si>
    <t>コア ネットワーク - DNS (UDP 送信)</t>
  </si>
  <si>
    <t>コア ネットワーク - IPHTTPS (TCP-送信)</t>
  </si>
  <si>
    <t>コア ネットワーク - IPv6 (IPv6 送信)</t>
  </si>
  <si>
    <t>コア ネットワーク - IPv6 用動的ホスト構成プロトコル (DHCPV6-送信)</t>
  </si>
  <si>
    <t>コア ネットワーク - Teredo (UDP 送信)</t>
  </si>
  <si>
    <t>コア ネットワーク - インターネット グループ管理プロトコル (IGMP 送信)</t>
  </si>
  <si>
    <t>コア ネットワーク - グループ ポリシー (LSASS 送信)</t>
  </si>
  <si>
    <t>コア ネットワーク - グループ ポリシー (NP 送信)</t>
  </si>
  <si>
    <t>コア ネットワーク - グループ ポリシー (TCP 送信)</t>
  </si>
  <si>
    <t>コア ネットワーク - パケットが大きすぎます (ICMPv6 送信)</t>
  </si>
  <si>
    <t>コア ネットワーク - パラメーターの問題 (ICMPv6 送信)</t>
  </si>
  <si>
    <t>コア ネットワーク - マルチキャスト リスナー クエリ (ICMPv6 送信)</t>
  </si>
  <si>
    <t>コア ネットワーク - マルチキャスト リスナー レポート (ICMPv6 送信)</t>
  </si>
  <si>
    <t>コア ネットワーク - マルチキャスト リスナー レポート v2 (ICMPv6 送信)</t>
  </si>
  <si>
    <t>コア ネットワーク - マルチキャスト リスナー完了 (ICMPv6 送信)</t>
  </si>
  <si>
    <t>コア ネットワーク - ルーター アドバタイズ (ICMPv6 送信)</t>
  </si>
  <si>
    <t>ローカル サブネット, ff02::1, fe80::/64</t>
  </si>
  <si>
    <t>コア ネットワーク - ルーター要請 (ICMPv6 送信)</t>
  </si>
  <si>
    <t>ローカル サブネット, ff02::2, fe80::/64</t>
  </si>
  <si>
    <t>コア ネットワーク - 近隣探索アドバタイズ (ICMPv6 送信)</t>
  </si>
  <si>
    <t>コア ネットワーク - 近隣探索要請 (ICMPv6 送信)</t>
  </si>
  <si>
    <t>コア ネットワーク - 時間超過 (ICMPv6 送信)</t>
  </si>
  <si>
    <t>コア ネットワーク - 動的ホスト構成プロトコル (DHCP 送信)</t>
  </si>
  <si>
    <t>コア ネットワーク診断 - ICMP エコー要求 (ICMPv4 送信)</t>
  </si>
  <si>
    <t>コア ネットワーク診断 - ICMP エコー要求 (ICMPv6 送信)</t>
  </si>
  <si>
    <t>デバイス キャスト ストリーミング サーバー (RTP ストリーミング送信)</t>
  </si>
  <si>
    <t>ナレーター</t>
  </si>
  <si>
    <t>microsoft.windows.narratorquickstart_8wekyb3d8bbwe</t>
  </si>
  <si>
    <t>ネットワーク探索 (LLMNR UDP 送信)</t>
  </si>
  <si>
    <t>ネットワーク探索 (NB データグラム送信)</t>
  </si>
  <si>
    <t>ネットワーク探索 (NB 名送信)</t>
  </si>
  <si>
    <t>ネットワーク探索 (Pub WSD 送信)</t>
  </si>
  <si>
    <t>ネットワーク探索 (SSDP 送信)</t>
  </si>
  <si>
    <t>ネットワーク探索 (UPnP 送信)</t>
  </si>
  <si>
    <t>ネットワーク探索 (UPnPHost 送信)</t>
  </si>
  <si>
    <t>ネットワーク探索 (WSD EventsSecure 送信)</t>
  </si>
  <si>
    <t>ネットワーク探索 (WSD イベント送信)</t>
  </si>
  <si>
    <t>ネットワーク探索 (WSD 送信)</t>
  </si>
  <si>
    <t>ファイルとプリンターの共有 (LLMNR UDP 送信)</t>
  </si>
  <si>
    <t>ファイルとプリンターの共有 (NB データグラム送信)</t>
  </si>
  <si>
    <t>ファイルとプリンターの共有 (NB 名送信)</t>
  </si>
  <si>
    <t>ファイルとプリンターの共有 (NB-Session 送信)</t>
  </si>
  <si>
    <t>ファイルとプリンターの共有 (SMB 送信)</t>
  </si>
  <si>
    <t>ファイルとプリンターの共有 (エコー要求 - ICMPv4 送信)</t>
  </si>
  <si>
    <t>ファイルとプリンターの共有 (エコー要求 - ICMPv6 送信)</t>
  </si>
  <si>
    <t>メールとアカウント</t>
  </si>
  <si>
    <t>microsoft.accountscontrol_cw5n1h2txyewy</t>
  </si>
  <si>
    <t>ルーティングとリモート アクセス (GRE 送信)</t>
  </si>
  <si>
    <t>ルーティングとリモート アクセス (L2TP 送信)</t>
  </si>
  <si>
    <t>ルーティングとリモート アクセス (PPTP 送信)</t>
  </si>
  <si>
    <t>分散トランザクション コーディネーター (TCP 送信)</t>
  </si>
  <si>
    <t>インターネットからの ActiveX コントロールのインストールに対し、ユーザー アカウント制御により検証を行い、グループ ポリシー設定に基づいて ActiveX コントロールのインストールを管理します。このサービスはオンデマンドで開始され、無効になっている場合、ActiveX コントロールのインストールはブラウザーの既定の設定に従って行われます。</t>
  </si>
  <si>
    <t>ローカル AllJoyn クライアントの AllJoyn メッセージをルーティングします。このサービスが停止している場合、バンドルされた独自のルーターを持たない AllJoyn クライアントは実行することができなくなります。</t>
  </si>
  <si>
    <t>手動 (トリガー開始)</t>
  </si>
  <si>
    <t>ユーザーがこの PC に初めてサインインしたときや新しいアプリを追加したときにアプリを使用できるよう準備します。</t>
  </si>
  <si>
    <t>アプリケーションの ID を判定および検証します。このサービスを無効にすると、AppLocker が適用されなくなります。</t>
  </si>
  <si>
    <t>追加の管理者特権による対話型アプリケーションの実行を容易にします。このサービスが停止されると、ユーザー タスクの実行に必要となる可能性のある追加の管理者特権でアプリケーションを起動することはできません。</t>
  </si>
  <si>
    <t>インターネット接続共有に使用する、サード パーティのプロトコル プラグイン用のサポートを提供します。</t>
  </si>
  <si>
    <t>グループ ポリシーで展開されるソフトウェアに対する、プロセスのインストール、削除および列挙の要求です。サービスが無効な場合、ユーザーはグループ ポリシーで展開されるソフトウェアをインストール、削除または列挙することができません。また、明示的にこのサービスに依存しているサービスを開始することもできません。</t>
  </si>
  <si>
    <t>Microsoft Store アプリケーションを展開するためのインフラストラクチャ サポートを提供します。このサービスはオンデマンドで開始されます。無効にすると、Microsoft Store アプリケーションはシステムに展開されなくなり、正しく動作しない可能性があります。</t>
  </si>
  <si>
    <t>アイドル状態のネットワーク帯域幅を使ってバックグラウンドでファイルを転送します。サービスを使用不可にすると、Windows Update や MSN Explorer など、BITS に依存しているアプリケーションはプログラムや情報を自動的にダウンロードできなくなります。</t>
  </si>
  <si>
    <t>システム上で実行可能なバックグラウンド タスクを制御する Windows インフラストラクチャ サービス。</t>
  </si>
  <si>
    <t>ベース フィルター エンジン (BFE) は、ファイアウォールとインターネット プロトコル セキュリティ (IPsec) ポリシーを管理し、ユーザー モード フィルターリングを実装するサービスです。BFE サービスを停止または無効にすると、システムのセキュリティが大幅に低下すると共に、IPsec 管理とファイアウォール アプリケーションの予測不能な動作の原因となります。</t>
  </si>
  <si>
    <t>Bluetooth サポート サービス</t>
  </si>
  <si>
    <t>Bluetooth サービスは、リモートの Bluetooth デバイスの検出と関連付けをサポートします。このサービスを停止または無効にすると、インストール済み Bluetooth デバイスが正常に動作しなくなり、新しいデバイスの検出や関連付けができなくなる可能性があります。</t>
  </si>
  <si>
    <t>CaptureService_861d1</t>
  </si>
  <si>
    <t>Windows.Graphics.Capture API を呼び出すアプリケーションに対してオプションの画面取り込み機能を有効にします。</t>
  </si>
  <si>
    <t>ユーザー証明書とルート証明書をスマート カードから現在のユーザーの証明書ストアにコピーし、スマート カードがスマート カード リーダーに挿入されたときに検出します。また、必要に応じてスマート カード プラグ アンド プレイ ミニドライバーをインストールします。</t>
  </si>
  <si>
    <t>Microsoft Store のためのインフラストラクチャ サポートを提供します。このサービスはオンデマンドで開始され、無効にすると、Windows Store を使用して購入したアプリケーションが正しく動作しなくなります。</t>
  </si>
  <si>
    <t>CNG キー分離サービスは、LSA プロセスでホストされています。このサービスは、Common Criteria による要求に従って秘密キーおよび関連の暗号化操作に対してキー プロセス分離を提供します。このサービスは、寿命の長いキーを Common Criteria の要件に準拠した安全なプロセスに格納して使用します。</t>
  </si>
  <si>
    <t>サポート システム イベント通知サービス (SENS) は、イベント通知先として登録された COM コンポーネントにイベントを自動的に通知します。サービスが停止すると、SENS は終了し、ログオンやログオフを通知できなくなります。このサービスが無効な場合、このサービスに依存するサービスは開始できません。</t>
  </si>
  <si>
    <t>コンポーネント オブジェクト モデル (COM)+ ベース コンポーネントの構成と追跡を管理します。サービスが停止すると、COM+ ベース コンポーネントは正しく機能しません。サービスが無効になると、このサービスに依存するサービスは開始できなくなります。</t>
  </si>
  <si>
    <t>このサービスは、Connected Devices Platform のシナリオに使用されます</t>
  </si>
  <si>
    <t>自動 (遅延開始、トリガー開始)</t>
  </si>
  <si>
    <t>Connected Devices Platform ユーザー サービス_861d1</t>
  </si>
  <si>
    <t>このユーザー サービスは、Connected Devices Platform のシナリオに使用されます</t>
  </si>
  <si>
    <t>Connected User Experiences and Telemetry サービスを使用すると、アプリケーション内エクスペリエンスと接続ユーザーのエクスペリエンスをサポートする機能が有効になります。また、[フィードバックと診断] で診断と使用状況に関するプライバシー オプション設定が有効になっている場合、このサービスは、イベント ドリブン方式による診断情報および使用状況情報の収集と送信も管理します (これらの情報は、Windows プラットフォームのエクスペリエンスと品質を向上するために使用されます)。</t>
  </si>
  <si>
    <t>ConsentUX のユーザー サービス_861d1</t>
  </si>
  <si>
    <t>アプリが機密のリソースやデバイスの場所などの情報にアクセスできるようにするために、システムがユーザーの同意を要求することを許可する</t>
  </si>
  <si>
    <t>Contact Data_861d1</t>
  </si>
  <si>
    <t>連絡先のインデックスを作成して、連絡先の検索を高速化します。このサービスを停止または無効にすると、連絡先が検索結果に含まれなくなる可能性があります。</t>
  </si>
  <si>
    <t>セキュリティで保護された資格情報の保存と取得を、ユーザー、アプリケーション、およびセキュリティ サービス パッケージに提供します。</t>
  </si>
  <si>
    <t>CredentialEnrollmentManagerUserSvc_861d1</t>
  </si>
  <si>
    <t>資格情報の登録マネージャー</t>
  </si>
  <si>
    <t>提供される管理サービスは、次の 3 つです。カタログ データベース サービス: Windows ファイルの署名を確認し、新しいプログラムをインストールできるようにします。保護ルート サービス: 信頼されたルート証明機関の証明書をこのコンピューターに追加および削除します。ルート証明書自動更新サービス: Windows Update からルート証明書を取得し、SSL のようなシナリオを有効にします。このサービスが停止している場合は、これらの管理サービスは正常に機能しません。このサービスが無効の場合は、明示的にこれに依存しているサービスは開始できません。</t>
  </si>
  <si>
    <t>アプリケーション間でデータのやり取りを処理します。</t>
  </si>
  <si>
    <t>DCOMLAUNCH サービスは、オブジェクト アクティブ化要求に応答して、COM および DCOM サーバーを起動します。このサービスが停止しているか無効になっている場合、COM または DCOM を使用するプログラムは正常に機能しません。DCOMLAUNCH サービスを実行しておくことを推奨します。</t>
  </si>
  <si>
    <t>システムとワイヤード (有線) またはワイヤレス デバイスの間のペアリングを有効にします。</t>
  </si>
  <si>
    <t>ユーザーからの最小限の入力、または入力なしで、コンピューターがハードウェアの変更を認識し、対応します。</t>
  </si>
  <si>
    <t>デバイスに関連するソフトウェアの検出、ダウンロード、およびインストールを有効にします。このサービスが無効になっている場合、デバイスが古いソフトウェアで構成され、正常に動作しない可能性があります。</t>
  </si>
  <si>
    <t>DeviceAssociationBroker_861d1</t>
  </si>
  <si>
    <t>Enables apps to pair devices</t>
  </si>
  <si>
    <t>DevicePicker_861d1</t>
  </si>
  <si>
    <t>このユーザー サービスは、Miracast、DLNA、DIAL UI を管理するために使用されます。</t>
  </si>
  <si>
    <t>このコンピューターの IP アドレスと DNS レコードを登録および更新します。このサービスが停止している場合、このコンピューターは動的 IP アドレスと DNS 更新情報を受信できなくなります。このサービスが無効になっている場合、このサービスに明示的に依存するサービスはすべて起動しなくなります。</t>
  </si>
  <si>
    <t>診断ポリシー サービスを使用すると、Windows コンポーネントの問題を検出、トラブルシューティング、および解決できます。このサービスを停止すると、診断は実行されません。</t>
  </si>
  <si>
    <t>Diagnostic Service Host は、ローカル サービス コンテキストでの実行が必要な診断をホストするために、診断ポリシー サービスによって使用されます。このサービスを停止すると、このサービスに依存する診断はすべて機能しなくなります。</t>
  </si>
  <si>
    <t>Diagnostic System Host は、ローカル システム コンテキストでの実行が必要な診断をホストするために、診断ポリシー サービスによって使用されます。このサービスを停止すると、このサービスに依存する診断はすべて機能しなくなります。</t>
  </si>
  <si>
    <t>ネットワーク内またはコンピューターの NTFS ボリューム間のリンクを管理します。</t>
  </si>
  <si>
    <t>データベース、メッセージ キュー、またはファイル システムなど、複数のリソース マネージャーに分散されたトランザクションを調整します。このサービスが停止すると、これらのトランザクションは開始できません。このサービスが無効な場合は、このサービスに依存するサービスは開始できません。</t>
  </si>
  <si>
    <t>DNS クライアント サービス (dnscache) により、このコンピューターのドメイン ネーム システム (DNS) 名がキャッシュされ、フル コンピューター名が登録されます。サービスが停止されると、 DNS 名は引き続き解決されます。しかし、DNS 名のクエリの結果はキャッシュされず、コンピューター名は登録されません。サービスが使用不可にされた場合、このサービスに明示的に依存するサービスはすべて起動できなくなります。</t>
  </si>
  <si>
    <t>自動 (トリガー開始)</t>
  </si>
  <si>
    <t>ダウンロード済みの地図へのアプリケーション アクセスを提供する Windows サービスです。このサービスは、ダウンロード済みの地図にアクセスするアプリケーションによってオンデマンドで開始されます。このサービスを無効にすると、アプリケーションから地図にアクセスできなくなります。</t>
  </si>
  <si>
    <t>暗号化されたファイルを NTFS ファイル システム ボリュームに格納するために使用されるファイル暗号化のコア テクノロジを提供します。このサービスが停止されている場合や無効な場合は、アプリケーションから暗号化されたファイルにアクセスできません。</t>
  </si>
  <si>
    <t>エンタープライズ アプリケーション管理機能を有効にします。</t>
  </si>
  <si>
    <t>拡張認証プロトコル (EAP) サービスは 802.1x ワイヤードおよびワイヤレス、VPN、ネットワーク アクセス保護 (NAP) のようなシナリオでネットワーク認証を提供します。EAP は、認証プロセス中にワイヤレスおよび VPN クライアントなどのネットワーク アクセス クライアントで使用されるアプリケーション プログラミング インターフェイス (API) も提供します。このサービスを無効にすると、このコンピューターは EAP 認証を必要とするネットワークにアクセスできません。</t>
  </si>
  <si>
    <t>FDPHOST サービスは、機能探索 (FD) ネットワーク探索プロバイダーをホストします。これらの FD プロバイダーは、SSDP (Simple Services Discovery Protocol) および WS-D (Web Services ? Discovery) プロトコルにネットワーク探索サービスを提供します。FDPHOST サービスを停止または無効にすると、FD を使用する場合にこれらのプロトコルでネットワーク探索が機能しなくなります。このサービスを利用できない場合、FD を使用し、SSDP および WS-D の探索プロトコルに依存するネットワーク サービスは、ネットワーク デバイスやリソースを発見できなくなります。</t>
  </si>
  <si>
    <t>このコンピューターおよびこのコンピューターに接続されているリソースを公開して、ネットワーク上で検出できるようにします。このサービスを停止するとネットワーク リソースは公開されなくなり、ネットワーク上の他のコンピューターがこれらのリソースを検出されなくなります。</t>
  </si>
  <si>
    <t>このサービスは、システムの現在の位置を監視し、ジオフェンス (イベントが関連付けられた地理的位置) を管理します。このサービスを無効にすると、アプリケーションでジオフェンスの通知を利用したり受信したりすることができなくなります。</t>
  </si>
  <si>
    <t>管理者が構成したコンピューターやユーザーの設定をグループ ポリシーのコンポーネントにより適用します。サービスが無効な場合、設定は適用されず、アプリケーションとコンポーネントはグループ ポリシーによって管理されません。サービスが無効な場合、グループ ポリシーのコンポーネントに依存しているコンポーネントやアプリケーションはいずれも正しく機能しない可能性があります。</t>
  </si>
  <si>
    <t>キーボード、リモコン、およびその他のマルチメディア デバイスに搭載されているホット ボタンの使用を有効にして維持します。このサービスは実行しておくことをお勧めします。</t>
  </si>
  <si>
    <t>HV ホスト サービス</t>
  </si>
  <si>
    <t>ホスト オペレーティング システムにパーティションごとのパフォーマンス カウンターを提供するための Hyper-V ハイパーバイザーのインターフェイスを提供します。</t>
  </si>
  <si>
    <t>仮想マシンと物理コンピューター上で実行されているオペレーティング システムとの間でデータを交換する手段を提供します。</t>
  </si>
  <si>
    <t>仮想マシン内で実行されている特定のサービスを操作するための Hyper-V ホストのインターフェイスを提供します。</t>
  </si>
  <si>
    <t>この仮想マシンのオペレーティング システムを物理コンピューター上の管理インターフェイスからシャットダウンする手段を提供します。</t>
  </si>
  <si>
    <t>定期的にハートビートを報告することで、この仮想マシンの状態を監視します。このサービスは、応答が停止した稼動中の仮想マシンを特定するために役立ちます。</t>
  </si>
  <si>
    <t>仮想ネットワークを使わずに、PowerShell を使用して VM セッション経由で仮想マシンを管理する手段を提供します。</t>
  </si>
  <si>
    <t>この仮想マシンのシステム時刻を物理コンピューターのシステム時刻と同期します。</t>
  </si>
  <si>
    <t>Hyper-V ボリューム シャドウ コピー リクエスター</t>
  </si>
  <si>
    <t>物理コンピューター上のオペレーティング システムから仮想マシンにアプリケーションとデータをバックアップするボリューム シャドウ コピー サービスを使用するために必要な通信を調整します。</t>
  </si>
  <si>
    <t>IKEEXT サービスは、インターネット キー交換 (IKE) および認証済みインターネット プロトコル (AuthIP) のキー モジュールをホストします。これらのキー モジュールは、IP セキュリティ (IPsec) で認証とキー交換のために使用されます。IKEEXT サービスを停止または無効にすると、ピア コンピューターとの IKE および AuthIP キー交換を実行できなくなります。一般に IPsec は IKE または AuthIP を使用するように構成されているため、IKEEXT サービスを停止または無効にすると、IPsec が正常に機能しなくなり、システムのセキュリティが損なわれます。IKEEXT サービスを実行することを強くお勧めします。</t>
  </si>
  <si>
    <t>ホーム ネットワークまたは小規模オフィスのネットワークに対してネットワーク アドレスの変換、アドレスの指定、名前解決、およびアタックの防止のサービスを提供します。</t>
  </si>
  <si>
    <t>接続プラットフォームを使用した IPv6 移行テクノロジ (6to4、ISATAP、ポート プロキシおよび Teredo)、および IP-HTTPS を提供します。このサービスが停止すると、コンピューターではこれらのテクノロジが提供する強化された接続の利点が得られなくなります。</t>
  </si>
  <si>
    <t>インターネット プロトコル セキュリティ (IPsec) はネットワークレベルのピア認証、データ送信元の認証、データの整合性、データの機密性 (暗号化)、および返信保護をサポートします。このサービスは、IP セキュリティ ポリシー スナップインまたはコマンド ライン ツール "netsh ipsec" で作成された IPsec ポリシーを適用します。このサービスを停止すると、ポリシーが接続に IPsec の使用を必要とする場合に、ネットワークの接続性の問題が発生します。また、このサービスを停止しているときは、Windows Defender ファイアウォールのリモート管理はできません。</t>
  </si>
  <si>
    <t>KDC プロキシ サーバー サービスはエッジ サーバーで実行されて、企業ネットワーク上のドメイン コントローラーへの Kerberos プロトコル メッセージを代理受信します。</t>
  </si>
  <si>
    <t>分散トランザクション コーディネーター (MSDTC) とカーネル トランザクション マネージャー (KTM) 間のトランザクションを調整します。不要の場合は、このサービスを停止したままの状態にしておくことをお勧めします。必要な場合は、MSDTC と KTM の両方で、このサービスは自動的に開始されます。このサービスが無効になっている場合、カーネル リソース マネージャーと対話している MSDTC トランザクションは失敗し、このトランザクションに明示的に依存しているすべてのサービスが開始できません。</t>
  </si>
  <si>
    <t>PC とデバイスの図 (接続) 情報、および各 PC とデバイスを記述するメタデータから成るネットワーク マップを作成します。サービスを無効にすると、ネットワーク マップは正しく作動しません。</t>
  </si>
  <si>
    <t>ローカル ユーザー セッションを管理するコア Windows サービスです。このサービスを停止したり無効にしたりすると、システムが不安定になります。</t>
  </si>
  <si>
    <t>McpManagementService</t>
  </si>
  <si>
    <t xml:space="preserve">&lt;説明を読み取れませんでした。エラー コード: 15100 &gt; </t>
  </si>
  <si>
    <t>Microsoft (R) 診断ハブ標準コレクター サービス</t>
  </si>
  <si>
    <t>診断ハブ標準コレクター サービス。実行すると、このサービスはリアルタイムの ETW イベントを収集して処理します。</t>
  </si>
  <si>
    <t>ユーザーは Microsoft アカウント ID サービスを使用してサインインできます。このサービスが停止されている場合、ユーザーは、Microsoft アカウントを使用してコンピューターにログオンできなくなります。</t>
  </si>
  <si>
    <t>Microsoft Defender Antivirus Network Inspection Service</t>
  </si>
  <si>
    <t>ネットワーク プロトコルでの既知の脆弱性や新たに見つかった脆弱性をねらった侵入の阻止に役立ちます</t>
  </si>
  <si>
    <t>Microsoft Defender Antivirus Service</t>
  </si>
  <si>
    <t>マルウェアおよびその他の望ましくない可能性のあるソフトウェアからのユーザー保護に役立ちます</t>
  </si>
  <si>
    <t>Microsoft Edge Elevation Service (MicrosoftEdgeElevationService)</t>
  </si>
  <si>
    <t>Keeps Microsoft Edge up to update. If this service is disabled, the application will not be kept up to date.</t>
  </si>
  <si>
    <t>Microsoft Edge Update Service (edgeupdate)</t>
  </si>
  <si>
    <t>Microsoft ソフトウェアを最新の状態に維持してください。このサービスが無効または停止されている場合、Microsoft ソフトウェアは最新の状態に維持されません。この場合、セキュリティの脆弱性が発生する可能性があり、こうした脆弱性は解決することができません。また、機能が動作しなくなる場合もあります。このサービスでは、サービスを使用している Microsoft ソフトウェアがない場合は、サービス自体がアンインストールされます。</t>
  </si>
  <si>
    <t>Microsoft Edge Update Service (edgeupdatem)</t>
  </si>
  <si>
    <t>このコンピューターからリモート iSCSI ターゲット デバイスへのインターネット SCSI (iSCSI) セッションを管理します。このサービスが中止された場合、このコンピューターは ISCSI ターゲットにログインまたはアクセスできなくなります。このサービスが無効にされている場合、明示的にそれに依存しているすべてのサービスの開始が失敗します。</t>
  </si>
  <si>
    <t>ユーザーに関連付けられた ID プロバイダーへの認証に使用される暗号化キーの処理を分離します。このサービスを無効にすると、これらのキーを使用したり管理したりすることは一切できなくなります。これには、コンピューターへのログオンと、アプリや Web サイトへのシングル サインオンも含まれます。このサービスは自動的に開始および停止されます。このサービスは再構成しないことをお勧めします。</t>
  </si>
  <si>
    <t>ID プロバイダーおよび TPM 仮想スマート カードに対してユーザーを認証するために使用されるローカル ユーザー ID キーを管理します。このサービスを無効にすると、ローカル ユーザー ID キーと TPM 仮想スマート カードにアクセスできなくなります。このサービスを再構成しないことをお勧めします。</t>
  </si>
  <si>
    <t>ボリューム シャドウ コピー サービスによるソフトウェア ベースのシャドウ コピーを管理します。このサービスが停止している場合、ソフトウェア ベースのシャドウ コピーは管理できません。このサービスが無効な場合は、このサービスに明確に依存しているすべてのサービスは開始できなくなります。</t>
  </si>
  <si>
    <t>Microsoft 記憶域管理プロバイダーのホスト サービスです。このサービスが停止するか、無効になると、記憶域を管理できなくなります。</t>
  </si>
  <si>
    <t>Microsoft Store インストール サービス</t>
  </si>
  <si>
    <t>Microsoft Store のインフラストラクチャ サポートを提供します。このサービスはオンデマンドで開始されます。無効にすると、インストールは正しく動作しなくなります。</t>
  </si>
  <si>
    <t>net.tcp プロトコル経由で TCP ポートを共有する機能を提供します。</t>
  </si>
  <si>
    <t>ユーザーとサービスを認証するため、このコンピューターとドメイン コントローラー間でセキュリティで保護されたチャネルを管理します。このサービスが停止した場合、コンピューターはユーザーとサービスを認証できなくなる可能性があり、ドメイン コントローラーは DNS レコードを登録できません。このサービスが無効になった場合、このサービスに明示的に依存するサービスはすべて起動しなくなります。</t>
  </si>
  <si>
    <t>Windows ストア アプリがインターネットから通知を受信できるようにするブローカー接続。</t>
  </si>
  <si>
    <t>ネットワークとダイヤルアップ接続フォルダーにあるオブジェクトを管理します。ローカル エリア ネットワークとリモート接続の両方がフォルダーで表示されます。</t>
  </si>
  <si>
    <t>UI コンポーネントに DirectAccess の状態通知を提供します</t>
  </si>
  <si>
    <t>コンピューターが接続しているネットワークの識別、ネットワークのプロパティの収集と保存、プロパティが変更されたときのアプリケーションへの通知を行います。</t>
  </si>
  <si>
    <t>ネットワークの構成情報を収集および保存して、この情報が変更されたときにプログラムに通知します。このサービスが停止された場合は、構成情報を使用できなくなる可能性があります。このサービスが無効になっている場合は、このサービスに明示的に依存しているすべてのサービスは開始できなくなります。</t>
  </si>
  <si>
    <t>Network Setup Service は、ネットワーク ドライバーのインストールを管理し、低レベルのネットワーク設定の構成を許可します。このサービスが停止すると、処理中のドライバー インストールがすべて取り消される場合があります。</t>
  </si>
  <si>
    <t>このサービスは、ネットワーク通知 (インターフェイスの追加や削除など) をユーザー モード クライアントに配信します。このサービスを停止すると、ネットワーク接続が失われます。このサービスが無効になっている場合は、このサービスに明示的に依存している他のすべてのサービスは開始できなくなります。</t>
  </si>
  <si>
    <t>オフライン ファイル サービスは、オフライン ファイル キャッシュのメンテナンス活動の実行、ユーザーのログオンおよびログオフ イベントへの応答、パブリック API の内部の実装、およびオフライン ファイル活動やキャッシュ状態の変化に興味を持つユーザーに対する興味深いイベントのディスパッチを行います。</t>
  </si>
  <si>
    <t>記憶域ドライブのファイルを最適化すると、コンピューターがより効率的に動作します。</t>
  </si>
  <si>
    <t>Orchestrator Service の更新</t>
  </si>
  <si>
    <t>Windows 更新プログラムを管理します。停止すると、デバイスは最新の更新プログラムをダウンロードしてインストールできなくなります。</t>
  </si>
  <si>
    <t>リモート ユーザーおよび 64 ビット プロセスから、32 ビット DLL が提供するパフォーマンス カウンターを照会できるようにします。このサービスが停止している場合、ローカル ユーザーと 32 ビット プロセスだけが 32 ビット DLLが提供するパフォーマンス カウンターを照会できます。</t>
  </si>
  <si>
    <t>Performance Logs and Alerts は、あらかじめ構成されているスケジュール パラメーターに基づいて、ローカルまたはリモート コンピューターからパフォーマンス データを収集し、ログに書き込んだり、警告したりします。このサービスが止めてあると、パフォーマンス情報は集められません。このサービスが無効な場合は、明示的にこれに依存しているサービスを開始できません。</t>
  </si>
  <si>
    <t>リムーバブル大容量記憶装置用のグループ ポリシーを適用します。Windows Media Player やイメージ インポート ウィザードなどのアプリケーションにより、リムーバブル大容量記憶装置を使用してコンテンツを転送または同期できるようにします。</t>
  </si>
  <si>
    <t>電源ポリシーと電源ポリシーの通知配信を管理します。</t>
  </si>
  <si>
    <t>このサービスは、印刷ジョブをスプールし、プリンターとの通信を処理します。このサービスを停止すると、印刷できなくなるか、プリンターが表示されなくなります。</t>
  </si>
  <si>
    <t>このサービスは、カスタム プリンターのダイアログ ボックスを開き、リモートのプリント サーバーまたはプリンターからの通知を処理します。このサービスを無効にすると、プリンター拡張または通知は表示されません。</t>
  </si>
  <si>
    <t>PrintWorkflow_861d1</t>
  </si>
  <si>
    <t>印刷ワークフロー アプリケーションのサポートを提供します。このサービスを無効にすると、印刷できない場合があります。</t>
  </si>
  <si>
    <t>Problem Reports Control Panel Support</t>
  </si>
  <si>
    <t>このサービスは、コントロール パネルの [問題レポート] でシステム レベルの問題レポートの表示、送信、削除をサポートします。</t>
  </si>
  <si>
    <t>このサービスは、プログラム互換性アシスタント (PCA) のサポートを提供します。PCA は、インストールされてユーザーによって実行されるプログラムを監視し、既知の互換性の問題を検出します。このサービスが停止すると、PCA は正しく機能しません。</t>
  </si>
  <si>
    <t>高品質な Windows オーディオ ビデオ エクスペリエンス (qWave) は、IP ホーム ネットワーク上のオーディオ ビデオ (AV) ストリーミング アプリケーション向けのネットワーク プラットフォームです。qWave は、AV アプリケーションのネットワーク QoS (サービスの品質) を保証することで、AV ストリーミングのパフォーマンスと信頼性を向上させます。qWave は、受付制御、実行時の監視と実施、アプリケーションのフィードバック、およびトラフィックの優先順位付けのための機構を提供します。</t>
  </si>
  <si>
    <t>プログラムにより、リモート DNS 名やリモート NetBIOS 名またはアドレスが参照された場合に、リモート ネットワークへの接続を作成します。</t>
  </si>
  <si>
    <t>このコンピューターからインターネットや他のリモート ネットワークへのダイヤルアップ接続と仮想プライベート ネットワーク (VPN) 接続を管理します。このサービスを無効にすると、このサービスに明示的に依存しているサービスは開始できません。</t>
  </si>
  <si>
    <t>リモート デスクトップ サービスとリモート デスクトップに関連する、SYSTEM コンテキストを必要とするすべての構成およびセッション管理のアクティビティには、リモート デスクトップの構成サービス (RDCS) が使用されます。これらのアクティビティには、セッションごとの一時フォルダー、RD テーマ、および RD 証明書が含まれます。</t>
  </si>
  <si>
    <t>ユーザーがリモート コンピューターに対話的に接続できるようになります。リモート デスクトップおよびリモート デスクトップ セッション ホスト サーバーは、このサービスに依存します。このコンピューターをリモートで使えないようにするには、コントロール パネルの [システム] の [リモート] タブにあるチェックボックスをオフにしてください。</t>
  </si>
  <si>
    <t>RDP 接続用のプリンター/ドライブ/ポートのリダイレクトを許可します</t>
  </si>
  <si>
    <t>RPCSS サービスは、COM および DCOM サーバーのサービス コントロール マネージャーです。COM および DCOM サーバーに対して、オブジェクト アクティブ化要求、オブジェクト エクスポーターの解決、および分散ガベージ コレクションを実行します。このサービスが停止しているか無効になっている場合、COM または DCOM を使用するプログラムは正常に機能しません。RPCSS サービスを実行しておくことを推奨します。</t>
  </si>
  <si>
    <t>Windows 2003 およびそれ以前のバージョンの Windows では、リモート プロシージャ コール (RPC) ロケーター サービスによって、RPC ネーム サービス データベースが管理されます。Windows Vista およびそれ以降のバージョンの Windows では、このサービスは機能を提供せず、アプリケーションの互換性のために存在しています。</t>
  </si>
  <si>
    <t>リモート ユーザーがこのコンピューターのレジストリ設定を変更できるようにします。このサービスが停止している場合は、このコンピューターのユーザーのみがレジストリを変更できます。このサービスを無効にすると、このサービスに明示的に依存するすべてのサービスを開始できなくなります。</t>
  </si>
  <si>
    <t>グループ ポリシー設定のターゲット ユーザーやコンピューターへの適用を様々な状態でシミュレートし、ポリシーの結果セットの設定を計算する要求を処理するネットワーク サービスを提供します。</t>
  </si>
  <si>
    <t>企業ユーザーのために、ローカル エリア ネットワークとワイド エリア ネットワーク環境でのルーティング サービスを提供します。</t>
  </si>
  <si>
    <t>トランスポートのエンドポイントに対する RPC インターフェイス識別子を解決します。このサービスが停止または無効の場合、リモート プロシージャ コール (RPC) サービスは正常に機能しません。</t>
  </si>
  <si>
    <t>別の資格情報でのプロセスの開始を有効にします。このサービスを停止するとこの種のログオン アクセスは利用できなくなります。このサービスを無効にすると、このサービスに明示的に依存しているサービスはすべて開始できなくなります。</t>
  </si>
  <si>
    <t>VPN によるリモート コンピューターへの接続に使用する Secure Socket トンネリング プロトコルのサポートを提供します。このサービスが無効になっている場合、ユーザーが SSTP を使用してリモート サーバーに接続することはできません。</t>
  </si>
  <si>
    <t>このサービスのスタートアップで別のサービスに、セキュリティ アカウント マネージャー (SAM) は、要求を受信する準備ができているというシグナルを送信します。このサービスを無効にするとシステムのほかのサービスは、SAM の準備ができたときに通知されません。この場合、これらのサービスを開始できないことがあります。このサービスを無効にしないでください。</t>
  </si>
  <si>
    <t>各種センサーからのデータを配信</t>
  </si>
  <si>
    <t>データを公開してシステムおよびユーザーの状態に合わせるために、さまざまなセンサーを監視します。このサービスを停止または無効にすると、光の状態に合わせた画面の明るさの調節は行われません。このサービスを停止すると、他のシステム機能にも影響する可能性があります。</t>
  </si>
  <si>
    <t>さまざまなセンサーの機能を管理するセンサー用サービス。センサーの簡易デバイス方向 (SDO: Simple Device Orientation) と履歴を管理します。デバイス方向の変化をレポートする SDO センサーを読み込みます。このサービスが停止している場合または無効になっている場合は、SDO センサーが読み込まれないため、自動回転が行われません。センサーからの履歴収集も停止されます。</t>
  </si>
  <si>
    <t>このコンピューターでネットワークをとおしてのファイル、印刷、および名前付パイプ共有をサポートします。このサービスが停止した場合、これらの機能は利用できなくなります。このサービスが使用不可にされた場合、このサービスに明示的に依存するサービスはすべて起動できなくなります。</t>
  </si>
  <si>
    <t>自動再生ハードウェア イベントの通知を提供します。</t>
  </si>
  <si>
    <t>このコンピューターで読み取られたスマート カードへのアクセスを管理します。このサービスが停止されると、このコンピューターではスマート カードを読み取れなくなります。このサービスが無効にされると、このサービスに明示的に依存しているサービスはすべて開始できなくなります。</t>
  </si>
  <si>
    <t>指定されたセッションにアクセスできるすべてのスマート カード リーダーのためにソフトウェア デバイス ノードを作成します。このサービスを無効にすると、WinRT API はスマート カード リーダーを列挙できなくなります。</t>
  </si>
  <si>
    <t>ユーザー デスクトップからスマート カードを引き抜いたときにデスクトップをロックするよう、システムを構成できます。</t>
  </si>
  <si>
    <t>ローカルまたはリモートの簡易ネットワーク管理プロトコル (SNMP) エージェントによって生成されたトラップ メッセージを受信して、このコンピューター上で実行されている SNMP 管理プログラムに転送します。このサービスが停止している場合は、このコンピューター上の SNMP ベースのプログラムは SNMP トラップ メッセージを受信しません。このサービスが無効になっている場合は、このサービスに明示的に依存しているすべてのサービスは開始できなくなります。</t>
  </si>
  <si>
    <t>Windows と Windows アプリケーションのデジタル ライセンスのダウンロード、インストール、および実施を有効にします。このサービスを無効にした場合、オペレーティング システムおよびライセンスされたアプリケーションは、通知モードで実行される可能性があります。ソフトウェア保護サービスを無効にしないことをお勧めします。</t>
  </si>
  <si>
    <t>管理者が緊急管理サービスを使用してコマンド プロンプトにリモートでアクセスできるようにします。</t>
  </si>
  <si>
    <t>SSDP 発見プロトコルを使用する、UPnP デバイスなどのネットワーク デバイスやサービスを検出します。また、ローカル コンピューターで実行中の SSDP デバイスを表示します。サービスを停止すると、SSDP ベースのデバイスは検出されません。サービスを無効にすると、このサービスに明示的に依存するサービスは開始できません。</t>
  </si>
  <si>
    <t>アプリケーション モデルに対する必要なインフラストラクチャ サポートを提供します。</t>
  </si>
  <si>
    <t>静止イメージ取得イベントに関連付けられているアプリケーションを起動します。</t>
  </si>
  <si>
    <t>ストレージ設定と外部ストレージの拡張を有効にするためのサービスを提供します</t>
  </si>
  <si>
    <t>システム内のすべての階層型記憶域で、記憶域階層へのデータの配置を最適化します。</t>
  </si>
  <si>
    <t>長期間にわたり、システム パフォーマンスの維持および向上を図ります。</t>
  </si>
  <si>
    <t>システム イベントを監視し、これらのイベントの COM+ イベント システムにサブスクライバーを通知します。</t>
  </si>
  <si>
    <t>WinRT アプリケーションのバックグラウンド処理の実行を調整します。このサービスが停止しているか無効になっている場合、バックグラウンド処理がトリガーされない可能性があります。</t>
  </si>
  <si>
    <t>System Guard ランタイム モニター ブローカー</t>
  </si>
  <si>
    <t>Windows プラットフォームの整合性を監視および証明します。</t>
  </si>
  <si>
    <t>ユーザーは、コンピューターの自動タスクを構成およびスケジュールできます。このサービスは Windows のシステムに必要な複数のタスクもホストします。このサービスが停止されている場合や無効になっている場合、スケジュールされた時刻にタスクは起動されません。このサービスが無効になっている場合は、このサービスに明示的に依存するサービスは開始できなくなります。</t>
  </si>
  <si>
    <t>ネットワーク上のクライアントに対して、NetBIOS over TCP/IP (NetBT) サービスと NetBIOS 名前解決のサポートを提供することで、ユーザーがファイル共有、印刷、およびネットワークへのログオンをできるようにします。このサービスが停止された場合は、これらの機能を使用できなくなる可能性があります。このサービスが無効になっている場合は、このサービスに明示的に依存しているすべてのサービスは開始できなくなります。</t>
  </si>
  <si>
    <t>テレフォニー デバイスを制御するプログラムを使用してテレフォニー API (TAPI) を供給します。ローカル コンピューターと同様、このサービスを実行しているサーバーを LAN をとおして制御できます。</t>
  </si>
  <si>
    <t>テーマの管理を提供します。</t>
  </si>
  <si>
    <t>タッチ キーボードと手書きパネルのペンおよびインク機能を有効にする</t>
  </si>
  <si>
    <t>Udk User Service_861d1</t>
  </si>
  <si>
    <t>シェル コンポーネント サービス</t>
  </si>
  <si>
    <t>このコンピューター上での UPnP デバイスのホストを可能にします。サービスを停止すると、ホストされている UPnP デバイスは機能しなくなり、ホストされるデバイスを追加することもできません。サービスを無効にすると、明示的にこのサービスに依存しているサービスは開始できなくなります。</t>
  </si>
  <si>
    <t>このサービスでは、ローカル サーバーにインストールされた製品および役割に対する一意のクライアント アクセス要求を記録します。記録される情報は IP アドレスとユーザー名です。オフライン クライアント アクセス ライセンス (CAL) 管理用にサーバー ソフトウェアに対するクライアント要求を定量化する必要がある管理者は、Powershell を使用してこの情報を照会できます。サービスを無効化した場合、クライアント要求は記録されず、Powershell クエリを使用して取得することができません。サービスを停止しても、履歴データのクエリには影響しません (履歴データの削除手順については、サポート ドキュメントを参照)。ローカル システム管理者は各自の Windows Server ライセンス条項を参照して、サーバー ソフトウェアが正しくライセンスされるために必要な CAL の数を確認する必要があります。UAL のサービスとデータを使用しても、この義務は変わりません。</t>
  </si>
  <si>
    <t>User Data Access_861d1</t>
  </si>
  <si>
    <t>構造化されたユーザー データへのアクセスをアプリに提供します。ユーザー データには、連絡先情報、予定表、メッセージなどのコンテンツが含まれます。このサービスを停止または無効にすると、このデータを使用するアプリが正しく動作しなくなる可能性があります。</t>
  </si>
  <si>
    <t>User Data Storage_861d1</t>
  </si>
  <si>
    <t>構造化されたユーザー データのストレージを処理します。ユーザー データには、連絡先情報、予定表、メッセージなどのコンテンツが含まれます。このサービスを停止または無効にすると、このデータを使用するアプリが正しく動作しなくなる可能性があります。</t>
  </si>
  <si>
    <t>ユーザー マネージャーは、マルチユーザーの操作に必要なランタイム コンポーネントを提供します。このサービスが停止すると、一部のアプリケーションが正常に機能しなくなる可能性があります。</t>
  </si>
  <si>
    <t>このサービスにより、ユーザー プロファイルのロードとアンロードが行われます。このサービスが停止または無効になると、ユーザーは正常にサインインまたはサインアウトできなくなり、アプリからユーザーのデータにアクセスできなくなる可能性があります。また、プロファイルのイベント通知を受信するよう登録したコンポーネントで、通知を受信できなくなります。</t>
  </si>
  <si>
    <t>ディスク、ボリューム、ファイル システム、および記憶域アレイの管理サービスを提供します。</t>
  </si>
  <si>
    <t>VMware SVGA Helper Service</t>
  </si>
  <si>
    <t>Helps VMware SVGA driver by collecting and conveying user mode information</t>
  </si>
  <si>
    <t>ホストとゲスト OS 間のオブジェクトの同期をサポートします。</t>
  </si>
  <si>
    <t>バックアップやその他の目的で使用されるボリューム シャドウ コピーを、管理および実装します。このサービスが停止されると、シャドウ コピーはバックアップに利用できず、バックアップは失敗する可能性があります。このサービスが無効の場合、これに明示的に依存するサービスは開始できません。</t>
  </si>
  <si>
    <t>Warp JIT Service</t>
  </si>
  <si>
    <t>Enables JIT compilation support in d3d10warp.dll for processes in which code generation is disabled.</t>
  </si>
  <si>
    <t>Web アカウント マネージャー</t>
  </si>
  <si>
    <t>このサービスは、アプリとサービスにシングル サインオンを提供するために Web アカウント マネージャーによって使用されます。</t>
  </si>
  <si>
    <t>Windows ベースのプログラムのオーディオを管理します。サービスが停止されると、オーディオ デバイスと効果は適切に機能しません。このサービスが無効にされると、これに明示的に依存するサービスは起動できなくなります</t>
  </si>
  <si>
    <t>Windows Audio サービスのオーディオ デバイスを管理します。このサービスが停止している場合、オーディオ デバイスと効果は適切に機能しません。このサービスが無効な場合、このサービスに明示的に依存しているすべてのサービスは開始できなくなります。</t>
  </si>
  <si>
    <t>Windows 生体認証サービスを使用すると、クライアント アプリケーションでは、生体認証ハードウェアまたはサンプルに直接アクセスせずに生体認証データをキャプチャ、比較、操作、および保存できます。このサービスは、特権のある SVCHOST プロセスでホストされます。</t>
  </si>
  <si>
    <t>PC で現在使用可能なネットワーク接続オプションに基づいて接続/切断の自動決定を行い、グループ ポリシー設定に基づいてネットワーク接続の管理を有効にします。</t>
  </si>
  <si>
    <t>Windows Defender Advanced Threat Protection サービスは、コンピューター上で発生するセキュリティ イベントを監視および報告することで、高度な脅威からの保護を実現します。</t>
  </si>
  <si>
    <t>Windows Defender ファイアウォールは、承認されていないユーザーによるインターネットまたはネットワーク経由のアクセスを阻止することにより、コンピューターの保護に役立ちます。</t>
  </si>
  <si>
    <t>Windows 暗号化プロバイダー ホスト サービスが仲介となって、暗号化に関連した機能が、サード パーティの暗号化プロバイダーから、EAS ポリシーを評価し適用する必要があるプロセスへ渡されます。このホスト サービスを停止すると、接続されているメール アカウントによって確立された EAS のコンプライアンスの検証に問題が発生する可能性があります</t>
  </si>
  <si>
    <t>プログラムの動作または応答が停止したときにエラーが報告されるのを許可し、既にある解決策が配信されるのを許可します。また、診断および修復サービスのためのログの生成を許可します。このサービスが停止されると、エラーの報告が正常に動作せず、診断サービスおよび修復の結果が表示されない可能性があります。</t>
  </si>
  <si>
    <t>このサービスは、WS-Management プロトコルをサポートするリモート ソースから受信するイベントの永続的サブスクリプションを管理します。これには、Windows Vista イベント ログ、ハードウェアおよび IPMI 対応イベント ソースが含まれます。サービスは転送されたイベントをローカルのイベント ログに保存します。このサービスが停止するか無効になっている場合、イベント サブスクリプションは作成できず、転送されたイベントは受け付けることができません。</t>
  </si>
  <si>
    <t>このサービスでは、イベントとイベント ログを管理します。イベントのログ、イベントの照会、イベントの受信登録、イベント ログのアーカイブ、およびイベント メタデータの管理をサポートしています。イベントは XML 形式およびテキスト形式で表示できます。このサービスを停止すると、システムのセキュリティと信頼性に危害が加えられる可能性があります。</t>
  </si>
  <si>
    <t>共通で使用されるフォント データをキャッシュすることによって、アプリケーションのパフォーマンスを最適化します。このサービスがまだ実行されていない場合は、アプリケーションによって起動されます。このサービスは無効にできますが、無効にすると、アプリケーションのパフォーマンスが低下します。</t>
  </si>
  <si>
    <t>スキャナーとカメラに画像取得サービスを提供します</t>
  </si>
  <si>
    <t>Windows Insider サービス</t>
  </si>
  <si>
    <t>Windows Insider Program のインフラストラクチャ サポートを提供します。Windows Insider Program が機能するためには、このサービスを有効にしておく必要があります。</t>
  </si>
  <si>
    <t>Windows インストーラー (*.msi、*.msp) パッケージとして提供されたアプリケーションを追加、修正、および削除します。このサービスが使用不可になっている場合、このサービスに明示的に依存しているサービスの開始は失敗します。</t>
  </si>
  <si>
    <t>このサービスは、Windows ソフトウェアのライセンス状態を監視します。</t>
  </si>
  <si>
    <t>オペレーティング システム、デバイス、アプリケーション、サービスに関する管理情報にアクセスするための共通インターフェイスとオブジェクト モデルを提供します。このサービスが停止していると、Windows ベースのソフトウェアのほとんどが正しく機能しません。このサービスが無効になっている場合は、このサービスに明示的に依存するサービスは何も開始できなくなります。</t>
  </si>
  <si>
    <t>ユニバーサル プラグ アンド プレイを使用して、Windows Media Player ライブラリを、ネットワーク接続された他のプレーヤーやメディア デバイスと共有します</t>
  </si>
  <si>
    <t>Windows の更新プログラムおよびオプション コンポーネントのインストール、変更、および削除を可能にします。このサービスを無効にしていると、このコンピューターに対する Windows Update のインストールまたはアンインストールが失敗する場合があります。</t>
  </si>
  <si>
    <t>Windows Push Notifications User Service_861d1</t>
  </si>
  <si>
    <t>このサービスは、ローカル通知とプッシュ通知をサポートする Windows 通知プラットフォームをホストします。タイル通知、トースト通知、直接通知がサポートされています。</t>
  </si>
  <si>
    <t>Windows PushToInstall サービス</t>
  </si>
  <si>
    <t>Microsoft Store のインフラストラクチャ サポートを提供します。このサービスは自動的に開始されます。無効にすると、リモート インストールは正しく動作しなくなります。</t>
  </si>
  <si>
    <t>Windows リモート管理 (WinRM) サービスは、リモート管理用の WS-Management プロトコルを実装しています。WS-Management は、リモートのソフトウェアとハードウェアの管理に使用される標準の Web サービス プロトコルです。WinRM サービスは、ネットワーク上で WS-Management 要求をリッスンして処理します。WinRM サービスがネットワークをリッスンできるように、winrm.cmd コマンド ライン ツールを使用するかグループ ポリシーを介して、WinRM サービスにリスナーを構成する必要があります。このサービスを使用することにより、WMI データへのアクセスとイベントの収集が可能になります。イベントの収集およびイベントに対するサブスクリプションを実行する場合、WinRM サービスが稼働している必要があります。WinRM メッセージは、HTTP および HTTPS をトランスポートとして使用します。WinRM サービスは IIS には依存しませんが、同じコンピューター上で 1 つのポートを IIS と共有するよう事前に設定されています。このサービスでは URL のプレフィックスとして /wsman が予約されています。IIS との競合を避けるため、IIS 上のどの Web サイトでも /wsman が URL プレフィックスとして使用されていないことを確認する必要があります。</t>
  </si>
  <si>
    <t>ファイル、電子メール、その他のコンテンツに対して、コンテンツのインデックス作成、プロパティ キャッシュ処理、検索結果の表示を行います。</t>
  </si>
  <si>
    <t>ネットワーク上のクライアントとサーバーの日時の同期を維持します。このサービスを停止すると、日時の同期は行われなくなります。このサービスを無効にすると、このサービスに依存しているサービスは起動できなくなります。</t>
  </si>
  <si>
    <t>Windows およびその他のプログラムに対する更新プログラムの検出、ダウンロード、およびインストールを有効にします。このサービスが無効な場合、このコンピューターのユーザーは Windows Update またはその自動更新機能を使用できなくなります。また、プログラムによる Windows Update Agent (WUA) API も使用できなくなります。</t>
  </si>
  <si>
    <t>Windows Update コンポーネントの修復と保護を有効にします。</t>
  </si>
  <si>
    <t>Windows カメラ フレーム サーバー</t>
  </si>
  <si>
    <t>複数のクライアントがカメラ デバイスからビデオ フレームにアクセスできるようにします。</t>
  </si>
  <si>
    <t>Windows カメラ フレーム サーバー モニター</t>
  </si>
  <si>
    <t>Windows カメラフレームサーバーサービスの正常性と状態を監視します。</t>
  </si>
  <si>
    <t>Windows セキュリティ サービス</t>
  </si>
  <si>
    <t>Windows セキュリティ サービスは、統合デバイス保護と正常性情報を処理します</t>
  </si>
  <si>
    <t>Windows プッシュ通知システム サービス</t>
  </si>
  <si>
    <t>このサービスはセッション 0 で実行し、通知プラットフォームと、デバイスと WNS サーバー間の接続を処理する接続プロバイダーをホストします。</t>
  </si>
  <si>
    <t>Windows ライセンス マネージャー サービス</t>
  </si>
  <si>
    <t>Microsoft Store のインフラストラクチャ サポートを提供します。このサービスはオンデマンドで開始されます。無効にすると、Microsoft Store を通じて取得されるコンテンツは正しく動作しなくなります。</t>
  </si>
  <si>
    <t>WinHTTP はクライアント HTTP スタックを実装し、HTTP 要求の送信および応答の受信を行う Win32 API および COM オートメーション コンポーネントを開発者に提供します。さらに、WinHTTP は Web プロキシ自動発見 (WPAD) プロトコルの実装により、プロキシ構成を自動検出します。</t>
  </si>
  <si>
    <t>Wired AutoConfig (DOT3SVC) サービスは、イーサネット インターフェイスに対して IEEE 802.1X 認証を実行します。現在のワイヤード ネットワーク展開が 802.1X 認証を強制する場合、DOT3SVC サービスは、レイヤー 2 接続の確立とネットワーク リソースへのアクセスの提供を行うように構成されています。802.1X 認証を強制しないワイヤード ネットワークには、DOT3SVC サービスによる影響はありません。</t>
  </si>
  <si>
    <t>Windows Management Instrumentation (WMI) プロバイダーからネットワーク上のクライアントへのパフォーマンス ライブラリ情報を提供します。このサービスは Performance Data Helper が有効なときにのみ実行します。</t>
  </si>
  <si>
    <t>SMB プロトコルを使ってリモート サーバーへのクライアント ネットワーク接続を作成し、維持します。このサービスが停止している場合は、これらの接続は利用できなくなります。このサービスが無効になっている場合は、このサービスに明示的に依存するサービスは何も開始できなくなります。</t>
  </si>
  <si>
    <t>クリップボード ユーザー サービス_861d1</t>
  </si>
  <si>
    <t>このユーザー サービスはクリップボードのシナリオに使用されます</t>
  </si>
  <si>
    <t>タイム ゾーンの自動更新機能</t>
  </si>
  <si>
    <t>システムのタイム ゾーンを自動的に設定します。</t>
  </si>
  <si>
    <t>デバイス フロー_861d1</t>
  </si>
  <si>
    <t>デバイス管理ワイヤレス アプリケーション プロトコル (WAP) プッシュ メッセージ ルーティング サービス</t>
  </si>
  <si>
    <t>デバイスが受信したワイヤレス アプリケーション プロトコル (WAP) プッシュ メッセージをルーティングし、デバイス管理セッションを同期します。</t>
  </si>
  <si>
    <t>デバイス管理登録サービス</t>
  </si>
  <si>
    <t>ポリシー サービスの表示</t>
  </si>
  <si>
    <t>ローカルおよびリモート ディスプレイの接続と構成を管理します</t>
  </si>
  <si>
    <t>ユーザー エクスペリエンス仮想化サービス</t>
  </si>
  <si>
    <t>アプリケーション設定と OS 設定のローミングをサポートします</t>
  </si>
  <si>
    <t>機能アクセス マネージャー サービス</t>
  </si>
  <si>
    <t>アプリ機能への UWP アプリのアクセスを管理し、特定のアプリ機能へのアプリのアクセス権をチェックするサービスです</t>
  </si>
  <si>
    <t>支払いおよび NFC/SE マネージャー</t>
  </si>
  <si>
    <t>支払いおよび近距離無線通信 (NFC) ベースのセキュアエレメントを管理します。</t>
  </si>
  <si>
    <t>埋め込みモード</t>
  </si>
  <si>
    <t>埋め込みモード サービスでは、バックグラウンド アプリケーションに関連するシナリオを使用できます。このサービスを無効にすると、バックグラウンド アプリケーションがアクティブになりません。</t>
  </si>
  <si>
    <t>無線管理サービス</t>
  </si>
  <si>
    <t>無線管理および機内モード サービス</t>
  </si>
  <si>
    <t>スタートアップの種類(初期値)</t>
    <rPh sb="11" eb="14">
      <t>ショ</t>
    </rPh>
    <phoneticPr fontId="1"/>
  </si>
  <si>
    <t>パスワ−ドの最小文字数の監査</t>
    <rPh sb="6" eb="11">
      <t>サイシ</t>
    </rPh>
    <rPh sb="12" eb="14">
      <t xml:space="preserve">カンサ </t>
    </rPh>
    <phoneticPr fontId="1"/>
  </si>
  <si>
    <t>パスワ−ドの最小文字数の制限を緩和する</t>
    <rPh sb="6" eb="11">
      <t>サイシ</t>
    </rPh>
    <rPh sb="12" eb="14">
      <t>セイゲ</t>
    </rPh>
    <rPh sb="15" eb="17">
      <t>カン</t>
    </rPh>
    <phoneticPr fontId="1"/>
  </si>
  <si>
    <t>未定義</t>
    <rPh sb="0" eb="3">
      <t>ミ</t>
    </rPh>
    <phoneticPr fontId="1"/>
  </si>
  <si>
    <t>未定義</t>
    <rPh sb="0" eb="1">
      <t>ミ</t>
    </rPh>
    <phoneticPr fontId="1"/>
  </si>
  <si>
    <t>オペレーティング システムの一部として機能</t>
  </si>
  <si>
    <t>グローバル オブジェクトの作成</t>
  </si>
  <si>
    <t>コンピューターとユーザー アカウントに委任時の信頼を付与</t>
  </si>
  <si>
    <t>サービスとしてのログオンを拒否</t>
  </si>
  <si>
    <t>サービスとしてログオン</t>
  </si>
  <si>
    <t>システム パフォーマンスのプロファイル</t>
  </si>
  <si>
    <t>スケジューリング優先順位の繰り上げ</t>
  </si>
  <si>
    <t>タイム ゾーンの変更</t>
  </si>
  <si>
    <t>ディレクトリ サービス データの同期化</t>
  </si>
  <si>
    <t>デバイス ドライバーのロードとアンロード</t>
  </si>
  <si>
    <t>トークン オブジェクトの作成</t>
  </si>
  <si>
    <t>ドッキング ステーションからコンピューターを削除</t>
  </si>
  <si>
    <t>ドメインにワークステーションを追加</t>
  </si>
  <si>
    <t>ネットワーク経由でのアクセス</t>
  </si>
  <si>
    <t>ネットワーク経由のアクセスを拒否</t>
  </si>
  <si>
    <t>ファームウェア環境値の修正</t>
  </si>
  <si>
    <t>プロセス レベル トークンの置き換え</t>
  </si>
  <si>
    <t>プロセス ワーキング セットの増加</t>
  </si>
  <si>
    <t>プロセスのメモリ クォータの増加</t>
  </si>
  <si>
    <t>ページ ファイルの作成</t>
  </si>
  <si>
    <t>ボリュームの保守タスクを実行</t>
  </si>
  <si>
    <t>メモリ内のページのロック</t>
  </si>
  <si>
    <t>リモート コンピューターからの強制シャットダウン</t>
  </si>
  <si>
    <t>リモート デスクトップ サービスを使ったログオンを拒否</t>
  </si>
  <si>
    <t>リモート デスクトップ サービスを使ったログオンを許可</t>
  </si>
  <si>
    <t>ローカル ログオンを拒否</t>
  </si>
  <si>
    <t>ローカル ログオンを許可</t>
  </si>
  <si>
    <t>資格情報マネージャーに信頼された呼び出し側としてアクセス</t>
  </si>
  <si>
    <t>同じセッションで別のユーザーの偽装トークンを取得します</t>
  </si>
  <si>
    <t>DCOM: セキュリティ記述子定義言語 (SDDL) 構文でのコンピューター アクセス制限</t>
  </si>
  <si>
    <t>DCOM: セキュリティ記述子定義言語 (SDDL) 構文でのコンピューター起動制限</t>
  </si>
  <si>
    <t>Microsoft ネットワーク クライアント: サード パーティ製の SMB サーバーへのパスワードを、暗号化しないで送信する</t>
  </si>
  <si>
    <t>Microsoft ネットワーク クライアント: サーバーが同意すれば、通信にデジタル署名を行う</t>
  </si>
  <si>
    <t>Microsoft ネットワーク クライアント: 常に通信にデジタル署名を行う</t>
  </si>
  <si>
    <t>Microsoft ネットワーク サーバー: S4U2Self を試行して要求情報を取得する</t>
  </si>
  <si>
    <t>Microsoft ネットワーク サーバー: クライアントが同意すれば、通信にデジタル署名を行う</t>
  </si>
  <si>
    <t>Microsoft ネットワーク サーバー: サーバー SPN ターゲット名検証レベル</t>
  </si>
  <si>
    <t>Microsoft ネットワーク サーバー: セッションを中断する前に、ある一定のアイドル時間を必要とする</t>
  </si>
  <si>
    <t>Microsoft ネットワーク サーバー: ログオン時間を超過するととクライアントを切断する</t>
  </si>
  <si>
    <t>Microsoft ネットワーク サーバー: 常に通信にデジタル署名を行う</t>
  </si>
  <si>
    <t>アカウント: ローカル アカウントの空のパスワードの使用をコンソール ログオンのみに制限する</t>
  </si>
  <si>
    <t>システム暗号化: コンピューターに保存されているユーザー キーに強力なキー保護を強制する</t>
  </si>
  <si>
    <t>システム設定: ソフトウェア制限のポリシーのために Windows 実行可能ファイルに対して証明書の規則を使用する</t>
  </si>
  <si>
    <t>シャットダウン: 仮想メモリのページ ファイルをクリアする</t>
  </si>
  <si>
    <t>デバイス: CD-ROM へのアクセスを、ローカル ログオン ユーザーだけに制限する</t>
  </si>
  <si>
    <t>デバイス: フロッピーへのアクセスを、ローカル ログオン ユーザーだけに制限する</t>
  </si>
  <si>
    <t>デバイス: ユーザーがプリンター ドライバーをインストールできないようにする</t>
  </si>
  <si>
    <t>デバイス: リムーバブル メディアを取り出すのを許可する</t>
  </si>
  <si>
    <t>ドメイン コントローラー: LDAP サーバー チャネル バインド トークンの要件</t>
  </si>
  <si>
    <t>ドメイン コントローラー: LDAP サーバー署名必須</t>
  </si>
  <si>
    <t>ドメイン コントローラー: Server Operators がタスクのスケジュールを割り当てるのを許可する</t>
  </si>
  <si>
    <t>ドメイン コントローラー: コンピューター アカウントのパスワードの変更を拒否する</t>
  </si>
  <si>
    <t>ドメイン コントローラー: 脆弱な Netlogon セキュア チャネル接続を許可</t>
  </si>
  <si>
    <t>ドメイン メンバー: コンピューター アカウント パスワード: 定期的な変更を無効にする</t>
  </si>
  <si>
    <t>ドメイン メンバー: 可能な場合、セキュリティで保護されたチャネルのデータをデジタル的に暗号化する</t>
  </si>
  <si>
    <t>ドメイン メンバー: 可能な場合、セキュリティで保護されたチャネルのデータをデジタル的に署名する</t>
  </si>
  <si>
    <t>ドメイン メンバー: 強力な (Windows 2000 かそれ以降のバージョン) セッション キーを必要とする</t>
  </si>
  <si>
    <t>ドメイン メンバー: 最大コンピューター アカウントのパスワードの有効期間</t>
  </si>
  <si>
    <t>ドメイン メンバー: 常にセキュリティで保護されたチャネルのデータをデジタル的に暗号化または署名する</t>
  </si>
  <si>
    <t>ネットワーク アクセス: Everyone のアクセス許可を匿名ユーザーに適用する</t>
  </si>
  <si>
    <t>ネットワーク アクセス: SAM アカウントおよび共有の匿名の列挙を許可しない</t>
  </si>
  <si>
    <t>ネットワーク アクセス: SAM アカウントの匿名の列挙を許可しない</t>
  </si>
  <si>
    <t>ネットワーク アクセス: SAM へのリモートの呼び出しを許可するクライアントを制限する</t>
  </si>
  <si>
    <t>ネットワーク アクセス: ネットワーク認証のためにパスワードおよび資格情報を保存することを許可しない</t>
  </si>
  <si>
    <t>ネットワーク アクセス: リモートからアクセスできるレジストリのパス</t>
  </si>
  <si>
    <t>ネットワーク アクセス: リモートからアクセスできるレジストリのパスおよびサブパス</t>
  </si>
  <si>
    <t>ネットワーク アクセス: リモートからアクセスできる名前付きパイプ</t>
  </si>
  <si>
    <t>ネットワーク アクセス: ローカル アカウントの共有とセキュリティ モデル</t>
  </si>
  <si>
    <t>クラシック - ローカル ユーザーがローカル ユーザーとして認証する</t>
  </si>
  <si>
    <t>ネットワーク アクセス: 匿名でアクセスできる共有</t>
  </si>
  <si>
    <t>ネットワーク アクセス: 匿名の SID と名前の変換を許可する</t>
  </si>
  <si>
    <t>ネットワーク アクセス: 名前付きパイプと共有への匿名のアクセスを制限する</t>
  </si>
  <si>
    <t>ネットワーク セキュリティ: Kerberos で許可する暗号化の種類を構成する</t>
  </si>
  <si>
    <t>ネットワーク セキュリティ: LAN Manager 認証レベル</t>
  </si>
  <si>
    <t>ネットワーク セキュリティ: LocalSystem による NULL セッション フォールバックを許可する</t>
  </si>
  <si>
    <t>ネットワーク セキュリティ: NTLM SSP ベース (セキュア RPC を含む) のクライアント向け最小セッション セキュリティ</t>
  </si>
  <si>
    <t>ネットワーク セキュリティ: NTLM SSP ベース (セキュア RPC を含む) のサーバー向け最小セッション セキュリティ</t>
  </si>
  <si>
    <t>ネットワーク セキュリティ: NTLM で Local System によるコンピューター ID の使用を許可する</t>
  </si>
  <si>
    <t>ネットワーク セキュリティ: NTLM を制限する: NTLM 認証に対するリモート サーバーの例外を追加する</t>
  </si>
  <si>
    <t>ネットワーク セキュリティ: NTLM を制限する: このドメインにサーバーの例外を追加する</t>
  </si>
  <si>
    <t>ネットワーク セキュリティ: NTLM を制限する: このドメイン内の NTLM 認証</t>
  </si>
  <si>
    <t>ネットワーク セキュリティ: NTLM を制限する: このドメイン内の NTLM 認証を監査する</t>
  </si>
  <si>
    <t>ネットワーク セキュリティ: NTLM を制限する: リモート サーバーに対する送信 NTLM トラフィック</t>
  </si>
  <si>
    <t>ネットワーク セキュリティ: NTLM を制限する: 着信 NTLM トラフィック</t>
  </si>
  <si>
    <t>ネットワーク セキュリティ: NTLM を制限する: 着信 NTLM トラフィックを監査する</t>
  </si>
  <si>
    <t>ネットワーク セキュリティ: オンライン ID を使用するためのこのコンピューターへの PKU2U 認証要求を許可する。</t>
  </si>
  <si>
    <t>ネットワーク セキュリティ: ログオン時間を経過した場合はユーザーを強制的にログオフさせる</t>
  </si>
  <si>
    <t>ネットワーク セキュリティ: 次回のパスワード変更時に LAN Manager のハッシュ値を保存しない</t>
  </si>
  <si>
    <t>ネットワーク セキュリティ: 必須の署名をしている LDAP クライアント</t>
  </si>
  <si>
    <t>ネゴシエーション署名</t>
  </si>
  <si>
    <t>ユーザー アカウント制御: UIAccess アプリケーションで、セキュリティで保護されたデスクトップを使用せずに昇格のプロンプトを表示できるようにする</t>
  </si>
  <si>
    <t>ユーザー アカウント制御: アプリケーションのインストールを検出し、昇格をプロンプトする</t>
  </si>
  <si>
    <t>ユーザー アカウント制御: ビルトイン Administrator アカウントのための管理者承認モード</t>
  </si>
  <si>
    <t>ユーザー アカウント制御: 安全な場所にインストールされている UIAccess アプリケーションの昇格のみ</t>
  </si>
  <si>
    <t>ユーザー アカウント制御: 各ユーザーの場所へのファイルまたはレジストリの書き込みエラーを仮想化する</t>
  </si>
  <si>
    <t>ユーザー アカウント制御: 管理者承認モードですべての管理者を実行する</t>
  </si>
  <si>
    <t>ユーザー アカウント制御: 管理者承認モードでの管理者に対する昇格時のプロンプトの動作</t>
  </si>
  <si>
    <t>ユーザー アカウント制御: 署名され検証された実行ファイルのみを昇格する</t>
  </si>
  <si>
    <t>ユーザー アカウント制御: 昇格のプロンプト時にセキュリティで保護されたデスクトップに切り替える</t>
  </si>
  <si>
    <t>ユーザー アカウント制御: 標準ユーザーに対する昇格時のプロンプトの動作</t>
  </si>
  <si>
    <t>回復コンソール: すべてのドライブとフォルダーに、フロッピーのコピーとアクセスを許可する</t>
  </si>
  <si>
    <t>回復コンソール: 自動管理ログオンを許可する</t>
  </si>
  <si>
    <t>監査: グローバル システム オブジェクトへのアクセスを監査する</t>
  </si>
  <si>
    <t>監査: 監査ポリシー サブカテゴリの設定 (Windows Vista 以降) を強制して、監査ポリシー カテゴリの設定を上書きする</t>
  </si>
  <si>
    <t>対話型ログオン: Windows Hello for Business またはスマート カードが必要</t>
  </si>
  <si>
    <t>対話型ログオン: workstation のロック解除にドメイン コントローラーの認証を必要とする</t>
  </si>
  <si>
    <t>対話型ログオン: キャッシュする過去のログオン数 (ドメイン コントローラーが使用できない場合)</t>
  </si>
  <si>
    <t>対話型ログオン: コンピューター アカウントのロックアウトのしきい値</t>
  </si>
  <si>
    <t>対話型ログオン: コンピューターの非アクティブ状態の上限</t>
  </si>
  <si>
    <t>対話型ログオン: サインイン時にユーザー名を表示しない</t>
  </si>
  <si>
    <t>対話型ログオン: スマート カード取り出し時の動作</t>
  </si>
  <si>
    <t>対話型ログオン: セッションがロックされているときにユーザーの情報を表示する</t>
  </si>
  <si>
    <t>対話型ログオン: パスワードが無効になる前にユーザーに変更を促す</t>
  </si>
  <si>
    <t>対話型ログオン: ログオン時のユーザーへのメッセージのタイトル</t>
  </si>
  <si>
    <t>対話型ログオン: ログオン時のユーザーへのメッセージのテキスト</t>
  </si>
  <si>
    <t>対話型ログオン: 最後にサインインしたユーザーを表示しない</t>
  </si>
  <si>
    <t>Get-WindowsFeature | Out-File -FilePath C:¥WindowsFeatureList.txt</t>
    <phoneticPr fontId="1"/>
  </si>
  <si>
    <t>.NET 拡張機能 4.8</t>
    <phoneticPr fontId="1"/>
  </si>
  <si>
    <t>ASP.NET 4.8</t>
    <phoneticPr fontId="1"/>
  </si>
  <si>
    <t>Windows Deployment Services</t>
    <phoneticPr fontId="1"/>
  </si>
  <si>
    <t>Deployment Server</t>
    <phoneticPr fontId="1"/>
  </si>
  <si>
    <t>Transport Server</t>
    <phoneticPr fontId="1"/>
  </si>
  <si>
    <t>WDS</t>
    <phoneticPr fontId="1"/>
  </si>
  <si>
    <t>WDS-Deployment</t>
    <phoneticPr fontId="1"/>
  </si>
  <si>
    <t>WDS-Transport</t>
    <phoneticPr fontId="1"/>
  </si>
  <si>
    <t>リモート デスクトップ セッション ホスト</t>
    <phoneticPr fontId="1"/>
  </si>
  <si>
    <t>.NET Framework 4.8 Features</t>
    <phoneticPr fontId="1"/>
  </si>
  <si>
    <t>.NET Framework 4.8</t>
    <phoneticPr fontId="1"/>
  </si>
  <si>
    <t>Enhanced Storage</t>
    <phoneticPr fontId="1"/>
  </si>
  <si>
    <t>EnhancedStorage</t>
    <phoneticPr fontId="1"/>
  </si>
  <si>
    <t>Microsoft Defender ウイルス対策</t>
    <phoneticPr fontId="1"/>
  </si>
  <si>
    <t>Windows-Defender</t>
    <phoneticPr fontId="1"/>
  </si>
  <si>
    <t>RAS 接続マネージャー管理キット (CMAK)</t>
    <phoneticPr fontId="1"/>
  </si>
  <si>
    <t>SMB 1.0/CIFS ファイル共有のサポート</t>
    <phoneticPr fontId="1"/>
  </si>
  <si>
    <t>SMB 1.0/CIFS クライアント</t>
    <phoneticPr fontId="1"/>
  </si>
  <si>
    <t>SMB 1.0/CIFS サーバー</t>
    <phoneticPr fontId="1"/>
  </si>
  <si>
    <t>Telnet クライアント</t>
    <phoneticPr fontId="1"/>
  </si>
  <si>
    <t>TFTP クライアント</t>
    <phoneticPr fontId="1"/>
  </si>
  <si>
    <t>Windows Server Migration Tools</t>
    <phoneticPr fontId="1"/>
  </si>
  <si>
    <t>Migration</t>
    <phoneticPr fontId="1"/>
  </si>
  <si>
    <t>コンテナー</t>
    <phoneticPr fontId="1"/>
  </si>
  <si>
    <t>Containers</t>
    <phoneticPr fontId="1"/>
  </si>
  <si>
    <t>システム インサイト</t>
    <phoneticPr fontId="1"/>
  </si>
  <si>
    <t>System-Insights</t>
    <phoneticPr fontId="1"/>
  </si>
  <si>
    <t>システム データ アーカイバー</t>
    <phoneticPr fontId="1"/>
  </si>
  <si>
    <t>System-DataArchiver</t>
    <phoneticPr fontId="1"/>
  </si>
  <si>
    <t>ストレージ移行サービス</t>
    <phoneticPr fontId="1"/>
  </si>
  <si>
    <t>ストレージ移行サービス プロキシ</t>
    <phoneticPr fontId="1"/>
  </si>
  <si>
    <t>SMS</t>
    <phoneticPr fontId="1"/>
  </si>
  <si>
    <t>SMS-Proxy</t>
    <phoneticPr fontId="1"/>
  </si>
  <si>
    <t>データ センター ブリッジング</t>
    <phoneticPr fontId="1"/>
  </si>
  <si>
    <t>Data-Center-Bridging</t>
    <phoneticPr fontId="1"/>
  </si>
  <si>
    <t>Windows PowerShell のシステム インサイト モジュール</t>
    <phoneticPr fontId="1"/>
  </si>
  <si>
    <t>RSAT-System-Insights</t>
    <phoneticPr fontId="1"/>
  </si>
  <si>
    <t>ストレージ移行サービス ツール</t>
    <phoneticPr fontId="1"/>
  </si>
  <si>
    <t>RSAT-SMS</t>
    <phoneticPr fontId="1"/>
  </si>
  <si>
    <t>Windows Deployment Services Tools</t>
    <phoneticPr fontId="1"/>
  </si>
  <si>
    <t>\MicrosoftEdgeUpdateTaskMachineCore</t>
  </si>
  <si>
    <t>C:\Program Files (x86)\Microsoft\EdgeUpdate\MicrosoftEdgeUpdate.exe /c</t>
  </si>
  <si>
    <t>Microsoft ソフトウェアを最新の状態に維持してください。このタスクが無効または停止されている場合、Microsoft ソフトウェアは最新の状態に維持されません。この場合、セキュリティの脆弱性が発生する可能性があり、こうした脆弱性は解決することができません。また、機能が動作しなくなる場合もあります。このタスクでは、タスクを使用している Microsoft ソフトウェアがない場合は、タスク自体がアンイ ンストールされます。</t>
  </si>
  <si>
    <t>バッテリ モードで停止</t>
  </si>
  <si>
    <t>スケジュール データをこの形式で 使用することはできません。</t>
  </si>
  <si>
    <t>\MicrosoftEdgeUpdateTaskMachineUA</t>
  </si>
  <si>
    <t>C:\Program Files (x86)\Microsoft\EdgeUpdate\MicrosoftEdgeUpdate.exe /ua /installsource scheduler</t>
  </si>
  <si>
    <t>Microsoft ソフトウェアを最新の状態に維持してください。このタスクが無効または停止されている場合、Microsoft ソフトウ ェアは最新の状態に維持されません。この場合、セキュリティの脆弱性が発生する可能性があり、こうした脆弱性は解決することができません。また、機能が動作しなくなる場合もあります。このタスクでは、タスクを使用している Microsoft ソフトウェアがない場 合は、タスク自体がアンインストールされます。</t>
  </si>
  <si>
    <t>スケジュール データをこの形式で使用することはできません。</t>
  </si>
  <si>
    <t>\Microsoft\Windows\Server Initial Configuration Task</t>
  </si>
  <si>
    <t>$(@%systemroot%\system32\SrvInitConfig.exe,-100)</t>
  </si>
  <si>
    <t>%windir%\system32\srvinitconfig.exe /disableconfigtask</t>
  </si>
  <si>
    <t>$(@%systemroot%\system32\SrvInitConfig.exe,-101)</t>
  </si>
  <si>
    <t>バッテリ モードで停止, バッテリで開始しない</t>
  </si>
  <si>
    <t>対話型/バックグラウン ド</t>
  </si>
  <si>
    <t>COM ハンドラー</t>
  </si>
  <si>
    <t>バッテリ モードで停止, バッテリで開始し ない</t>
  </si>
  <si>
    <t>バッテリ モードで停止, バッテリで開始 しない</t>
  </si>
  <si>
    <t>対話型/バック グラウンド</t>
  </si>
  <si>
    <t>ユーザーの AD RMS 権利ポリシー テンプレートを更新します。このジョブでは、サーバーでテンプレート配布 Web  サービスへの認証が失敗した場合でも、資格情報の入力は要求されません。この場合は、エラーなどが発生することなくジョブが失敗します。</t>
  </si>
  <si>
    <t xml:space="preserve">毎 日 </t>
  </si>
  <si>
    <t>ロ グオン時</t>
  </si>
  <si>
    <t>COM ハ ンドラー</t>
  </si>
  <si>
    <t>ユーザーの AD RMS 権利ポリシー テンプレートを更新します。このジョブでは、サーバーでテンプレート配布 Web サービスへの認証が失敗した場合に、資格情報の入力が要求されます。</t>
  </si>
  <si>
    <t>ソフトウェアの制限のポリシーを XML 形 式からバイナリ形式に変換します。</t>
  </si>
  <si>
    <t>AppID 証明書キャッシュ に、無効な証明書や失効した証明書がないかどうかを調べます。</t>
  </si>
  <si>
    <t>3 分アイドルだった場合にのみ開始, 1380 分アイドルで ない場合再実行 アイドル状態が終了したらタスクを停止</t>
  </si>
  <si>
    <t>準備完 了</t>
  </si>
  <si>
    <t>Microsoft カスタマー エクスペリエンス向上プログラムに参加している場合に、プログラムの利用統計情報を収集します。</t>
  </si>
  <si>
    <t>\Microsoft\Windows\Application Experience\PcaPatchDbTask</t>
  </si>
  <si>
    <t>%windir%\system32\rundll32.exe %windir%\system32\PcaSvc.dll,PcaPatchSdbTask</t>
  </si>
  <si>
    <t>Updates compatibility database</t>
  </si>
  <si>
    <t>スケジュール デー タをこの形式で使用することはできません。</t>
  </si>
  <si>
    <t>Microsoft  カスタマー エクスペリエンス向上プログラムに参加している場合に、プログラムの利用統計情報を収集します。</t>
  </si>
  <si>
    <t>スタートアップ エントリが多すぎる場合は、スタートアップ エントリをスキャンしてユーザーに通知します。</t>
  </si>
  <si>
    <t>AppUriHandler ホ ストの登録を検証します。</t>
  </si>
  <si>
    <t>スケジュール データをこの形式で使用すること はできません。</t>
  </si>
  <si>
    <t>バッテリ モードで停止, バッテリ で開始しない</t>
  </si>
  <si>
    <t>データ共有サービスのメンテナンスを実行 します。</t>
  </si>
  <si>
    <t>スケジュール データを この形式で使用することはできません。</t>
  </si>
  <si>
    <t>このタスクは、Microsoft カスタマー エクスペリエンス向上プログラムに参加している場合、autochk SQM データを収集してアップロードします。</t>
  </si>
  <si>
    <t>有 効</t>
  </si>
  <si>
    <t>スケジュール  データをこの形式で使用することはできません。</t>
  </si>
  <si>
    <t>スケジュ ール データをこの形式で使用することはできません。</t>
  </si>
  <si>
    <t>指定された Bluetooth サービス ID に関連する PnP デバイスをアンインストールします</t>
  </si>
  <si>
    <t>ユニバーサル Windows プラ ットフォーム アプリケーションのバックグラウンド タスクの登録を維持します。</t>
  </si>
  <si>
    <t>このタスクは、証明書を認証 ID キーに登録 します。</t>
  </si>
  <si>
    <t>未定 義</t>
  </si>
  <si>
    <t>このタスクは、暗号化ポリシーを同期します。</t>
  </si>
  <si>
    <t>このタスクは、TPM ベースの認証 ID キー (AIK) およびストレージ キー (SK) を事前生成します。</t>
  </si>
  <si>
    <t>スケジュール データをこの形 式で使用することはできません。</t>
  </si>
  <si>
    <t>証明書サービス クライアントは、ユーザーおよびマシン の証明書、キー、資格情報などのデジタル識別情報を自動的に管理して、登録、移動、その他のサービスを可能にします。</t>
  </si>
  <si>
    <t>証明書サービス クライアントは、ユーザーおよびマシンの 証明書、キー、資格情報などのデジタル識別情報を自動的に管理して、登録、移動、その他のサービスを可能にします。</t>
  </si>
  <si>
    <t>未 定義</t>
  </si>
  <si>
    <t>シ ステムの開始時</t>
  </si>
  <si>
    <t>イ ベントが発生する場合</t>
  </si>
  <si>
    <t>証明書サービス クライアントは、ユーザーおよびマシンの証明書、キー、資格情報などのデジタル識別情報を自動的に管理して、登録、移動、その他のサービスを可能にします。</t>
  </si>
  <si>
    <t xml:space="preserve"> 有効</t>
  </si>
  <si>
    <t>NTFS ボリューム状態スキャン</t>
  </si>
  <si>
    <t>バッテリ モードで停止,  バッテリで開始しない</t>
  </si>
  <si>
    <t>スケジュール デ ータをこの形式で使用することはできません。</t>
  </si>
  <si>
    <t>Windows カスタマー エクスペリエンス向上プログラムに参加する場合は、使用データが Microsoft へ送信されます。</t>
  </si>
  <si>
    <t>対話型/バックグラウ ンド</t>
  </si>
  <si>
    <t>USB CEIP (カスタマー エクスペリエンス向 上プログラム) タスクは、ご使用のコンピューターのユニバーサル シリアル バス関連の統計情報を収集し、Microsoft の Windows Device Connectivity エンジニアリング グループに送信します。送信された情報は、Windows における USB の信頼性、安定性、およ び全体的な機能向上のために使用されます。ユーザーが Windows CEIP への参加に同意していない場合、このタスクは何も行いません。</t>
  </si>
  <si>
    <t>\Microsoft\Windows\Data Integrity Scan\Data Integrity Check And Scan</t>
  </si>
  <si>
    <t>フォールト トレラント  ボリュームの潜在的な破損をスキャンします</t>
  </si>
  <si>
    <t xml:space="preserve"> 無効</t>
  </si>
  <si>
    <t>フォールト トレラント ボリュームの潜在的な破 損をスキャンします</t>
  </si>
  <si>
    <t>フォールト トレラント ボリュームの高速クラッシュ回復機能をスキャンします</t>
  </si>
  <si>
    <t>このタスクにより、ローカル記憶域ドラ イブが最適化されます。</t>
  </si>
  <si>
    <t>%windir%\system32\devicecensus.exe SystemCxt</t>
  </si>
  <si>
    <t>\Microsoft\Windows\Device Information\Device User</t>
  </si>
  <si>
    <t>%windir%\system32\devicecensus.exe UserCxt</t>
  </si>
  <si>
    <t>1 分アイドルだった場合にのみ開始, 1440 分アイドルでない場合再実行</t>
  </si>
  <si>
    <t>スケジュール データをこの形式で使用することはできま せん。</t>
  </si>
  <si>
    <t>デバイス メタデータの更新を定期的に実行します</t>
  </si>
  <si>
    <t>Windows のスケジュールされたメンテナンス タスクは、コンピューター シ ステムのメンテナンスを定期的に実行し、問題を自動解決するか、セキュリティとメンテナンスを通じて報告します。</t>
  </si>
  <si>
    <t>\Microsoft\Windows\DirectX\DirectXDatabaseUpdater</t>
  </si>
  <si>
    <t xml:space="preserve">%windir%\system32\directxdatabaseupdater.exe </t>
  </si>
  <si>
    <t>スケジ ュール データをこの形式で使用することはできません。</t>
  </si>
  <si>
    <t>%windir%\system32\cleanmgr.exe /autocleanstoragesense /d %systemdrive%</t>
  </si>
  <si>
    <t>システ ムによって使用されるメンテナンス タスクです。ディスクの空き領域が少なくなった場合に、ダイアログを表示しないで自動的にデ ィスク クリーンアップを起動します。</t>
  </si>
  <si>
    <t>ユーザーがカスタマー エクスペリエンス プログラムに参加している場合、ディスクとシステムに関する全般的な情報が Windows ディスク診断ツールによって Microsoft に報告されます。</t>
  </si>
  <si>
    <t>対話型/バックグ ラウンド</t>
  </si>
  <si>
    <t>Microsoft-Windows-DiskDiagnosticResolver は、S.M.A.R.T. (Self Monitoring and Reporting Technology) 標準をサポートするハード ディスクから 障害が報告された場合に、ユーザーに警告します。S.M.A.R.T. 障害が検出されると、診断ポリシー サービスによってこのタスクが自動的に開始されます。</t>
  </si>
  <si>
    <t>スケジュール データをこの形式で使用することはできませ ん。</t>
  </si>
  <si>
    <t xml:space="preserve"> 分アイドルだった場合にのみ開始,  分アイドル でない場合再実行 アイドル状態が終了したらタスクを停止</t>
  </si>
  <si>
    <t xml:space="preserve"> 分アイドルだった場合にのみ開始,  分アイドルでない場合再 実行 アイドル状態が終了したらタスクを停止</t>
  </si>
  <si>
    <t>ス ケジュール データをこの形式で使用することはできません。</t>
  </si>
  <si>
    <t>コンピューターの Exploit Protection の設定に変更を適用するためのタスク。</t>
  </si>
  <si>
    <t>対話型/バッ クグラウンド</t>
  </si>
  <si>
    <t>コンピューター上のファイル分類インフラストラクチャの分類を Active Directory ドメイン サービスに格納されたリソース プロパティの定義と同期します。</t>
  </si>
  <si>
    <t>無 効</t>
  </si>
  <si>
    <t>\Microsoft\Windows\Flighting\FeatureConfig\UsageDataFlushing</t>
  </si>
  <si>
    <t>機能の使用状況データをディスクに永続化する タスク</t>
  </si>
  <si>
    <t>\Microsoft\Windows\Flighting\FeatureConfig\UsageDataReporting</t>
  </si>
  <si>
    <t>機能の使用状況レポートを定期的に記録するタスク</t>
  </si>
  <si>
    <t>対話型/バックグラ ウンド</t>
  </si>
  <si>
    <t>タスクは、OneSettings クライアントのデータを定期的に更新します。</t>
  </si>
  <si>
    <t>5 時間、44 分</t>
  </si>
  <si>
    <t>\Microsoft\Windows\Input\LocalUserSyncDataAvailable</t>
  </si>
  <si>
    <t>\Microsoft\Windows\Input\MouseSyncDataAvailable</t>
  </si>
  <si>
    <t>\Microsoft\Windows\Input\PenSyncDataAvailable</t>
  </si>
  <si>
    <t>\Microsoft\Windows\Input\TouchpadSyncDataAvailable</t>
  </si>
  <si>
    <t>スケジュール データ をこの形式で使用することはできません。</t>
  </si>
  <si>
    <t xml:space="preserve"> 分アイドルだった場合にのみ開始,  分アイドルでない場合再実行 アイド ル状態が終了したらタスクを停止</t>
  </si>
  <si>
    <t xml:space="preserve"> スケジュール データをこの形式で使用することはできません。</t>
  </si>
  <si>
    <t xml:space="preserve"> 分アイドルだった場合にのみ開始,  分アイドルでない場合 再実行 アイドル状態が終了したらタスクを停止</t>
  </si>
  <si>
    <t>\Microsoft\Windows\International\Synchronize Language Settings</t>
  </si>
  <si>
    <t>Synchronize User Language Settings from other devices.</t>
  </si>
  <si>
    <t>ユーザーの言語リストに一致する言語コンポーネントをインストールします。</t>
  </si>
  <si>
    <t>スケジュール データをこの 形式で使用することはできません。</t>
  </si>
  <si>
    <t>どのユーザーの言語リストにもない言語コンポーネントをアンインストールします。</t>
  </si>
  <si>
    <t xml:space="preserve"> 分アイドルだった場合にのみ開始,  分アイドルでない場合再実行 アイドル状態が終了したらタ スクを停止</t>
  </si>
  <si>
    <t>システムのパフォーマンスおよび性能を測定します</t>
  </si>
  <si>
    <t>このタスクは、オフライン用にダウンロードした地図の更新データをチェッ クします。このタスクを無効にした場合、地図データの更新が通知されなくなります。</t>
  </si>
  <si>
    <t xml:space="preserve">一 度だけ, 毎時 </t>
  </si>
  <si>
    <t>システム イベントに応じてメモリ診断のスケ ジュールを設定します。</t>
  </si>
  <si>
    <t>スケジュール データをこの形式で使用することはでき ません。</t>
  </si>
  <si>
    <t>言語クリーンアップ ツールの起動</t>
  </si>
  <si>
    <t>システム サウンド ユーザー モード エージェント</t>
  </si>
  <si>
    <t>ネットワーク情報コレクター</t>
  </si>
  <si>
    <t>要求時 のみ</t>
  </si>
  <si>
    <t>このタスクでは SDN 診 断ログを管理します。</t>
  </si>
  <si>
    <t>このタスクは、ユーザーがオフライン モードで作業 するときに、オフライン ファイルのバックグラウンドでの定期的な同期を制御します。</t>
  </si>
  <si>
    <t>このタスクは、ユーザーがシステムにログオンするときに オフライン ファイルの同期を開始します。</t>
  </si>
  <si>
    <t>このタスクでは、セキュア ブートの変数が更新されます。</t>
  </si>
  <si>
    <t>このタスクは、トラステッド プラットフォーム モジュール (TPM)、セキュア ブー ト、メジャー ブートに関する情報を収集します。</t>
  </si>
  <si>
    <t>デバイス インストール グループ ポリシー変更ハンドラー</t>
  </si>
  <si>
    <t>デバイスの設定を完了するために Windows の再 起動が必要なことをユーザーに通知します。</t>
  </si>
  <si>
    <t>どのようなハードウェア 構成でも起動可能にするようにシステムを準備するため、ドライバーの状態を汎用化します。</t>
  </si>
  <si>
    <t>このタスクでは、システムを分析し、大量のエネルギー消費の原因になる可能性のある状況を探します。</t>
  </si>
  <si>
    <t>基礎となるインターフェイスがダウンした場合、モビリティが有効化さ れた VPN 接続の切り替えのサポートを提供します。</t>
  </si>
  <si>
    <t>ログイン時に初期構成タスクまたはサーバー マネージャーを起動するためのタスクです。</t>
  </si>
  <si>
    <t>システム データにアクセスするシェル コンポーネントをサポートします</t>
  </si>
  <si>
    <t>スケジュール データをこの形式で使用する ことはできません。</t>
  </si>
  <si>
    <t>\Microsoft\Windows\Shell\UpdateUserPictureTask</t>
  </si>
  <si>
    <t>このタスクは、ソフトウェア保護プラットフォーム サービスを指定された時間に再開します</t>
  </si>
  <si>
    <t>このタスクは、ソフトウェア保護プラットフォーム サービスをユーザー ログオンの発生時に再開します</t>
  </si>
  <si>
    <t>このタスクは、ソフトウェア保護プラットフォーム サービスを新しいネットワークの検出時に再開します</t>
  </si>
  <si>
    <t>記憶域スペースの設定</t>
  </si>
  <si>
    <t>\Microsoft\Windows\StateRepository\MaintenanceTasks</t>
  </si>
  <si>
    <t>$(@%SystemRoot%\system32\Windows.StateRepositoryClient.dll,-600)</t>
  </si>
  <si>
    <t>%windir%\system32\rundll32.exe %windir%\system32\Windows.StateRepositoryClient.dll,StateRepositoryDoMaintenanceTasks</t>
  </si>
  <si>
    <t>$(@%SystemRoot%\system32\Windows.StateRepositoryClient.dll,-602)</t>
  </si>
  <si>
    <t>対 話型/バックグラウンド</t>
  </si>
  <si>
    <t>最初の階層型記憶域 がシステムで検出されたときに、記憶域階層管理サービスを初期化します。このタスクは削除または変更しないでください。</t>
  </si>
  <si>
    <t>対話ユーザーとしてタスクを実行します。</t>
  </si>
  <si>
    <t>タイム ゾーン情報を更新します。このタスクを 停止すると、一部のタイム ゾーンでローカル時刻が不正確になることがあります。</t>
  </si>
  <si>
    <t>このタスクは、OS に代わってバックグラウンド操作を実行するこ とで、トラステッド プラットフォーム モジュール (TPM) をサポートします。</t>
  </si>
  <si>
    <t>\Microsoft\Windows\UpdateOrchestrator\Reboot_AC</t>
  </si>
  <si>
    <t>\Microsoft\Windows\UpdateOrchestrator\Reboot_Battery</t>
  </si>
  <si>
    <t>%systemroot%\system32\MusNotification.exe RebootDialog /RunOnBattery</t>
  </si>
  <si>
    <t>\Microsoft\Windows\UpdateOrchestrator\Report policies</t>
  </si>
  <si>
    <t>%systemroot%\system32\usoclient.exe ReportPolicies</t>
  </si>
  <si>
    <t>\Microsoft\Windows\UpdateOrchestrator\Schedule Maintenance Work</t>
  </si>
  <si>
    <t>%systemroot%\system32\usoclient.exe StartMaintenanceWork</t>
  </si>
  <si>
    <t>バッテ リ モードで停止, バッテリで開始しない</t>
  </si>
  <si>
    <t>7 時間、0 分</t>
  </si>
  <si>
    <t>このタスクは 、スケジュールされた Windows Update スキャンを実行します。</t>
  </si>
  <si>
    <t>\Microsoft\Windows\UpdateOrchestrator\Schedule Wake To Work</t>
  </si>
  <si>
    <t>%systemroot%\system32\usoclient.exe StartWork</t>
  </si>
  <si>
    <t>\Microsoft\Windows\UpdateOrchestrator\Schedule Work</t>
  </si>
  <si>
    <t>このタスクでは、更新プログラムのインストール後にシステムが再起動されます。</t>
  </si>
  <si>
    <t>スケジュー ル データをこの形式で使用することはできません。</t>
  </si>
  <si>
    <t>\Microsoft\Windows\UpdateOrchestrator\UUS Failover Task</t>
  </si>
  <si>
    <t>$(@%systemRoot%\system32\update\uusbrain.dll,-101)</t>
  </si>
  <si>
    <t xml:space="preserve">%systemroot%\system32\failover.exe </t>
  </si>
  <si>
    <t>$(@%systemRoot%\system32\update\uusbrain.dll,-103)</t>
  </si>
  <si>
    <t>UPnPHost サービスを自動開始に設定</t>
  </si>
  <si>
    <t>このタスクでは、移動ユーザー プロファイルのレジストリ ハイブがネットワークの場所に自動的にアップロードされます。</t>
  </si>
  <si>
    <t>更新に関連するサービスをサポートされている構成に回復する際に役立ちます。</t>
  </si>
  <si>
    <t xml:space="preserve"> 一度だけ, 毎時 </t>
  </si>
  <si>
    <t>Windows 診断インフラストラクチャ解決のホストは、診断ポリシー サービスによって検出されたシステムの問題を対話的に解決できるようにします。Windows 診断インフラストラクチャ解決のホストは、必要に応じて適切なユーザー セッションで、診断ポリシー サービスによってトリガーされます。診断ポリシー サービスが実行中でない 場合、タスクは実行されません</t>
  </si>
  <si>
    <t>C:\ProgramData\Microsoft\Windows Defender\Platform\4.18.2203.5-0\MpCmdRun.exe -IdleTask -TaskName WdCacheMaintenance</t>
  </si>
  <si>
    <t>C:\ProgramData\Microsoft\Windows Defender\Platform\4.18.2203.5-0\MpCmdRun.exe -IdleTask -TaskName WdCleanup</t>
  </si>
  <si>
    <t>定期的なクリーンアップ タスクです。</t>
  </si>
  <si>
    <t>C:\ProgramData\Microsoft\Windows Defender\Platform\4.18.2203.5-0\MpCmdRun.exe Scan -ScheduleJob -ScanTrigger 55 -IdleScheduledJob</t>
  </si>
  <si>
    <t>1 分アイ ドルだった場合にのみ開始, 240 分アイドルでない場合再実行</t>
  </si>
  <si>
    <t>C:\ProgramData\Microsoft\Windows Defender\Platform\4.18.2203.5-0\MpCmdRun.exe -IdleTask -TaskName WdVerification</t>
  </si>
  <si>
    <t>キューに登録されたレポートは、Windows エラー報告タスクにより処理されます。</t>
  </si>
  <si>
    <t xml:space="preserve"> なし</t>
  </si>
  <si>
    <t>ベース フィルター エンジン (BFE) の開始の種類が無効にされると、このタスクでファイアウォールトリガ ー サービスの開始の種類が調整されます。</t>
  </si>
  <si>
    <t>スケジュール データをこの形式で使 用することはできません。</t>
  </si>
  <si>
    <t>このタスクによって、キャッシュされたフォルダーの一覧、およびユーザーの共有メディア ライブラリに含まれる新しいファイルに対するセキュ リティ アクセス許可が更新されます。</t>
  </si>
  <si>
    <t>このタスク は、スキャンなどのスケジュールした操作を実行する必要がある場合に、Windows Update サービスを開始するために使用されます。</t>
  </si>
  <si>
    <t>コンピューターが既に Active Directory ドメインに参加している場合に、このコンピューターを登録します。</t>
  </si>
  <si>
    <t>\Microsoft\Windows\Workplace Join\Device-Sync</t>
  </si>
  <si>
    <t>Azure Active Directory にデバイス属性を同期します。</t>
  </si>
  <si>
    <t>\Microsoft\Windows\WwanSvc\OobeDiscovery</t>
  </si>
  <si>
    <t>ログオン モード</t>
  </si>
  <si>
    <t>スケジュールされたタスクの状態</t>
  </si>
  <si>
    <t>ユーザーとして実行</t>
  </si>
  <si>
    <t>再度スケジュールされ ない場合はタスクを削除する</t>
  </si>
  <si>
    <t>スケジュール</t>
  </si>
  <si>
    <t>スケジュールの種類</t>
  </si>
  <si>
    <t>Administrator</t>
    <phoneticPr fontId="1"/>
  </si>
  <si>
    <t>フルネーム</t>
    <phoneticPr fontId="1"/>
  </si>
  <si>
    <t>初期値</t>
    <rPh sb="0" eb="3">
      <t>ショ</t>
    </rPh>
    <phoneticPr fontId="1"/>
  </si>
  <si>
    <t>コンピューター/ドメインの管理用 (ビルトイン アカウント)</t>
  </si>
  <si>
    <t>コンピューター/ドメインの管理用 (ビルトイン アカウント)</t>
    <phoneticPr fontId="1"/>
  </si>
  <si>
    <t>ユーザーは次回ログオン時にパスワードの変更が必要</t>
    <rPh sb="5" eb="7">
      <t>ジカ</t>
    </rPh>
    <rPh sb="19" eb="21">
      <t>ヘンコ</t>
    </rPh>
    <rPh sb="22" eb="24">
      <t>ヒツヨ</t>
    </rPh>
    <phoneticPr fontId="1"/>
  </si>
  <si>
    <t>ユーザーはパスワードを変更できない</t>
    <rPh sb="0" eb="2">
      <t>ユーザーハ</t>
    </rPh>
    <rPh sb="11" eb="13">
      <t>ヘンコ</t>
    </rPh>
    <phoneticPr fontId="1"/>
  </si>
  <si>
    <t>パスワードを無期限にする</t>
    <rPh sb="6" eb="9">
      <t>ムキゲンニ</t>
    </rPh>
    <phoneticPr fontId="1"/>
  </si>
  <si>
    <t>アカウントを無効にする</t>
    <rPh sb="6" eb="8">
      <t>ムコ</t>
    </rPh>
    <phoneticPr fontId="1"/>
  </si>
  <si>
    <t>アカウントのロックアウト</t>
    <phoneticPr fontId="1"/>
  </si>
  <si>
    <t>所属するグループ</t>
    <rPh sb="0" eb="2">
      <t>ショゾ</t>
    </rPh>
    <phoneticPr fontId="1"/>
  </si>
  <si>
    <t>Administrators</t>
    <phoneticPr fontId="1"/>
  </si>
  <si>
    <t>プロファイル</t>
    <phoneticPr fontId="1"/>
  </si>
  <si>
    <t>ユーザープロファイル</t>
    <phoneticPr fontId="1"/>
  </si>
  <si>
    <t>プロファイルパス</t>
    <phoneticPr fontId="1"/>
  </si>
  <si>
    <t>ログオンスクリプト</t>
    <phoneticPr fontId="1"/>
  </si>
  <si>
    <t>ホームフォルダー</t>
    <phoneticPr fontId="1"/>
  </si>
  <si>
    <t>ローカルパス</t>
    <phoneticPr fontId="1"/>
  </si>
  <si>
    <t>接続ドライブ</t>
    <rPh sb="0" eb="2">
      <t>セツゾ</t>
    </rPh>
    <phoneticPr fontId="1"/>
  </si>
  <si>
    <t>Z</t>
    <phoneticPr fontId="1"/>
  </si>
  <si>
    <t>環境</t>
    <rPh sb="0" eb="2">
      <t>カンキョ</t>
    </rPh>
    <phoneticPr fontId="1"/>
  </si>
  <si>
    <t>起動プログラム</t>
    <rPh sb="0" eb="2">
      <t>キド</t>
    </rPh>
    <phoneticPr fontId="1"/>
  </si>
  <si>
    <t>ログオン時に次のプログラムを起動する</t>
    <rPh sb="0" eb="1">
      <t>スクリプト</t>
    </rPh>
    <rPh sb="6" eb="7">
      <t>ツギ</t>
    </rPh>
    <rPh sb="14" eb="16">
      <t>キド</t>
    </rPh>
    <phoneticPr fontId="1"/>
  </si>
  <si>
    <t>プログラムのファイル名</t>
    <phoneticPr fontId="1"/>
  </si>
  <si>
    <t>作業フォルダー</t>
    <rPh sb="0" eb="2">
      <t>サギョ</t>
    </rPh>
    <phoneticPr fontId="1"/>
  </si>
  <si>
    <t>クライアントのデバイス</t>
    <phoneticPr fontId="1"/>
  </si>
  <si>
    <t>ログオン時、クライアントのドライブに接続する</t>
    <rPh sb="0" eb="1">
      <t>ログオンシ</t>
    </rPh>
    <rPh sb="18" eb="20">
      <t>セツゾ</t>
    </rPh>
    <phoneticPr fontId="1"/>
  </si>
  <si>
    <t>ログオン時、クライアントのプリンターに接続する</t>
    <rPh sb="0" eb="1">
      <t>ログオンジ</t>
    </rPh>
    <rPh sb="19" eb="21">
      <t>セツゾク</t>
    </rPh>
    <phoneticPr fontId="1"/>
  </si>
  <si>
    <t>クライアントの通常使うプリンターを既定にする</t>
    <rPh sb="7" eb="10">
      <t>ツウジョ</t>
    </rPh>
    <rPh sb="17" eb="19">
      <t>キ</t>
    </rPh>
    <phoneticPr fontId="1"/>
  </si>
  <si>
    <t>切断されたセッションの終了</t>
    <rPh sb="0" eb="2">
      <t>セツダ</t>
    </rPh>
    <rPh sb="11" eb="13">
      <t>シュウリョ</t>
    </rPh>
    <phoneticPr fontId="1"/>
  </si>
  <si>
    <t>しない</t>
    <phoneticPr fontId="1"/>
  </si>
  <si>
    <t>1分</t>
    <rPh sb="1" eb="2">
      <t xml:space="preserve">フン </t>
    </rPh>
    <phoneticPr fontId="1"/>
  </si>
  <si>
    <t>5分</t>
    <rPh sb="1" eb="2">
      <t xml:space="preserve">フン </t>
    </rPh>
    <phoneticPr fontId="1"/>
  </si>
  <si>
    <t>30分</t>
    <rPh sb="2" eb="3">
      <t>フン</t>
    </rPh>
    <phoneticPr fontId="1"/>
  </si>
  <si>
    <t>2時間</t>
    <rPh sb="1" eb="3">
      <t>ジカ</t>
    </rPh>
    <phoneticPr fontId="1"/>
  </si>
  <si>
    <t>2日</t>
    <rPh sb="1" eb="2">
      <t>ニ</t>
    </rPh>
    <phoneticPr fontId="1"/>
  </si>
  <si>
    <t>アクティブセッションの最大時間</t>
    <rPh sb="11" eb="15">
      <t>サイダ</t>
    </rPh>
    <phoneticPr fontId="1"/>
  </si>
  <si>
    <t>アイドルセッションの最大時間</t>
    <rPh sb="10" eb="14">
      <t>サイダ</t>
    </rPh>
    <phoneticPr fontId="1"/>
  </si>
  <si>
    <t>セッションの限界に達したり接続が中断した場合</t>
    <rPh sb="6" eb="8">
      <t>ゲンカ</t>
    </rPh>
    <rPh sb="9" eb="10">
      <t>タッ</t>
    </rPh>
    <rPh sb="13" eb="15">
      <t>セツゾ</t>
    </rPh>
    <rPh sb="16" eb="18">
      <t>チュ</t>
    </rPh>
    <phoneticPr fontId="1"/>
  </si>
  <si>
    <t>セッションから切断する</t>
    <rPh sb="7" eb="9">
      <t>セツダンス</t>
    </rPh>
    <phoneticPr fontId="1"/>
  </si>
  <si>
    <t>セッションを終了する</t>
    <rPh sb="6" eb="8">
      <t>シュウリョ</t>
    </rPh>
    <phoneticPr fontId="1"/>
  </si>
  <si>
    <t>再接続の許可</t>
    <rPh sb="0" eb="3">
      <t>サイセツゾ</t>
    </rPh>
    <rPh sb="4" eb="6">
      <t>キョ</t>
    </rPh>
    <phoneticPr fontId="1"/>
  </si>
  <si>
    <t>すべてのクライアント</t>
    <phoneticPr fontId="1"/>
  </si>
  <si>
    <t>前回接続したクライアント</t>
    <rPh sb="0" eb="2">
      <t>ゼンカ</t>
    </rPh>
    <rPh sb="2" eb="4">
      <t>セツゾ</t>
    </rPh>
    <phoneticPr fontId="1"/>
  </si>
  <si>
    <t>リモート接続</t>
    <phoneticPr fontId="1"/>
  </si>
  <si>
    <t>リモート接続を有効にする</t>
    <rPh sb="7" eb="9">
      <t>ユウコ</t>
    </rPh>
    <phoneticPr fontId="1"/>
  </si>
  <si>
    <t>セッションを制御、監視するにはユーザーの許可を必要とする</t>
    <rPh sb="6" eb="8">
      <t>セイギョ</t>
    </rPh>
    <rPh sb="9" eb="11">
      <t>カン</t>
    </rPh>
    <rPh sb="20" eb="22">
      <t>キ</t>
    </rPh>
    <rPh sb="23" eb="25">
      <t xml:space="preserve">ヒツヨウ </t>
    </rPh>
    <phoneticPr fontId="1"/>
  </si>
  <si>
    <t>制御レベル</t>
    <rPh sb="0" eb="2">
      <t>セイギョ</t>
    </rPh>
    <phoneticPr fontId="1"/>
  </si>
  <si>
    <t>ユーザーのセッションを監視する</t>
    <rPh sb="11" eb="13">
      <t>カン</t>
    </rPh>
    <phoneticPr fontId="1"/>
  </si>
  <si>
    <t>ユーザーのセッションと対話する</t>
    <rPh sb="11" eb="13">
      <t>タイワ</t>
    </rPh>
    <phoneticPr fontId="1"/>
  </si>
  <si>
    <t>リモートデスクトップサービスのプロファイル</t>
    <phoneticPr fontId="1"/>
  </si>
  <si>
    <t>リモートデスクトップサービスのユーザープロファイル</t>
    <phoneticPr fontId="1"/>
  </si>
  <si>
    <t>リモートデスクトップサービスのホームフォルダー</t>
    <phoneticPr fontId="1"/>
  </si>
  <si>
    <t>このユーザーのリモートデスクトップセッションホストサーバーへのログオンを拒否する</t>
    <rPh sb="36" eb="38">
      <t>キョ</t>
    </rPh>
    <phoneticPr fontId="1"/>
  </si>
  <si>
    <t>ダイヤルイン</t>
    <phoneticPr fontId="1"/>
  </si>
  <si>
    <t>リモートアクセス許可</t>
    <rPh sb="8" eb="10">
      <t>キョ</t>
    </rPh>
    <phoneticPr fontId="1"/>
  </si>
  <si>
    <t>アクセスを許可</t>
    <rPh sb="5" eb="7">
      <t>キョ</t>
    </rPh>
    <phoneticPr fontId="1"/>
  </si>
  <si>
    <t>アクセスを拒否</t>
    <rPh sb="0" eb="2">
      <t>アクセスヲキョ</t>
    </rPh>
    <phoneticPr fontId="1"/>
  </si>
  <si>
    <t>NPSネットワークポリシーでアクセスを制御</t>
    <rPh sb="19" eb="21">
      <t>セイギ</t>
    </rPh>
    <phoneticPr fontId="1"/>
  </si>
  <si>
    <t>発信者番号を確認</t>
    <rPh sb="0" eb="3">
      <t>ハッシ</t>
    </rPh>
    <rPh sb="3" eb="5">
      <t>バンゴ</t>
    </rPh>
    <rPh sb="6" eb="8">
      <t>カクニ</t>
    </rPh>
    <phoneticPr fontId="1"/>
  </si>
  <si>
    <t>発信者番号</t>
    <rPh sb="0" eb="5">
      <t>ハッシ</t>
    </rPh>
    <phoneticPr fontId="1"/>
  </si>
  <si>
    <t>コールバックオプション</t>
    <phoneticPr fontId="1"/>
  </si>
  <si>
    <t>呼び出し元による設定 (ルーティングとリモートアクセスサービスのみ)</t>
    <rPh sb="0" eb="1">
      <t>ヨビダ</t>
    </rPh>
    <rPh sb="8" eb="10">
      <t>セッテ</t>
    </rPh>
    <phoneticPr fontId="1"/>
  </si>
  <si>
    <t>常に次の電話番号にコールバック</t>
    <rPh sb="0" eb="1">
      <t>ツ</t>
    </rPh>
    <rPh sb="2" eb="3">
      <t>ツ</t>
    </rPh>
    <rPh sb="4" eb="6">
      <t>デン</t>
    </rPh>
    <rPh sb="6" eb="8">
      <t xml:space="preserve">バンゴウ </t>
    </rPh>
    <phoneticPr fontId="1"/>
  </si>
  <si>
    <t>静的IPアドレスを割り当てる</t>
    <rPh sb="0" eb="2">
      <t>セイテ</t>
    </rPh>
    <rPh sb="9" eb="10">
      <t>ワリア</t>
    </rPh>
    <phoneticPr fontId="1"/>
  </si>
  <si>
    <t>静的IPアドレス</t>
    <rPh sb="0" eb="2">
      <t>セイテ</t>
    </rPh>
    <phoneticPr fontId="1"/>
  </si>
  <si>
    <t>静的IPv4アドレスを割り当てる</t>
    <rPh sb="0" eb="2">
      <t>セイテ</t>
    </rPh>
    <rPh sb="11" eb="12">
      <t>ワリア</t>
    </rPh>
    <phoneticPr fontId="1"/>
  </si>
  <si>
    <t>静的IPv6アドレスを割り当てる</t>
    <rPh sb="0" eb="1">
      <t>セイテ</t>
    </rPh>
    <rPh sb="11" eb="12">
      <t>ワリア</t>
    </rPh>
    <phoneticPr fontId="1"/>
  </si>
  <si>
    <t>IPv4アドレス</t>
    <phoneticPr fontId="1"/>
  </si>
  <si>
    <t>プレフィックス</t>
    <phoneticPr fontId="1"/>
  </si>
  <si>
    <t>インターフェイスID</t>
    <phoneticPr fontId="1"/>
  </si>
  <si>
    <t>静的ルートを適用</t>
    <rPh sb="0" eb="2">
      <t>セイテ</t>
    </rPh>
    <rPh sb="6" eb="8">
      <t>テキヨ</t>
    </rPh>
    <phoneticPr fontId="1"/>
  </si>
  <si>
    <t>静的ルート</t>
    <rPh sb="0" eb="2">
      <t>セイテ</t>
    </rPh>
    <phoneticPr fontId="1"/>
  </si>
  <si>
    <t>ルート1</t>
    <phoneticPr fontId="1"/>
  </si>
  <si>
    <t>宛先</t>
    <rPh sb="0" eb="2">
      <t>アテサ</t>
    </rPh>
    <phoneticPr fontId="1"/>
  </si>
  <si>
    <t>ネットワークマスク</t>
    <phoneticPr fontId="1"/>
  </si>
  <si>
    <t>IPv6ルートを割り当てる</t>
    <rPh sb="8" eb="9">
      <t>ワリア</t>
    </rPh>
    <phoneticPr fontId="1"/>
  </si>
  <si>
    <t>IPv4ルートを割り当てる</t>
    <rPh sb="8" eb="9">
      <t>ワリア</t>
    </rPh>
    <phoneticPr fontId="1"/>
  </si>
  <si>
    <t>コストメトリック</t>
    <phoneticPr fontId="1"/>
  </si>
  <si>
    <t>DefaultAccount</t>
    <phoneticPr fontId="1"/>
  </si>
  <si>
    <t>システムで管理されるユーザー アカウントです。</t>
  </si>
  <si>
    <t>システムで管理されるユーザー アカウントです。</t>
    <phoneticPr fontId="1"/>
  </si>
  <si>
    <t>System Managed Accounts Group</t>
  </si>
  <si>
    <t>System Managed Accounts Group</t>
    <phoneticPr fontId="1"/>
  </si>
  <si>
    <t>Guest</t>
    <phoneticPr fontId="1"/>
  </si>
  <si>
    <t>コンピューター/ドメインへのゲスト アクセス用 (ビルトイン アカウント)</t>
  </si>
  <si>
    <t>コンピューター/ドメインへのゲスト アクセス用 (ビルトイン アカウント)</t>
    <phoneticPr fontId="1"/>
  </si>
  <si>
    <t>Guests</t>
  </si>
  <si>
    <t>Guests</t>
    <phoneticPr fontId="1"/>
  </si>
  <si>
    <t>WDAGUtilityAccount</t>
    <phoneticPr fontId="1"/>
  </si>
  <si>
    <t>Windows Defender Application Guard シナリオでシステムによって管理および使用されるユーザー アカウント</t>
  </si>
  <si>
    <t>Windows Defender Application Guard シナリオでシステムによって管理および使用されるユーザー アカウント</t>
    <phoneticPr fontId="1"/>
  </si>
  <si>
    <t>グループ名</t>
    <phoneticPr fontId="1"/>
  </si>
  <si>
    <t>所属するメンバー(初期値)</t>
    <rPh sb="0" eb="2">
      <t>ショゾク</t>
    </rPh>
    <rPh sb="9" eb="12">
      <t>ショ</t>
    </rPh>
    <phoneticPr fontId="1"/>
  </si>
  <si>
    <t>Access Control Assistance Operators</t>
  </si>
  <si>
    <t>このグループのメンバーは、このコンピューター上のリソースの認証属性およびアクセス許可をリモートから照会できます。</t>
  </si>
  <si>
    <t>コンピューター/ドメインに完全なアクセス権があります。</t>
  </si>
  <si>
    <t>Backup Operators</t>
  </si>
  <si>
    <t>Backup Operators は、バックアップの作成またはファイルを復元するときには、セキュリティの制限を無視することができます。</t>
  </si>
  <si>
    <t>Certificate Service DCOM Access</t>
  </si>
  <si>
    <t>このグループのメンバーは、エンタープライズの証明機関に接続できます。</t>
  </si>
  <si>
    <t>Cryptographic Operators</t>
  </si>
  <si>
    <t>メンバーは、暗号化操作の実行を許可されています。</t>
  </si>
  <si>
    <t>Device Owners</t>
  </si>
  <si>
    <t>このグループのメンバーは、システム全体の設定を変更できます。</t>
  </si>
  <si>
    <t>Distributed COM Users</t>
  </si>
  <si>
    <t>メンバーは、このコンピューターで分散 COM オブジェクトを起動、アクティブ化、および使用できます。</t>
  </si>
  <si>
    <t>Event Log Readers</t>
  </si>
  <si>
    <t>このグループのメンバーは、ローカル コンピューターからイベント ログを読み取ることができます。</t>
  </si>
  <si>
    <t>既定では Users グループのメンバーと同じアクセスがあります。ただし、Guest アカウントは例外で、アクセスがさらに制限されています。</t>
  </si>
  <si>
    <t>Hyper-V Administrators</t>
  </si>
  <si>
    <t>このグループのメンバーには、Hyper-V のすべての機能に対する完全なアクセス権があります。</t>
  </si>
  <si>
    <t>IIS_IUSRS</t>
  </si>
  <si>
    <t>インターネット インフォメーション サービスで使用するビルトイン グループです。</t>
  </si>
  <si>
    <t>Network Configuration Operators</t>
  </si>
  <si>
    <t>このグループのメンバーはネットワーク機能の構成を管理するための管理者特権を持つことができます。</t>
  </si>
  <si>
    <t>Performance Log Users</t>
  </si>
  <si>
    <t>このグループのメンバーは、このコンピューターから、ローカルでもリモート アクセスをとおしてでも、このコンピューターのパフォーマンス カウンターのログをスケジュールし、トレース プロバイダーを有効にし、イベント トレースを</t>
  </si>
  <si>
    <t>Performance Monitor Users</t>
  </si>
  <si>
    <t>このグループのメンバーは、ローカルやリモートのパフォーマンス カウンター データへアクセスできます。</t>
  </si>
  <si>
    <t>Power Users</t>
  </si>
  <si>
    <t>Power Users は、後方互換のためのもので、管理者の権限が制限付きで与えられています。</t>
  </si>
  <si>
    <t>Print Operators</t>
  </si>
  <si>
    <t>ドメイン コントローラーにインストールされているプリンターを管理できます</t>
  </si>
  <si>
    <t>RDS Endpoint Servers</t>
  </si>
  <si>
    <t>このグループのサーバーは、仮想マシンを実行し、ユーザーの RemoteApp プログラムと個人用仮想デスクトップが実行されるセッションをホストします。このグループは、RD 接続ブローカーを実行するサーバーで設定する必要があります。</t>
  </si>
  <si>
    <t>RDS Management Servers</t>
  </si>
  <si>
    <t>このグループのサーバーは、リモート デスクトップ サービスを実行するサーバーで日常的な管理操作を実行できます。このグループは、リモート デスクトップ サービスの展開のすべてのサーバーで設定する必要があります。RDS Central</t>
  </si>
  <si>
    <t>RDS Remote Access Servers</t>
  </si>
  <si>
    <t>このグループのサーバーは、RemoteApp プログラムおよび個人用仮想デスクトップのユーザーがこれらのリソースにアクセスできるようにします。インターネットに接続する展開では、境界ネットワークに展開されるのが一般的です。このグ</t>
  </si>
  <si>
    <t>Remote Desktop Users</t>
  </si>
  <si>
    <t>このグループのメンバーにはリモートからログオンする権利が与えられています。</t>
  </si>
  <si>
    <t>Remote Management Users</t>
  </si>
  <si>
    <t>このグループのメンバーは、管理プロトコル (Windows リモート管理サービス経由の WS-Management など) を介して、WMI リソースにアクセスできます。これは、ユーザーにアクセスを許可している WMI 名前空間にのみ適用されます。</t>
  </si>
  <si>
    <t>Replicator</t>
  </si>
  <si>
    <t>ドメイン内のファイル レプリケーションをサポートします。</t>
  </si>
  <si>
    <t>Storage Replica Administrators</t>
  </si>
  <si>
    <t>このグループのメンバーには、記憶域レプリカのすべての機能に対する完全なアクセス権があります。</t>
  </si>
  <si>
    <t>このグループのメンバーはシステムで管理されています。</t>
  </si>
  <si>
    <t>ユーザーが、システム全体に及ぶ変更を間違ってまたは故意に行うことを防ぎます。ほとんどのアプリケーションを実行することができます。</t>
  </si>
  <si>
    <t>NT AUTHORITY¥IUSR</t>
    <phoneticPr fontId="1"/>
  </si>
  <si>
    <t>NT AUTHORITY¥Authenticated Users
NT AUTHORITY¥INTERACTIVE</t>
    <phoneticPr fontId="1"/>
  </si>
  <si>
    <t>共有名</t>
    <rPh sb="0" eb="3">
      <t>キョウユ</t>
    </rPh>
    <phoneticPr fontId="1"/>
  </si>
  <si>
    <t>フォルダーパス</t>
    <phoneticPr fontId="1"/>
  </si>
  <si>
    <t>オフラインの設定</t>
    <rPh sb="6" eb="8">
      <t>セッテ</t>
    </rPh>
    <phoneticPr fontId="1"/>
  </si>
  <si>
    <t>ADMIN$</t>
    <phoneticPr fontId="1"/>
  </si>
  <si>
    <t>C:¥Windows</t>
    <phoneticPr fontId="1"/>
  </si>
  <si>
    <t>Remote Admin</t>
    <phoneticPr fontId="1"/>
  </si>
  <si>
    <t>無制限</t>
    <rPh sb="0" eb="3">
      <t>ムセイゲ</t>
    </rPh>
    <phoneticPr fontId="1"/>
  </si>
  <si>
    <t>ユーザーが指定したファイルおよびプログラムのみオフラインで利用可能にする</t>
  </si>
  <si>
    <t>オフラインの設定</t>
    <phoneticPr fontId="1"/>
  </si>
  <si>
    <t>BranchCacheを有効にする</t>
    <rPh sb="12" eb="14">
      <t>ユウコ</t>
    </rPh>
    <phoneticPr fontId="1"/>
  </si>
  <si>
    <t>既定値</t>
    <rPh sb="0" eb="3">
      <t>キテ</t>
    </rPh>
    <phoneticPr fontId="1"/>
  </si>
  <si>
    <t>共有フォルダーにあるファイルやプログラムはオフライン手で利用可能にしない</t>
    <rPh sb="0" eb="2">
      <t>キョウユ</t>
    </rPh>
    <rPh sb="26" eb="27">
      <t>テテ</t>
    </rPh>
    <rPh sb="28" eb="32">
      <t>リヨ</t>
    </rPh>
    <phoneticPr fontId="1"/>
  </si>
  <si>
    <t>共有フォルダーからユーザーが開いたファイルとプログラムは、すべて自動的にオフラインで利用可能にする</t>
    <rPh sb="0" eb="1">
      <t>キョウユ</t>
    </rPh>
    <rPh sb="14" eb="15">
      <t>ヒラ</t>
    </rPh>
    <rPh sb="32" eb="35">
      <t>ジド</t>
    </rPh>
    <rPh sb="42" eb="46">
      <t>リヨ</t>
    </rPh>
    <phoneticPr fontId="1"/>
  </si>
  <si>
    <t>パフォーマンスが最適になるようにする</t>
    <rPh sb="8" eb="10">
      <t>サイテキニナル</t>
    </rPh>
    <phoneticPr fontId="1"/>
  </si>
  <si>
    <t>ユーザー数制限</t>
    <rPh sb="5" eb="7">
      <t>セイゲ</t>
    </rPh>
    <phoneticPr fontId="1"/>
  </si>
  <si>
    <t>([コンピューターの管理] - [システムツール] - [共有フォルダー] - [共有])</t>
    <rPh sb="10" eb="12">
      <t>カ</t>
    </rPh>
    <rPh sb="29" eb="31">
      <t>キョウユ</t>
    </rPh>
    <rPh sb="41" eb="43">
      <t>キョウユ</t>
    </rPh>
    <phoneticPr fontId="1"/>
  </si>
  <si>
    <t>インスト−ル状態(初期値)</t>
    <rPh sb="6" eb="8">
      <t>ジョ</t>
    </rPh>
    <rPh sb="9" eb="12">
      <t>ショ</t>
    </rPh>
    <phoneticPr fontId="1"/>
  </si>
  <si>
    <t>■説明</t>
    <rPh sb="1" eb="3">
      <t>セツメ</t>
    </rPh>
    <phoneticPr fontId="1"/>
  </si>
  <si>
    <t>凡例</t>
    <rPh sb="0" eb="2">
      <t>ハンレ</t>
    </rPh>
    <phoneticPr fontId="1"/>
  </si>
  <si>
    <t>項目</t>
    <rPh sb="0" eb="2">
      <t>コウモク</t>
    </rPh>
    <phoneticPr fontId="1"/>
  </si>
  <si>
    <t>リンク</t>
    <phoneticPr fontId="1"/>
  </si>
  <si>
    <t>設定値</t>
    <phoneticPr fontId="1"/>
  </si>
  <si>
    <t>変更有無</t>
    <rPh sb="0" eb="4">
      <t>ヘンコウウム</t>
    </rPh>
    <phoneticPr fontId="1"/>
  </si>
  <si>
    <t>変更</t>
    <rPh sb="0" eb="2">
      <t>ヘンコウ</t>
    </rPh>
    <phoneticPr fontId="1"/>
  </si>
  <si>
    <t>設定項目</t>
    <rPh sb="0" eb="4">
      <t>セッテイコウモク</t>
    </rPh>
    <phoneticPr fontId="1"/>
  </si>
  <si>
    <t>設定値</t>
    <rPh sb="0" eb="3">
      <t>セッテイチ</t>
    </rPh>
    <phoneticPr fontId="1"/>
  </si>
  <si>
    <t>サーバーマネージャー([サーバーマネージャー]-&gt;[ローカルサーバー])</t>
    <phoneticPr fontId="1"/>
  </si>
  <si>
    <t>コンピュータ名/ワークグループ</t>
    <rPh sb="6" eb="7">
      <t>メイ</t>
    </rPh>
    <phoneticPr fontId="1"/>
  </si>
  <si>
    <t>アクティブなドメインネットワーク</t>
    <phoneticPr fontId="1"/>
  </si>
  <si>
    <t>状態</t>
    <rPh sb="0" eb="2">
      <t>ジョウタイ</t>
    </rPh>
    <phoneticPr fontId="1"/>
  </si>
  <si>
    <t>未接続</t>
    <rPh sb="0" eb="3">
      <t>ミセツゾク</t>
    </rPh>
    <phoneticPr fontId="1"/>
  </si>
  <si>
    <t>着信接続</t>
    <rPh sb="0" eb="4">
      <t>チャクシンセツゾク</t>
    </rPh>
    <phoneticPr fontId="1"/>
  </si>
  <si>
    <t>許可されたアプリの一覧にあるアプリも含め、すべての着信接続をブロックします。</t>
    <rPh sb="0" eb="2">
      <t>キョカ</t>
    </rPh>
    <rPh sb="9" eb="11">
      <t>イチラン</t>
    </rPh>
    <rPh sb="18" eb="19">
      <t>フク</t>
    </rPh>
    <rPh sb="25" eb="29">
      <t>チャクシンセツゾク</t>
    </rPh>
    <phoneticPr fontId="1"/>
  </si>
  <si>
    <t>プライバシーの設定</t>
    <rPh sb="7" eb="9">
      <t>セッテイ</t>
    </rPh>
    <phoneticPr fontId="1"/>
  </si>
  <si>
    <t>プライバシーオプションの変更</t>
    <rPh sb="12" eb="14">
      <t>ヘンコウ</t>
    </rPh>
    <phoneticPr fontId="1"/>
  </si>
  <si>
    <t>アプリ間のエクスペリエンスのために、アプリが広告識別子を使うことを許可する</t>
    <rPh sb="3" eb="4">
      <t>アイダ</t>
    </rPh>
    <rPh sb="22" eb="27">
      <t>コウコクシキベツシ</t>
    </rPh>
    <rPh sb="28" eb="29">
      <t>ツカ</t>
    </rPh>
    <rPh sb="33" eb="35">
      <t>キョカ</t>
    </rPh>
    <phoneticPr fontId="1"/>
  </si>
  <si>
    <t>オフ</t>
  </si>
  <si>
    <t>Webサイトが言語リストにアクセスできるようにして、地域に適したコンテンツを表示する</t>
    <rPh sb="7" eb="9">
      <t>ゲンゴ</t>
    </rPh>
    <rPh sb="26" eb="28">
      <t>チイキ</t>
    </rPh>
    <rPh sb="29" eb="30">
      <t>テキ</t>
    </rPh>
    <rPh sb="38" eb="40">
      <t>ヒョウジ</t>
    </rPh>
    <phoneticPr fontId="1"/>
  </si>
  <si>
    <t>Windows 追跡アプリの起動を許可して、スタート画面と検索結果の質を向上する</t>
    <rPh sb="8" eb="10">
      <t>ツイセキ</t>
    </rPh>
    <rPh sb="14" eb="16">
      <t>キドウ</t>
    </rPh>
    <rPh sb="17" eb="19">
      <t>キョカ</t>
    </rPh>
    <rPh sb="26" eb="28">
      <t>ガメン</t>
    </rPh>
    <rPh sb="29" eb="33">
      <t>ケンサクケッカ</t>
    </rPh>
    <rPh sb="34" eb="35">
      <t>シツ</t>
    </rPh>
    <rPh sb="36" eb="38">
      <t>コウジョウ</t>
    </rPh>
    <phoneticPr fontId="1"/>
  </si>
  <si>
    <t>アクティブなプライベートネットワーク</t>
    <phoneticPr fontId="1"/>
  </si>
  <si>
    <t>アクティブなパブリックネットワーク</t>
    <phoneticPr fontId="1"/>
  </si>
  <si>
    <t>ファイアウォールによるアプリケーションの許可</t>
    <rPh sb="20" eb="22">
      <t>キョカ</t>
    </rPh>
    <phoneticPr fontId="1"/>
  </si>
  <si>
    <t>許可されたアプリ及び機能</t>
    <rPh sb="0" eb="2">
      <t>キョカ</t>
    </rPh>
    <rPh sb="8" eb="9">
      <t>オヨ</t>
    </rPh>
    <rPh sb="10" eb="12">
      <t>キノウ</t>
    </rPh>
    <phoneticPr fontId="1"/>
  </si>
  <si>
    <t>12.2.ファイアウォール規則(受信)</t>
    <phoneticPr fontId="1"/>
  </si>
  <si>
    <t>12.3.ファイアウォール規則(送信)</t>
    <phoneticPr fontId="1"/>
  </si>
  <si>
    <t>ファイアウォール通知の設定</t>
    <rPh sb="8" eb="10">
      <t>ツウチ</t>
    </rPh>
    <rPh sb="11" eb="13">
      <t>セッテイ</t>
    </rPh>
    <phoneticPr fontId="1"/>
  </si>
  <si>
    <t>通知</t>
    <rPh sb="0" eb="2">
      <t>ツウチ</t>
    </rPh>
    <phoneticPr fontId="1"/>
  </si>
  <si>
    <t>ウィルスと驚異の防止に関する通知</t>
    <rPh sb="5" eb="7">
      <t>キョウイ</t>
    </rPh>
    <rPh sb="8" eb="10">
      <t>ボウシ</t>
    </rPh>
    <rPh sb="11" eb="12">
      <t>カン</t>
    </rPh>
    <rPh sb="14" eb="16">
      <t>ツウチ</t>
    </rPh>
    <phoneticPr fontId="1"/>
  </si>
  <si>
    <t>情報提供の通知を受け取る</t>
    <rPh sb="0" eb="4">
      <t>ジョウホウテイキョウ</t>
    </rPh>
    <rPh sb="5" eb="7">
      <t>ツウチ</t>
    </rPh>
    <rPh sb="8" eb="9">
      <t>ウ</t>
    </rPh>
    <rPh sb="10" eb="11">
      <t>ト</t>
    </rPh>
    <phoneticPr fontId="1"/>
  </si>
  <si>
    <t>ファイアウォールとネットワーク保護の通知</t>
    <rPh sb="15" eb="17">
      <t>ホゴ</t>
    </rPh>
    <rPh sb="18" eb="20">
      <t>ツウチ</t>
    </rPh>
    <phoneticPr fontId="1"/>
  </si>
  <si>
    <t>Microsoft Defender ファイアウォールで新しいアプリがブロックされたときに通知を受け取る</t>
    <phoneticPr fontId="1"/>
  </si>
  <si>
    <t>最近のアクティビティとスキャン結果</t>
    <rPh sb="0" eb="2">
      <t>サイキン</t>
    </rPh>
    <rPh sb="15" eb="17">
      <t>ケッカ</t>
    </rPh>
    <phoneticPr fontId="1"/>
  </si>
  <si>
    <t>脅威が見つかりましたが、直ちに対処する必要はありません</t>
    <rPh sb="0" eb="2">
      <t>キョウイ</t>
    </rPh>
    <rPh sb="3" eb="4">
      <t>ミ</t>
    </rPh>
    <rPh sb="12" eb="13">
      <t>タダ</t>
    </rPh>
    <rPh sb="15" eb="17">
      <t>タイショ</t>
    </rPh>
    <rPh sb="19" eb="21">
      <t>ヒツヨウ</t>
    </rPh>
    <phoneticPr fontId="1"/>
  </si>
  <si>
    <t>デバイスマネージャー</t>
    <phoneticPr fontId="1"/>
  </si>
  <si>
    <t>※他ドライブがある場合は本項目を追加</t>
    <phoneticPr fontId="1"/>
  </si>
  <si>
    <t>Administratorのユーザー環境変数</t>
    <rPh sb="18" eb="20">
      <t>カンキョ</t>
    </rPh>
    <rPh sb="20" eb="22">
      <t>ヘ</t>
    </rPh>
    <phoneticPr fontId="1"/>
  </si>
  <si>
    <t>Path</t>
    <phoneticPr fontId="1"/>
  </si>
  <si>
    <t>TEMP</t>
    <phoneticPr fontId="1"/>
  </si>
  <si>
    <t>TMP</t>
    <phoneticPr fontId="1"/>
  </si>
  <si>
    <t>リモート管理</t>
    <rPh sb="4" eb="6">
      <t>カンリ</t>
    </rPh>
    <phoneticPr fontId="1"/>
  </si>
  <si>
    <t>NIC チーミング</t>
    <phoneticPr fontId="1"/>
  </si>
  <si>
    <t>オペレーションシステムのバージョン</t>
    <phoneticPr fontId="1"/>
  </si>
  <si>
    <t>ハードウェアの情報</t>
    <rPh sb="7" eb="9">
      <t>ジョウホウ</t>
    </rPh>
    <phoneticPr fontId="1"/>
  </si>
  <si>
    <t>実装メモリ(RAM)</t>
    <rPh sb="0" eb="2">
      <t>ジッソウ</t>
    </rPh>
    <phoneticPr fontId="1"/>
  </si>
  <si>
    <t>全ディスク領域</t>
    <rPh sb="0" eb="1">
      <t>ゼン</t>
    </rPh>
    <rPh sb="5" eb="7">
      <t>リョウイキ</t>
    </rPh>
    <phoneticPr fontId="1"/>
  </si>
  <si>
    <t>ほかのコンピュータからこのサーバーのリモート管理を有効にする</t>
    <rPh sb="22" eb="24">
      <t>カンリ</t>
    </rPh>
    <rPh sb="25" eb="27">
      <t>ユウコウ</t>
    </rPh>
    <phoneticPr fontId="1"/>
  </si>
  <si>
    <t>リモートデスクトップ項目参照</t>
    <rPh sb="10" eb="14">
      <t>コウモクサンショウ</t>
    </rPh>
    <phoneticPr fontId="1"/>
  </si>
  <si>
    <t>チーム名</t>
    <phoneticPr fontId="1"/>
  </si>
  <si>
    <t>メンバーアダプター</t>
    <phoneticPr fontId="1"/>
  </si>
  <si>
    <t>イーサネットアダプタ</t>
    <phoneticPr fontId="1"/>
  </si>
  <si>
    <t>ネットワーク接続[ネットワークアダプター ([コントロール パネル] - [ネットワークとインターネット] - [ネットワーク接続] )]</t>
    <rPh sb="6" eb="8">
      <t>セツゾク</t>
    </rPh>
    <phoneticPr fontId="1"/>
  </si>
  <si>
    <t>ネットワ−クアダプタ名</t>
    <rPh sb="10" eb="11">
      <t>メイ</t>
    </rPh>
    <phoneticPr fontId="1"/>
  </si>
  <si>
    <t>※ネットワークアダプタ数に応じて本項目を追加</t>
    <rPh sb="11" eb="12">
      <t>スウ</t>
    </rPh>
    <rPh sb="13" eb="14">
      <t>オウ</t>
    </rPh>
    <phoneticPr fontId="1"/>
  </si>
  <si>
    <t>更新プログラムの最終インストール日時</t>
    <rPh sb="0" eb="2">
      <t>コウシン</t>
    </rPh>
    <rPh sb="8" eb="10">
      <t>サイシュウ</t>
    </rPh>
    <rPh sb="16" eb="18">
      <t>ニチジ</t>
    </rPh>
    <phoneticPr fontId="1"/>
  </si>
  <si>
    <t>更新とセキュリティ</t>
    <phoneticPr fontId="1"/>
  </si>
  <si>
    <t>更新プログラムの最終確認日時</t>
    <rPh sb="0" eb="2">
      <t>コウシン</t>
    </rPh>
    <rPh sb="8" eb="14">
      <t>サイシュウカクニンニチジ</t>
    </rPh>
    <phoneticPr fontId="1"/>
  </si>
  <si>
    <t>更新の一時停止</t>
    <rPh sb="0" eb="2">
      <t>コウシン</t>
    </rPh>
    <rPh sb="3" eb="7">
      <t>イチジテイシ</t>
    </rPh>
    <phoneticPr fontId="1"/>
  </si>
  <si>
    <t>日付の選択</t>
    <rPh sb="0" eb="2">
      <t>ヒヅケ</t>
    </rPh>
    <rPh sb="3" eb="5">
      <t>センタク</t>
    </rPh>
    <phoneticPr fontId="1"/>
  </si>
  <si>
    <t>配信の最適化</t>
    <rPh sb="0" eb="2">
      <t>ハイシ</t>
    </rPh>
    <rPh sb="3" eb="6">
      <t>サイテ</t>
    </rPh>
    <phoneticPr fontId="1"/>
  </si>
  <si>
    <t>他のPCからのダウンロードを許可する</t>
    <rPh sb="0" eb="1">
      <t>タ</t>
    </rPh>
    <rPh sb="14" eb="16">
      <t>キョ</t>
    </rPh>
    <phoneticPr fontId="1"/>
  </si>
  <si>
    <t>ローカルネットワーク上のPC</t>
    <rPh sb="10" eb="11">
      <t>ジョ</t>
    </rPh>
    <phoneticPr fontId="1"/>
  </si>
  <si>
    <t>ローカルネットワーク上のPCとインターネット上のPC</t>
    <rPh sb="4" eb="5">
      <t>ネットワークジョ</t>
    </rPh>
    <rPh sb="22" eb="23">
      <t>ジョ</t>
    </rPh>
    <phoneticPr fontId="1"/>
  </si>
  <si>
    <t>ダウンロード設定</t>
    <rPh sb="6" eb="8">
      <t>セッテ</t>
    </rPh>
    <phoneticPr fontId="1"/>
  </si>
  <si>
    <t>絶対帯域幅</t>
    <rPh sb="0" eb="1">
      <t>ゼッタイ</t>
    </rPh>
    <rPh sb="1" eb="3">
      <t>タイイ</t>
    </rPh>
    <rPh sb="3" eb="4">
      <t>ハハ</t>
    </rPh>
    <phoneticPr fontId="1"/>
  </si>
  <si>
    <t>バックグラウンドでの更新プログラムのダウンロードに使用される帯域幅の量を制限します</t>
    <rPh sb="10" eb="12">
      <t>コウシ</t>
    </rPh>
    <rPh sb="25" eb="27">
      <t>シヨウサ</t>
    </rPh>
    <rPh sb="30" eb="33">
      <t>タイイ</t>
    </rPh>
    <rPh sb="34" eb="35">
      <t>リョ</t>
    </rPh>
    <rPh sb="36" eb="38">
      <t>セイゲ</t>
    </rPh>
    <phoneticPr fontId="1"/>
  </si>
  <si>
    <t>フォアグラウンドでの更新プログラムのダウンロードに使用される帯域幅の量を制限します</t>
    <rPh sb="10" eb="12">
      <t>コウシ</t>
    </rPh>
    <rPh sb="25" eb="27">
      <t>シヨウサ</t>
    </rPh>
    <rPh sb="30" eb="33">
      <t>タイイ</t>
    </rPh>
    <rPh sb="34" eb="35">
      <t>リョ</t>
    </rPh>
    <rPh sb="36" eb="38">
      <t>セイゲ</t>
    </rPh>
    <phoneticPr fontId="1"/>
  </si>
  <si>
    <t>測定された帯域幅の割合 (更新元に対して測定)</t>
    <rPh sb="0" eb="1">
      <t>ソクテ</t>
    </rPh>
    <rPh sb="4" eb="7">
      <t>タイイ</t>
    </rPh>
    <rPh sb="8" eb="10">
      <t>ワリア</t>
    </rPh>
    <rPh sb="12" eb="15">
      <t>コウシ</t>
    </rPh>
    <rPh sb="16" eb="17">
      <t>タイ</t>
    </rPh>
    <rPh sb="19" eb="21">
      <t>ソクテ</t>
    </rPh>
    <phoneticPr fontId="1"/>
  </si>
  <si>
    <t>アップロードの設定</t>
    <rPh sb="7" eb="9">
      <t>セッテ</t>
    </rPh>
    <phoneticPr fontId="1"/>
  </si>
  <si>
    <t>インターネット上の他のPCへの更新プログラムのアップロードに使用される帯域幅の量を制限します</t>
    <rPh sb="6" eb="7">
      <t>ジョ</t>
    </rPh>
    <rPh sb="8" eb="9">
      <t>タ</t>
    </rPh>
    <rPh sb="14" eb="16">
      <t>コウシンプ</t>
    </rPh>
    <rPh sb="29" eb="31">
      <t>シヨウサ</t>
    </rPh>
    <rPh sb="34" eb="37">
      <t>タイイ</t>
    </rPh>
    <rPh sb="38" eb="39">
      <t>リョ</t>
    </rPh>
    <rPh sb="40" eb="42">
      <t>セイゲ</t>
    </rPh>
    <phoneticPr fontId="1"/>
  </si>
  <si>
    <t>月単位のアップロード上限</t>
    <rPh sb="0" eb="2">
      <t>ツキタン</t>
    </rPh>
    <rPh sb="9" eb="11">
      <t>ジョ</t>
    </rPh>
    <phoneticPr fontId="1"/>
  </si>
  <si>
    <t>除外の追加</t>
    <rPh sb="0" eb="2">
      <t>ジョガイ</t>
    </rPh>
    <rPh sb="3" eb="5">
      <t>ツイカ</t>
    </rPh>
    <phoneticPr fontId="1"/>
  </si>
  <si>
    <t>オン</t>
  </si>
  <si>
    <t>更新とセキュリティ関連設定</t>
    <rPh sb="9" eb="13">
      <t>カンレンセッテイ</t>
    </rPh>
    <phoneticPr fontId="1"/>
  </si>
  <si>
    <t>Microsoft Defender ウィルス対策</t>
    <rPh sb="23" eb="25">
      <t>タイサク</t>
    </rPh>
    <phoneticPr fontId="1"/>
  </si>
  <si>
    <t>フィードバックと診断</t>
    <rPh sb="8" eb="10">
      <t>シンダン</t>
    </rPh>
    <phoneticPr fontId="1"/>
  </si>
  <si>
    <t>診断＆フィードバック</t>
    <rPh sb="0" eb="2">
      <t>シンダン</t>
    </rPh>
    <phoneticPr fontId="1"/>
  </si>
  <si>
    <t>プライバシーオプションの変更</t>
    <rPh sb="12" eb="14">
      <t>ヘンコ</t>
    </rPh>
    <phoneticPr fontId="1"/>
  </si>
  <si>
    <t>アプリ間のエクスペリエンスのために、アプリが広告識別子を使うことを許可する</t>
    <rPh sb="22" eb="24">
      <t>コウコ</t>
    </rPh>
    <rPh sb="24" eb="26">
      <t>シキベ</t>
    </rPh>
    <rPh sb="26" eb="27">
      <t xml:space="preserve">シ </t>
    </rPh>
    <rPh sb="28" eb="29">
      <t>ツカ</t>
    </rPh>
    <rPh sb="33" eb="35">
      <t>キョ</t>
    </rPh>
    <phoneticPr fontId="1"/>
  </si>
  <si>
    <t>Webサイトが言語リストにアクセスできるようにして、地域に適したコンテンツを表示する</t>
    <rPh sb="7" eb="9">
      <t>ゲンコ</t>
    </rPh>
    <rPh sb="26" eb="28">
      <t>チイ</t>
    </rPh>
    <rPh sb="29" eb="30">
      <t>テキ</t>
    </rPh>
    <rPh sb="38" eb="40">
      <t>ヒョ</t>
    </rPh>
    <phoneticPr fontId="1"/>
  </si>
  <si>
    <t>Windows追跡アプリの起動を許可して、スタート画面と検索結果の質を向上する</t>
    <rPh sb="7" eb="9">
      <t>ツイセ</t>
    </rPh>
    <rPh sb="13" eb="15">
      <t>キド</t>
    </rPh>
    <rPh sb="16" eb="18">
      <t>キョ</t>
    </rPh>
    <rPh sb="25" eb="27">
      <t>ガメ</t>
    </rPh>
    <rPh sb="28" eb="32">
      <t>ケンサ</t>
    </rPh>
    <rPh sb="33" eb="34">
      <t>シ</t>
    </rPh>
    <rPh sb="35" eb="37">
      <t>コウジョ</t>
    </rPh>
    <phoneticPr fontId="1"/>
  </si>
  <si>
    <t>音声認識</t>
    <rPh sb="0" eb="4">
      <t>オンセ</t>
    </rPh>
    <phoneticPr fontId="1"/>
  </si>
  <si>
    <t>Microsoftのオンライン音声認識技術を使用するアプリで音声をしてください。</t>
    <rPh sb="15" eb="21">
      <t>オンセ</t>
    </rPh>
    <rPh sb="22" eb="24">
      <t>シヨ</t>
    </rPh>
    <rPh sb="30" eb="32">
      <t>オンセ</t>
    </rPh>
    <phoneticPr fontId="1"/>
  </si>
  <si>
    <t>手書き入力と入力の個人用設定</t>
    <rPh sb="0" eb="2">
      <t>テガ</t>
    </rPh>
    <rPh sb="6" eb="8">
      <t>ニュウ</t>
    </rPh>
    <rPh sb="9" eb="12">
      <t>コジ</t>
    </rPh>
    <rPh sb="12" eb="14">
      <t>セッテ</t>
    </rPh>
    <phoneticPr fontId="1"/>
  </si>
  <si>
    <t>あなたに関する情報の収集</t>
    <rPh sb="4" eb="5">
      <t>カン</t>
    </rPh>
    <rPh sb="7" eb="9">
      <t>ジョウ</t>
    </rPh>
    <rPh sb="10" eb="12">
      <t>シュウシュ</t>
    </rPh>
    <phoneticPr fontId="1"/>
  </si>
  <si>
    <t>入力履歴と手書き入力パターンを使用して、より適切な自分用の候補を表示するためのユーザー辞書を作成します。</t>
    <rPh sb="0" eb="4">
      <t>ニュウ</t>
    </rPh>
    <rPh sb="5" eb="7">
      <t>テガ</t>
    </rPh>
    <rPh sb="8" eb="10">
      <t>ニュウ</t>
    </rPh>
    <rPh sb="15" eb="17">
      <t>シヨ</t>
    </rPh>
    <rPh sb="22" eb="24">
      <t>テキセ</t>
    </rPh>
    <rPh sb="25" eb="28">
      <t>ジブ</t>
    </rPh>
    <rPh sb="29" eb="31">
      <t>コウ</t>
    </rPh>
    <rPh sb="32" eb="34">
      <t>ヒョ</t>
    </rPh>
    <rPh sb="43" eb="45">
      <t xml:space="preserve">ジショヲ </t>
    </rPh>
    <rPh sb="46" eb="48">
      <t>サクセ</t>
    </rPh>
    <phoneticPr fontId="1"/>
  </si>
  <si>
    <t>診断 &amp; フィードバック</t>
    <rPh sb="0" eb="2">
      <t>シンタ</t>
    </rPh>
    <phoneticPr fontId="1"/>
  </si>
  <si>
    <t>必須とオプションの診断データを送信する</t>
    <rPh sb="0" eb="2">
      <t>ヒッ</t>
    </rPh>
    <rPh sb="9" eb="11">
      <t>シンダ</t>
    </rPh>
    <rPh sb="15" eb="17">
      <t>ソウシ</t>
    </rPh>
    <phoneticPr fontId="1"/>
  </si>
  <si>
    <t>手書き入力とタイプ入力を改善する</t>
    <rPh sb="0" eb="2">
      <t>テガキニュ</t>
    </rPh>
    <rPh sb="12" eb="14">
      <t>カイゼ</t>
    </rPh>
    <phoneticPr fontId="1"/>
  </si>
  <si>
    <t>エクスペリエンス調整</t>
    <rPh sb="8" eb="10">
      <t>チョウ</t>
    </rPh>
    <phoneticPr fontId="1"/>
  </si>
  <si>
    <t>診断データを表示する</t>
    <rPh sb="0" eb="2">
      <t>シンタ</t>
    </rPh>
    <rPh sb="6" eb="8">
      <t>ヒョ</t>
    </rPh>
    <phoneticPr fontId="1"/>
  </si>
  <si>
    <t>フィードバックの間隔</t>
    <rPh sb="8" eb="10">
      <t>カンカ</t>
    </rPh>
    <phoneticPr fontId="1"/>
  </si>
  <si>
    <t>アクティビティの履歴</t>
    <rPh sb="8" eb="10">
      <t>リレ</t>
    </rPh>
    <phoneticPr fontId="1"/>
  </si>
  <si>
    <t>このデバイスでのアクティビティの履歴を保存する</t>
    <rPh sb="16" eb="18">
      <t>リレ</t>
    </rPh>
    <rPh sb="19" eb="21">
      <t>ホゾン</t>
    </rPh>
    <phoneticPr fontId="1"/>
  </si>
  <si>
    <t>アクティビティの履歴をMicrosoftに送信する</t>
    <rPh sb="8" eb="10">
      <t>リレ</t>
    </rPh>
    <rPh sb="21" eb="23">
      <t>ソウシ</t>
    </rPh>
    <phoneticPr fontId="1"/>
  </si>
  <si>
    <t>自動 (推奨)</t>
  </si>
  <si>
    <t>IE セキュリティ強化の構成</t>
    <rPh sb="9" eb="11">
      <t>キョウカ</t>
    </rPh>
    <rPh sb="12" eb="14">
      <t>コウセイ</t>
    </rPh>
    <phoneticPr fontId="1"/>
  </si>
  <si>
    <t>Internet Explorer セキュリティ強化の構成</t>
    <rPh sb="24" eb="26">
      <t>キョウカ</t>
    </rPh>
    <rPh sb="27" eb="29">
      <t>コウセイ</t>
    </rPh>
    <phoneticPr fontId="1"/>
  </si>
  <si>
    <t>Administrator グループ</t>
    <phoneticPr fontId="1"/>
  </si>
  <si>
    <t>Users グループ</t>
    <phoneticPr fontId="1"/>
  </si>
  <si>
    <t>日付と時刻</t>
    <rPh sb="0" eb="2">
      <t>ヒヅケ</t>
    </rPh>
    <rPh sb="3" eb="5">
      <t>ジコク</t>
    </rPh>
    <phoneticPr fontId="1"/>
  </si>
  <si>
    <t>日付と時刻の変更</t>
    <rPh sb="0" eb="2">
      <t>ヒヅケ</t>
    </rPh>
    <rPh sb="3" eb="5">
      <t>ジコク</t>
    </rPh>
    <rPh sb="6" eb="8">
      <t>ヘンコウ</t>
    </rPh>
    <phoneticPr fontId="1"/>
  </si>
  <si>
    <t>日付</t>
    <rPh sb="0" eb="2">
      <t>ヒヅケ</t>
    </rPh>
    <phoneticPr fontId="1"/>
  </si>
  <si>
    <t>時刻</t>
    <rPh sb="0" eb="2">
      <t>ジコク</t>
    </rPh>
    <phoneticPr fontId="1"/>
  </si>
  <si>
    <t>タイムゾーンの変更</t>
    <rPh sb="7" eb="9">
      <t>ヘンコウ</t>
    </rPh>
    <phoneticPr fontId="1"/>
  </si>
  <si>
    <t>ライセンス認証</t>
    <rPh sb="5" eb="7">
      <t>ニンショウ</t>
    </rPh>
    <phoneticPr fontId="1"/>
  </si>
  <si>
    <t>プロダクトキー</t>
    <phoneticPr fontId="1"/>
  </si>
  <si>
    <t>接続追加時に記載</t>
  </si>
  <si>
    <t>接続追加時に記載</t>
    <rPh sb="0" eb="4">
      <t>セツゾクツイカ</t>
    </rPh>
    <rPh sb="4" eb="5">
      <t>ジ</t>
    </rPh>
    <rPh sb="6" eb="8">
      <t>キサイ</t>
    </rPh>
    <phoneticPr fontId="1"/>
  </si>
  <si>
    <t>投入コマンド</t>
    <rPh sb="0" eb="2">
      <t>トウニュウ</t>
    </rPh>
    <phoneticPr fontId="1"/>
  </si>
  <si>
    <t>追加有無</t>
    <rPh sb="0" eb="2">
      <t>ツイカ</t>
    </rPh>
    <rPh sb="2" eb="4">
      <t>ウム</t>
    </rPh>
    <phoneticPr fontId="1"/>
  </si>
  <si>
    <t>標準</t>
  </si>
  <si>
    <t>スタートアップの種類(設定値)</t>
    <phoneticPr fontId="1"/>
  </si>
  <si>
    <t>適用有無</t>
    <rPh sb="0" eb="2">
      <t>テキヨウ</t>
    </rPh>
    <rPh sb="2" eb="4">
      <t>ウム</t>
    </rPh>
    <phoneticPr fontId="1"/>
  </si>
  <si>
    <t>インスト−ル状態(設定値)</t>
    <phoneticPr fontId="1"/>
  </si>
  <si>
    <t>備考</t>
    <rPh sb="0" eb="2">
      <t>ビコウ</t>
    </rPh>
    <phoneticPr fontId="1"/>
  </si>
  <si>
    <t>接続先IPアドレス</t>
    <rPh sb="0" eb="3">
      <t>セツゾ</t>
    </rPh>
    <phoneticPr fontId="1"/>
  </si>
  <si>
    <t>ネットマスク</t>
    <phoneticPr fontId="1"/>
  </si>
  <si>
    <t>xxx.xxx.xxx.xxx</t>
    <phoneticPr fontId="1"/>
  </si>
  <si>
    <t>255.255.255.255</t>
    <phoneticPr fontId="1"/>
  </si>
  <si>
    <t>xxx.xxx.xxx.yyy</t>
    <phoneticPr fontId="1"/>
  </si>
  <si>
    <t>記載例
投入コマンド部の値をテキスト等に貼り付けし利用</t>
    <rPh sb="0" eb="3">
      <t>キサイレイ</t>
    </rPh>
    <rPh sb="4" eb="6">
      <t>トウニュウ</t>
    </rPh>
    <rPh sb="10" eb="11">
      <t>ブ</t>
    </rPh>
    <rPh sb="12" eb="13">
      <t>アタイ</t>
    </rPh>
    <rPh sb="18" eb="19">
      <t>トウ</t>
    </rPh>
    <rPh sb="20" eb="21">
      <t>ハ</t>
    </rPh>
    <rPh sb="22" eb="23">
      <t>ツ</t>
    </rPh>
    <rPh sb="25" eb="27">
      <t>リヨウ</t>
    </rPh>
    <phoneticPr fontId="1"/>
  </si>
  <si>
    <t>概要</t>
    <rPh sb="0" eb="2">
      <t>ガイヨウ</t>
    </rPh>
    <phoneticPr fontId="1"/>
  </si>
  <si>
    <t>項版</t>
    <rPh sb="0" eb="1">
      <t>コウ</t>
    </rPh>
    <rPh sb="1" eb="2">
      <t>バン</t>
    </rPh>
    <phoneticPr fontId="1"/>
  </si>
  <si>
    <t>ディスク0以降をコピー</t>
    <rPh sb="5" eb="7">
      <t>イコウ</t>
    </rPh>
    <phoneticPr fontId="1"/>
  </si>
  <si>
    <t>小項番</t>
    <rPh sb="0" eb="1">
      <t>ショウ</t>
    </rPh>
    <rPh sb="1" eb="3">
      <t>コウバン</t>
    </rPh>
    <phoneticPr fontId="1"/>
  </si>
  <si>
    <t>小項番</t>
    <rPh sb="0" eb="3">
      <t>ショウコウバン</t>
    </rPh>
    <phoneticPr fontId="1"/>
  </si>
  <si>
    <t>所属するメンバー(設定値)</t>
    <phoneticPr fontId="1"/>
  </si>
  <si>
    <t>：</t>
    <phoneticPr fontId="1"/>
  </si>
  <si>
    <t>既定値より変更</t>
    <rPh sb="0" eb="3">
      <t>キテイチ</t>
    </rPh>
    <rPh sb="5" eb="7">
      <t>ヘンコウ</t>
    </rPh>
    <phoneticPr fontId="1"/>
  </si>
  <si>
    <t>既定値のまま</t>
    <rPh sb="0" eb="3">
      <t>キテイチ</t>
    </rPh>
    <phoneticPr fontId="1"/>
  </si>
  <si>
    <t>Windows Server 2022のサーバーマネージャーおよび構築時に設定する項目を抜粋しパラメータシート化</t>
    <rPh sb="33" eb="36">
      <t>コウチクジ</t>
    </rPh>
    <rPh sb="37" eb="39">
      <t>セッテイ</t>
    </rPh>
    <rPh sb="41" eb="43">
      <t>コウモク</t>
    </rPh>
    <rPh sb="44" eb="46">
      <t>バッスイ</t>
    </rPh>
    <rPh sb="55" eb="56">
      <t>カ</t>
    </rPh>
    <phoneticPr fontId="1"/>
  </si>
  <si>
    <t>既定値(初期値)は可能な限り設定済み</t>
    <rPh sb="0" eb="3">
      <t>キテイチ</t>
    </rPh>
    <rPh sb="4" eb="7">
      <t>ショキチ</t>
    </rPh>
    <rPh sb="9" eb="11">
      <t>カノウ</t>
    </rPh>
    <rPh sb="12" eb="13">
      <t>カギ</t>
    </rPh>
    <rPh sb="14" eb="16">
      <t>セッテイ</t>
    </rPh>
    <rPh sb="16" eb="17">
      <t>ズ</t>
    </rPh>
    <phoneticPr fontId="1"/>
  </si>
  <si>
    <t>※Standard(GUI)用となります。Core版の場合は初期値が異なる可能性があります。</t>
    <rPh sb="14" eb="15">
      <t>ヨウ</t>
    </rPh>
    <rPh sb="25" eb="26">
      <t>バン</t>
    </rPh>
    <rPh sb="27" eb="29">
      <t>バアイ</t>
    </rPh>
    <rPh sb="30" eb="33">
      <t>ショキチ</t>
    </rPh>
    <rPh sb="34" eb="35">
      <t>コト</t>
    </rPh>
    <rPh sb="37" eb="40">
      <t>カノウセイ</t>
    </rPh>
    <phoneticPr fontId="1"/>
  </si>
  <si>
    <t>変更有無により、既定値からの変更点を分かり易くすることでパラメータチェックの効率化を図ります。</t>
    <rPh sb="0" eb="4">
      <t>ヘンコウウム</t>
    </rPh>
    <rPh sb="8" eb="11">
      <t>キテイチ</t>
    </rPh>
    <rPh sb="14" eb="17">
      <t>ヘンコウテン</t>
    </rPh>
    <rPh sb="18" eb="19">
      <t>ワ</t>
    </rPh>
    <rPh sb="21" eb="22">
      <t>ヤス</t>
    </rPh>
    <rPh sb="38" eb="41">
      <t>コウリツカ</t>
    </rPh>
    <rPh sb="42" eb="43">
      <t>ハカ</t>
    </rPh>
    <phoneticPr fontId="1"/>
  </si>
  <si>
    <t>変更フラグが立っていない項目は既定値のままとなるため、設定時の変更漏れ等の抑止となると思われます。</t>
    <rPh sb="0" eb="2">
      <t>ヘンコウ</t>
    </rPh>
    <rPh sb="6" eb="7">
      <t>タ</t>
    </rPh>
    <rPh sb="12" eb="14">
      <t>コウモク</t>
    </rPh>
    <rPh sb="15" eb="18">
      <t>キテイチ</t>
    </rPh>
    <rPh sb="27" eb="30">
      <t>セッテイジ</t>
    </rPh>
    <rPh sb="31" eb="33">
      <t>ヘンコウ</t>
    </rPh>
    <rPh sb="33" eb="34">
      <t>モ</t>
    </rPh>
    <rPh sb="35" eb="36">
      <t>トウ</t>
    </rPh>
    <rPh sb="37" eb="39">
      <t>ヨクシ</t>
    </rPh>
    <rPh sb="43" eb="44">
      <t>オモ</t>
    </rPh>
    <phoneticPr fontId="1"/>
  </si>
  <si>
    <t>表紙を差し込んでください</t>
    <rPh sb="0" eb="2">
      <t>ヒョウシ</t>
    </rPh>
    <rPh sb="3" eb="4">
      <t>サ</t>
    </rPh>
    <rPh sb="5" eb="6">
      <t>コ</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</si>
</sst>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76" formatCode="General&quot;[MB]&quot;"/>
    <numFmt numFmtId="177" formatCode="General&quot;[GB]&quot;"/>
    <numFmt numFmtId="178" formatCode="General&quot;[秒間]&quot;"/>
    <numFmt numFmtId="179" formatCode="General&quot;[KB]&quot;"/>
    <numFmt numFmtId="180" formatCode="General&quot;[Mbps]&quot;"/>
  </numFmts>
  <fonts count="11" x14ac:knownFonts="1">
    <font>
      <sz val="12"/>
      <color theme="1"/>
      <name val="游ゴシック"/>
      <family val="2"/>
      <charset val="128"/>
      <scheme val="minor"/>
    </font>
    <font>
      <sz val="6"/>
      <name val="游ゴシック"/>
      <family val="2"/>
      <charset val="128"/>
      <scheme val="minor"/>
    </font>
    <font>
      <b/>
      <sz val="12"/>
      <color theme="1"/>
      <name val="游ゴシック"/>
      <family val="3"/>
      <charset val="128"/>
      <scheme val="minor"/>
    </font>
    <font>
      <sz val="12"/>
      <color theme="1"/>
      <name val="游ゴシック"/>
      <family val="3"/>
      <charset val="128"/>
      <scheme val="minor"/>
    </font>
    <font>
      <sz val="12"/>
      <color rgb="FF000000"/>
      <name val="游ゴシック"/>
      <family val="3"/>
      <charset val="128"/>
      <scheme val="minor"/>
    </font>
    <font>
      <sz val="48"/>
      <color theme="1"/>
      <name val="游ゴシック"/>
      <family val="2"/>
      <charset val="128"/>
      <scheme val="minor"/>
    </font>
    <font>
      <u/>
      <sz val="12"/>
      <color theme="10"/>
      <name val="游ゴシック"/>
      <family val="2"/>
      <charset val="128"/>
      <scheme val="minor"/>
    </font>
    <font>
      <b/>
      <sz val="10"/>
      <color theme="1"/>
      <name val="メイリオ"/>
      <family val="3"/>
      <charset val="128"/>
    </font>
    <font>
      <sz val="10"/>
      <color theme="1"/>
      <name val="メイリオ"/>
      <family val="3"/>
      <charset val="128"/>
    </font>
    <font>
      <u/>
      <sz val="10"/>
      <color theme="10"/>
      <name val="メイリオ"/>
      <family val="3"/>
      <charset val="128"/>
    </font>
    <font>
      <sz val="10"/>
      <color rgb="FFFF0000"/>
      <name val="メイリオ"/>
      <family val="3"/>
      <charset val="128"/>
    </font>
  </fonts>
  <fills count="8">
    <fill>
      <patternFill patternType="none"/>
    </fill>
    <fill>
      <patternFill patternType="gray125"/>
    </fill>
    <fill>
      <patternFill patternType="solid">
        <fgColor theme="8" tint="0.79998168889431442"/>
        <bgColor indexed="64"/>
      </patternFill>
    </fill>
    <fill>
      <patternFill patternType="solid">
        <fgColor theme="8"/>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C000"/>
        <bgColor indexed="64"/>
      </patternFill>
    </fill>
    <fill>
      <patternFill patternType="solid">
        <fgColor theme="0" tint="-0.249977111117893"/>
        <bgColor indexed="64"/>
      </patternFill>
    </fill>
  </fills>
  <borders count="46">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thin">
        <color indexed="64"/>
      </left>
      <right style="thin">
        <color indexed="64"/>
      </right>
      <top/>
      <bottom/>
      <diagonal/>
    </border>
    <border>
      <left style="thin">
        <color indexed="64"/>
      </left>
      <right/>
      <top/>
      <bottom/>
      <diagonal/>
    </border>
    <border>
      <left style="thin">
        <color indexed="64"/>
      </left>
      <right/>
      <top/>
      <bottom style="thin">
        <color indexed="64"/>
      </bottom>
      <diagonal/>
    </border>
    <border>
      <left/>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right/>
      <top/>
      <bottom style="thin">
        <color indexed="64"/>
      </bottom>
      <diagonal/>
    </border>
    <border>
      <left/>
      <right style="thin">
        <color indexed="64"/>
      </right>
      <top style="thin">
        <color indexed="64"/>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auto="1"/>
      </left>
      <right/>
      <top style="medium">
        <color auto="1"/>
      </top>
      <bottom style="double">
        <color auto="1"/>
      </bottom>
      <diagonal/>
    </border>
    <border>
      <left/>
      <right/>
      <top style="medium">
        <color auto="1"/>
      </top>
      <bottom style="double">
        <color auto="1"/>
      </bottom>
      <diagonal/>
    </border>
    <border>
      <left/>
      <right style="medium">
        <color auto="1"/>
      </right>
      <top style="medium">
        <color auto="1"/>
      </top>
      <bottom style="double">
        <color auto="1"/>
      </bottom>
      <diagonal/>
    </border>
    <border>
      <left style="hair">
        <color auto="1"/>
      </left>
      <right/>
      <top style="medium">
        <color auto="1"/>
      </top>
      <bottom style="double">
        <color auto="1"/>
      </bottom>
      <diagonal/>
    </border>
    <border>
      <left style="hair">
        <color auto="1"/>
      </left>
      <right/>
      <top/>
      <bottom/>
      <diagonal/>
    </border>
    <border>
      <left style="hair">
        <color auto="1"/>
      </left>
      <right/>
      <top/>
      <bottom style="medium">
        <color auto="1"/>
      </bottom>
      <diagonal/>
    </border>
    <border>
      <left style="thin">
        <color indexed="64"/>
      </left>
      <right style="thin">
        <color indexed="64"/>
      </right>
      <top/>
      <bottom style="double">
        <color indexed="64"/>
      </bottom>
      <diagonal/>
    </border>
    <border>
      <left style="thin">
        <color indexed="64"/>
      </left>
      <right/>
      <top/>
      <bottom style="double">
        <color indexed="64"/>
      </bottom>
      <diagonal/>
    </border>
    <border>
      <left/>
      <right/>
      <top/>
      <bottom style="double">
        <color indexed="64"/>
      </bottom>
      <diagonal/>
    </border>
    <border>
      <left/>
      <right style="thin">
        <color indexed="64"/>
      </right>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style="hair">
        <color indexed="64"/>
      </right>
      <top style="hair">
        <color indexed="64"/>
      </top>
      <bottom style="double">
        <color indexed="64"/>
      </bottom>
      <diagonal/>
    </border>
    <border>
      <left style="hair">
        <color indexed="64"/>
      </left>
      <right style="thin">
        <color indexed="64"/>
      </right>
      <top style="hair">
        <color indexed="64"/>
      </top>
      <bottom style="double">
        <color indexed="64"/>
      </bottom>
      <diagonal/>
    </border>
    <border>
      <left/>
      <right style="thin">
        <color indexed="64"/>
      </right>
      <top style="thin">
        <color indexed="64"/>
      </top>
      <bottom style="hair">
        <color indexed="64"/>
      </bottom>
      <diagonal/>
    </border>
    <border>
      <left/>
      <right/>
      <top style="double">
        <color indexed="64"/>
      </top>
      <bottom style="thin">
        <color indexed="64"/>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style="thin">
        <color auto="1"/>
      </left>
      <right/>
      <top style="medium">
        <color auto="1"/>
      </top>
      <bottom style="double">
        <color auto="1"/>
      </bottom>
      <diagonal/>
    </border>
    <border>
      <left style="thin">
        <color auto="1"/>
      </left>
      <right/>
      <top/>
      <bottom style="medium">
        <color auto="1"/>
      </bottom>
      <diagonal/>
    </border>
    <border>
      <left style="thin">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thin">
        <color indexed="64"/>
      </left>
      <right style="hair">
        <color indexed="64"/>
      </right>
      <top/>
      <bottom style="thin">
        <color indexed="64"/>
      </bottom>
      <diagonal/>
    </border>
    <border>
      <left style="thin">
        <color indexed="64"/>
      </left>
      <right style="hair">
        <color indexed="64"/>
      </right>
      <top style="double">
        <color indexed="64"/>
      </top>
      <bottom/>
      <diagonal/>
    </border>
    <border>
      <left style="thin">
        <color indexed="64"/>
      </left>
      <right style="hair">
        <color indexed="64"/>
      </right>
      <top/>
      <bottom/>
      <diagonal/>
    </border>
    <border>
      <left style="thin">
        <color indexed="64"/>
      </left>
      <right style="thin">
        <color indexed="64"/>
      </right>
      <top style="double">
        <color indexed="64"/>
      </top>
      <bottom/>
      <diagonal/>
    </border>
  </borders>
  <cellStyleXfs count="2">
    <xf numFmtId="0" fontId="0" fillId="0" borderId="0">
      <alignment vertical="center"/>
    </xf>
    <xf numFmtId="0" fontId="6" fillId="0" borderId="0" applyNumberFormat="0" applyFill="0" applyBorder="0" applyAlignment="0" applyProtection="0">
      <alignment vertical="center"/>
    </xf>
  </cellStyleXfs>
  <cellXfs count="240">
    <xf numFmtId="0" fontId="0" fillId="0" borderId="0" xfId="0">
      <alignment vertical="center"/>
    </xf>
    <xf numFmtId="0" fontId="2" fillId="0" borderId="0" xfId="0" applyFont="1">
      <alignment vertical="center"/>
    </xf>
    <xf numFmtId="0" fontId="0" fillId="2" borderId="1" xfId="0" applyFill="1" applyBorder="1" applyAlignment="1">
      <alignment horizontal="center" vertical="center"/>
    </xf>
    <xf numFmtId="0" fontId="0" fillId="0" borderId="1" xfId="0" applyBorder="1">
      <alignment vertical="center"/>
    </xf>
    <xf numFmtId="0" fontId="2" fillId="3" borderId="1" xfId="0" applyFont="1" applyFill="1" applyBorder="1" applyAlignment="1">
      <alignment horizontal="center" vertical="center"/>
    </xf>
    <xf numFmtId="0" fontId="2" fillId="3" borderId="2" xfId="0" applyFont="1" applyFill="1" applyBorder="1" applyAlignment="1">
      <alignment horizontal="center" vertical="center"/>
    </xf>
    <xf numFmtId="0" fontId="2" fillId="3" borderId="3" xfId="0" applyFont="1" applyFill="1" applyBorder="1" applyAlignment="1">
      <alignment horizontal="center" vertical="center"/>
    </xf>
    <xf numFmtId="0" fontId="2" fillId="3" borderId="4" xfId="0" applyFont="1" applyFill="1" applyBorder="1" applyAlignment="1">
      <alignment horizontal="center" vertical="center"/>
    </xf>
    <xf numFmtId="0" fontId="0" fillId="2" borderId="1" xfId="0" applyFill="1" applyBorder="1">
      <alignment vertical="center"/>
    </xf>
    <xf numFmtId="0" fontId="0" fillId="2" borderId="3" xfId="0" applyFill="1" applyBorder="1">
      <alignment vertical="center"/>
    </xf>
    <xf numFmtId="0" fontId="0" fillId="2" borderId="4" xfId="0" applyFill="1" applyBorder="1">
      <alignment vertical="center"/>
    </xf>
    <xf numFmtId="0" fontId="0" fillId="0" borderId="1" xfId="0" applyBorder="1" applyAlignment="1">
      <alignment horizontal="center" vertical="center"/>
    </xf>
    <xf numFmtId="0" fontId="0" fillId="0" borderId="2" xfId="0" applyBorder="1">
      <alignment vertical="center"/>
    </xf>
    <xf numFmtId="0" fontId="0" fillId="0" borderId="3" xfId="0" applyBorder="1">
      <alignment vertical="center"/>
    </xf>
    <xf numFmtId="0" fontId="0" fillId="0" borderId="4" xfId="0" applyBorder="1">
      <alignment vertical="center"/>
    </xf>
    <xf numFmtId="0" fontId="0" fillId="2" borderId="6" xfId="0" applyFill="1" applyBorder="1">
      <alignment vertical="center"/>
    </xf>
    <xf numFmtId="0" fontId="0" fillId="2" borderId="7" xfId="0" applyFill="1" applyBorder="1">
      <alignment vertical="center"/>
    </xf>
    <xf numFmtId="0" fontId="0" fillId="2" borderId="5" xfId="0" applyFill="1" applyBorder="1">
      <alignment vertical="center"/>
    </xf>
    <xf numFmtId="0" fontId="0" fillId="0" borderId="6" xfId="0" applyBorder="1">
      <alignment vertical="center"/>
    </xf>
    <xf numFmtId="0" fontId="0" fillId="0" borderId="7" xfId="0" applyBorder="1">
      <alignment vertical="center"/>
    </xf>
    <xf numFmtId="0" fontId="0" fillId="0" borderId="5" xfId="0" applyBorder="1">
      <alignment vertical="center"/>
    </xf>
    <xf numFmtId="0" fontId="0" fillId="2" borderId="8" xfId="0" applyFill="1" applyBorder="1">
      <alignment vertical="center"/>
    </xf>
    <xf numFmtId="0" fontId="0" fillId="0" borderId="8" xfId="0" applyBorder="1">
      <alignment vertical="center"/>
    </xf>
    <xf numFmtId="0" fontId="0" fillId="0" borderId="1" xfId="0" applyBorder="1" applyAlignment="1">
      <alignment vertical="center" wrapText="1"/>
    </xf>
    <xf numFmtId="0" fontId="0" fillId="2" borderId="9" xfId="0" applyFill="1" applyBorder="1">
      <alignment vertical="center"/>
    </xf>
    <xf numFmtId="0" fontId="0" fillId="2" borderId="0" xfId="0" applyFill="1">
      <alignment vertical="center"/>
    </xf>
    <xf numFmtId="0" fontId="0" fillId="0" borderId="10" xfId="0" applyBorder="1">
      <alignment vertical="center"/>
    </xf>
    <xf numFmtId="0" fontId="0" fillId="2" borderId="10" xfId="0" applyFill="1" applyBorder="1">
      <alignment vertical="center"/>
    </xf>
    <xf numFmtId="0" fontId="0" fillId="2" borderId="11" xfId="0" applyFill="1" applyBorder="1">
      <alignment vertical="center"/>
    </xf>
    <xf numFmtId="0" fontId="0" fillId="2" borderId="12" xfId="0" applyFill="1" applyBorder="1">
      <alignment vertical="center"/>
    </xf>
    <xf numFmtId="0" fontId="0" fillId="2" borderId="13" xfId="0" applyFill="1" applyBorder="1">
      <alignment vertical="center"/>
    </xf>
    <xf numFmtId="0" fontId="0" fillId="2" borderId="2" xfId="0" applyFill="1" applyBorder="1">
      <alignment vertical="center"/>
    </xf>
    <xf numFmtId="0" fontId="0" fillId="0" borderId="11" xfId="0" applyBorder="1">
      <alignment vertical="center"/>
    </xf>
    <xf numFmtId="0" fontId="0" fillId="2" borderId="14" xfId="0" applyFill="1" applyBorder="1">
      <alignment vertical="center"/>
    </xf>
    <xf numFmtId="0" fontId="0" fillId="0" borderId="14" xfId="0" applyBorder="1">
      <alignment vertical="center"/>
    </xf>
    <xf numFmtId="0" fontId="0" fillId="0" borderId="13" xfId="0" applyBorder="1">
      <alignment vertical="center"/>
    </xf>
    <xf numFmtId="0" fontId="0" fillId="0" borderId="9" xfId="0" applyBorder="1">
      <alignment vertical="center"/>
    </xf>
    <xf numFmtId="0" fontId="0" fillId="0" borderId="12" xfId="0" applyBorder="1">
      <alignment vertical="center"/>
    </xf>
    <xf numFmtId="0" fontId="3" fillId="2" borderId="8" xfId="0" applyFont="1" applyFill="1" applyBorder="1">
      <alignment vertical="center"/>
    </xf>
    <xf numFmtId="0" fontId="2" fillId="3" borderId="1" xfId="0" applyFont="1" applyFill="1" applyBorder="1">
      <alignment vertical="center"/>
    </xf>
    <xf numFmtId="22" fontId="0" fillId="0" borderId="1" xfId="0" applyNumberFormat="1" applyBorder="1">
      <alignment vertical="center"/>
    </xf>
    <xf numFmtId="46" fontId="0" fillId="0" borderId="1" xfId="0" applyNumberFormat="1" applyBorder="1">
      <alignment vertical="center"/>
    </xf>
    <xf numFmtId="21" fontId="0" fillId="0" borderId="1" xfId="0" applyNumberFormat="1" applyBorder="1">
      <alignment vertical="center"/>
    </xf>
    <xf numFmtId="14" fontId="0" fillId="0" borderId="1" xfId="0" applyNumberFormat="1" applyBorder="1">
      <alignment vertical="center"/>
    </xf>
    <xf numFmtId="0" fontId="2" fillId="2" borderId="1" xfId="0" applyFont="1" applyFill="1" applyBorder="1">
      <alignment vertical="center"/>
    </xf>
    <xf numFmtId="0" fontId="0" fillId="2" borderId="15" xfId="0" applyFill="1" applyBorder="1">
      <alignment vertical="center"/>
    </xf>
    <xf numFmtId="0" fontId="0" fillId="0" borderId="1" xfId="0" applyBorder="1" applyAlignment="1">
      <alignment horizontal="center" vertical="center" wrapText="1"/>
    </xf>
    <xf numFmtId="0" fontId="0" fillId="2" borderId="1" xfId="0" applyFill="1" applyBorder="1" applyAlignment="1">
      <alignment vertical="center" wrapText="1"/>
    </xf>
    <xf numFmtId="0" fontId="0" fillId="2" borderId="1" xfId="0" applyFill="1" applyBorder="1" applyAlignment="1">
      <alignment horizontal="center" vertical="center" wrapText="1"/>
    </xf>
    <xf numFmtId="176" fontId="0" fillId="0" borderId="1" xfId="0" applyNumberFormat="1" applyBorder="1" applyAlignment="1">
      <alignment vertical="center" wrapText="1"/>
    </xf>
    <xf numFmtId="0" fontId="2" fillId="3" borderId="1" xfId="0" applyFont="1" applyFill="1" applyBorder="1" applyAlignment="1">
      <alignment horizontal="center" vertical="center" wrapText="1"/>
    </xf>
    <xf numFmtId="20" fontId="0" fillId="0" borderId="1" xfId="0" applyNumberFormat="1" applyBorder="1" applyAlignment="1">
      <alignment vertical="center" wrapText="1"/>
    </xf>
    <xf numFmtId="14" fontId="0" fillId="0" borderId="1" xfId="0" applyNumberFormat="1" applyBorder="1" applyAlignment="1">
      <alignment vertical="center" wrapText="1"/>
    </xf>
    <xf numFmtId="0" fontId="6" fillId="0" borderId="3" xfId="1" applyBorder="1">
      <alignment vertical="center"/>
    </xf>
    <xf numFmtId="176" fontId="0" fillId="0" borderId="1" xfId="0" applyNumberFormat="1" applyBorder="1" applyAlignment="1">
      <alignment horizontal="center" vertical="center" wrapText="1"/>
    </xf>
    <xf numFmtId="0" fontId="3" fillId="0" borderId="2" xfId="0" applyFont="1" applyBorder="1">
      <alignment vertical="center"/>
    </xf>
    <xf numFmtId="49" fontId="0" fillId="0" borderId="1" xfId="0" applyNumberFormat="1" applyBorder="1" applyAlignment="1">
      <alignment horizontal="center" vertical="center" wrapText="1"/>
    </xf>
    <xf numFmtId="179" fontId="0" fillId="0" borderId="1" xfId="0" applyNumberFormat="1" applyBorder="1">
      <alignment vertical="center"/>
    </xf>
    <xf numFmtId="0" fontId="4" fillId="0" borderId="1" xfId="0" applyFont="1" applyBorder="1" applyAlignment="1">
      <alignment horizontal="center" vertical="center"/>
    </xf>
    <xf numFmtId="0" fontId="4" fillId="0" borderId="4" xfId="0" applyFont="1" applyBorder="1" applyAlignment="1">
      <alignment horizontal="center" vertical="center"/>
    </xf>
    <xf numFmtId="0" fontId="0" fillId="0" borderId="1" xfId="0" applyBorder="1" applyAlignment="1">
      <alignment vertical="top" wrapText="1"/>
    </xf>
    <xf numFmtId="0" fontId="2" fillId="3" borderId="6" xfId="0" applyFont="1" applyFill="1" applyBorder="1" applyAlignment="1">
      <alignment horizontal="center" vertical="center"/>
    </xf>
    <xf numFmtId="0" fontId="2" fillId="3" borderId="13" xfId="0" applyFont="1" applyFill="1" applyBorder="1" applyAlignment="1">
      <alignment horizontal="center" vertical="center"/>
    </xf>
    <xf numFmtId="0" fontId="2" fillId="3" borderId="9" xfId="0" applyFont="1" applyFill="1" applyBorder="1" applyAlignment="1">
      <alignment horizontal="center" vertical="center"/>
    </xf>
    <xf numFmtId="0" fontId="2" fillId="3" borderId="5" xfId="0" applyFont="1" applyFill="1" applyBorder="1" applyAlignment="1">
      <alignment horizontal="center" vertical="center"/>
    </xf>
    <xf numFmtId="0" fontId="2" fillId="3" borderId="2" xfId="0" applyFont="1" applyFill="1" applyBorder="1">
      <alignment vertical="center"/>
    </xf>
    <xf numFmtId="0" fontId="2" fillId="3" borderId="2" xfId="0" applyFont="1" applyFill="1" applyBorder="1" applyAlignment="1">
      <alignment horizontal="centerContinuous" vertical="center"/>
    </xf>
    <xf numFmtId="0" fontId="2" fillId="3" borderId="3" xfId="0" applyFont="1" applyFill="1" applyBorder="1" applyAlignment="1">
      <alignment horizontal="centerContinuous" vertical="center"/>
    </xf>
    <xf numFmtId="0" fontId="2" fillId="3" borderId="4" xfId="0" applyFont="1" applyFill="1" applyBorder="1" applyAlignment="1">
      <alignment horizontal="centerContinuous" vertical="center"/>
    </xf>
    <xf numFmtId="0" fontId="7" fillId="0" borderId="0" xfId="0" applyFont="1">
      <alignment vertical="center"/>
    </xf>
    <xf numFmtId="0" fontId="8" fillId="0" borderId="0" xfId="0" applyFont="1">
      <alignment vertical="center"/>
    </xf>
    <xf numFmtId="0" fontId="8" fillId="0" borderId="16" xfId="0" applyFont="1" applyBorder="1">
      <alignment vertical="center"/>
    </xf>
    <xf numFmtId="0" fontId="8" fillId="0" borderId="17" xfId="0" applyFont="1" applyBorder="1">
      <alignment vertical="center"/>
    </xf>
    <xf numFmtId="0" fontId="8" fillId="0" borderId="18" xfId="0" applyFont="1" applyBorder="1">
      <alignment vertical="center"/>
    </xf>
    <xf numFmtId="0" fontId="8" fillId="0" borderId="19" xfId="0" applyFont="1" applyBorder="1">
      <alignment vertical="center"/>
    </xf>
    <xf numFmtId="0" fontId="8" fillId="0" borderId="20" xfId="0" applyFont="1" applyBorder="1">
      <alignment vertical="center"/>
    </xf>
    <xf numFmtId="0" fontId="8" fillId="0" borderId="21" xfId="0" applyFont="1" applyBorder="1" applyAlignment="1">
      <alignment horizontal="centerContinuous" vertical="center"/>
    </xf>
    <xf numFmtId="0" fontId="8" fillId="0" borderId="22" xfId="0" applyFont="1" applyBorder="1" applyAlignment="1">
      <alignment horizontal="centerContinuous" vertical="center"/>
    </xf>
    <xf numFmtId="0" fontId="8" fillId="0" borderId="24" xfId="0" applyFont="1" applyBorder="1" applyAlignment="1">
      <alignment horizontal="centerContinuous" vertical="center"/>
    </xf>
    <xf numFmtId="0" fontId="8" fillId="0" borderId="23" xfId="0" applyFont="1" applyBorder="1" applyAlignment="1">
      <alignment horizontal="centerContinuous" vertical="center"/>
    </xf>
    <xf numFmtId="0" fontId="9" fillId="0" borderId="25" xfId="1" applyFont="1" applyBorder="1">
      <alignment vertical="center"/>
    </xf>
    <xf numFmtId="0" fontId="9" fillId="0" borderId="26" xfId="1" applyFont="1" applyBorder="1">
      <alignment vertical="center"/>
    </xf>
    <xf numFmtId="0" fontId="2" fillId="3" borderId="10" xfId="0" applyFont="1" applyFill="1" applyBorder="1" applyAlignment="1">
      <alignment horizontal="center" vertical="center"/>
    </xf>
    <xf numFmtId="0" fontId="2" fillId="3" borderId="1" xfId="0" applyFont="1" applyFill="1" applyBorder="1" applyAlignment="1">
      <alignment horizontal="centerContinuous" vertical="center" wrapText="1"/>
    </xf>
    <xf numFmtId="0" fontId="7" fillId="3" borderId="13" xfId="0" applyFont="1" applyFill="1" applyBorder="1" applyAlignment="1">
      <alignment horizontal="centerContinuous" vertical="center" wrapText="1"/>
    </xf>
    <xf numFmtId="0" fontId="7" fillId="3" borderId="6" xfId="0" applyFont="1" applyFill="1" applyBorder="1" applyAlignment="1">
      <alignment horizontal="center" vertical="center"/>
    </xf>
    <xf numFmtId="0" fontId="8" fillId="0" borderId="1" xfId="0" applyFont="1" applyBorder="1">
      <alignment vertical="center"/>
    </xf>
    <xf numFmtId="0" fontId="8" fillId="2" borderId="6" xfId="0" applyFont="1" applyFill="1" applyBorder="1">
      <alignment vertical="center"/>
    </xf>
    <xf numFmtId="0" fontId="8" fillId="2" borderId="10" xfId="0" applyFont="1" applyFill="1" applyBorder="1">
      <alignment vertical="center"/>
    </xf>
    <xf numFmtId="0" fontId="8" fillId="2" borderId="3" xfId="0" applyFont="1" applyFill="1" applyBorder="1">
      <alignment vertical="center"/>
    </xf>
    <xf numFmtId="0" fontId="8" fillId="2" borderId="4" xfId="0" applyFont="1" applyFill="1" applyBorder="1">
      <alignment vertical="center"/>
    </xf>
    <xf numFmtId="0" fontId="8" fillId="2" borderId="1" xfId="0" applyFont="1" applyFill="1" applyBorder="1" applyAlignment="1">
      <alignment vertical="center" wrapText="1"/>
    </xf>
    <xf numFmtId="0" fontId="8" fillId="2" borderId="8" xfId="0" applyFont="1" applyFill="1" applyBorder="1">
      <alignment vertical="center"/>
    </xf>
    <xf numFmtId="0" fontId="8" fillId="0" borderId="1" xfId="0" applyFont="1" applyBorder="1" applyAlignment="1">
      <alignment horizontal="center" vertical="center" wrapText="1"/>
    </xf>
    <xf numFmtId="0" fontId="8" fillId="0" borderId="1" xfId="0" applyFont="1" applyBorder="1" applyAlignment="1">
      <alignment vertical="center" wrapText="1"/>
    </xf>
    <xf numFmtId="0" fontId="8" fillId="2" borderId="15" xfId="0" applyFont="1" applyFill="1" applyBorder="1">
      <alignment vertical="center"/>
    </xf>
    <xf numFmtId="0" fontId="8" fillId="2" borderId="1" xfId="0" applyFont="1" applyFill="1" applyBorder="1">
      <alignment vertical="center"/>
    </xf>
    <xf numFmtId="0" fontId="8" fillId="2" borderId="14" xfId="0" applyFont="1" applyFill="1" applyBorder="1">
      <alignment vertical="center"/>
    </xf>
    <xf numFmtId="0" fontId="8" fillId="2" borderId="1" xfId="0" applyFont="1" applyFill="1" applyBorder="1" applyAlignment="1">
      <alignment horizontal="center" vertical="center" wrapText="1"/>
    </xf>
    <xf numFmtId="0" fontId="8" fillId="0" borderId="2" xfId="0" applyFont="1" applyBorder="1">
      <alignment vertical="center"/>
    </xf>
    <xf numFmtId="0" fontId="8" fillId="0" borderId="3" xfId="0" applyFont="1" applyBorder="1">
      <alignment vertical="center"/>
    </xf>
    <xf numFmtId="0" fontId="8" fillId="0" borderId="4" xfId="0" applyFont="1" applyBorder="1">
      <alignment vertical="center"/>
    </xf>
    <xf numFmtId="0" fontId="8" fillId="2" borderId="9" xfId="0" applyFont="1" applyFill="1" applyBorder="1">
      <alignment vertical="center"/>
    </xf>
    <xf numFmtId="0" fontId="8" fillId="2" borderId="7" xfId="0" applyFont="1" applyFill="1" applyBorder="1">
      <alignment vertical="center"/>
    </xf>
    <xf numFmtId="0" fontId="8" fillId="0" borderId="7" xfId="0" applyFont="1" applyBorder="1">
      <alignment vertical="center"/>
    </xf>
    <xf numFmtId="0" fontId="8" fillId="2" borderId="0" xfId="0" applyFont="1" applyFill="1">
      <alignment vertical="center"/>
    </xf>
    <xf numFmtId="0" fontId="8" fillId="2" borderId="11" xfId="0" applyFont="1" applyFill="1" applyBorder="1">
      <alignment vertical="center"/>
    </xf>
    <xf numFmtId="0" fontId="8" fillId="2" borderId="5" xfId="0" applyFont="1" applyFill="1" applyBorder="1">
      <alignment vertical="center"/>
    </xf>
    <xf numFmtId="0" fontId="8" fillId="0" borderId="5" xfId="0" applyFont="1" applyBorder="1">
      <alignment vertical="center"/>
    </xf>
    <xf numFmtId="0" fontId="8" fillId="0" borderId="6" xfId="0" applyFont="1" applyBorder="1">
      <alignment vertical="center"/>
    </xf>
    <xf numFmtId="177" fontId="8" fillId="0" borderId="1" xfId="0" applyNumberFormat="1" applyFont="1" applyBorder="1" applyAlignment="1">
      <alignment vertical="center" wrapText="1"/>
    </xf>
    <xf numFmtId="0" fontId="7" fillId="3" borderId="13" xfId="0" applyFont="1" applyFill="1" applyBorder="1" applyAlignment="1">
      <alignment horizontal="center" vertical="center" wrapText="1"/>
    </xf>
    <xf numFmtId="0" fontId="8" fillId="0" borderId="10" xfId="0" applyFont="1" applyBorder="1">
      <alignment vertical="center"/>
    </xf>
    <xf numFmtId="0" fontId="2" fillId="3" borderId="15" xfId="0" applyFont="1" applyFill="1" applyBorder="1" applyAlignment="1">
      <alignment horizontal="center" vertical="center"/>
    </xf>
    <xf numFmtId="0" fontId="2" fillId="3" borderId="13" xfId="0" applyFont="1" applyFill="1" applyBorder="1" applyAlignment="1">
      <alignment horizontal="center" vertical="center" wrapText="1"/>
    </xf>
    <xf numFmtId="0" fontId="7" fillId="3" borderId="13" xfId="0" applyFont="1" applyFill="1" applyBorder="1" applyAlignment="1">
      <alignment horizontal="center" vertical="center"/>
    </xf>
    <xf numFmtId="0" fontId="7" fillId="3" borderId="15" xfId="0" applyFont="1" applyFill="1" applyBorder="1" applyAlignment="1">
      <alignment horizontal="center" vertical="center"/>
    </xf>
    <xf numFmtId="0" fontId="3" fillId="2" borderId="5" xfId="0" applyFont="1" applyFill="1" applyBorder="1" applyAlignment="1">
      <alignment horizontal="center" vertical="center" wrapText="1"/>
    </xf>
    <xf numFmtId="0" fontId="2" fillId="3" borderId="27" xfId="0" applyFont="1" applyFill="1" applyBorder="1" applyAlignment="1">
      <alignment horizontal="center" vertical="center"/>
    </xf>
    <xf numFmtId="0" fontId="2" fillId="3" borderId="28" xfId="0" applyFont="1" applyFill="1" applyBorder="1" applyAlignment="1">
      <alignment horizontal="center" vertical="center"/>
    </xf>
    <xf numFmtId="0" fontId="2" fillId="3" borderId="29" xfId="0" applyFont="1" applyFill="1" applyBorder="1" applyAlignment="1">
      <alignment horizontal="center" vertical="center"/>
    </xf>
    <xf numFmtId="0" fontId="2" fillId="3" borderId="30" xfId="0" applyFont="1" applyFill="1" applyBorder="1" applyAlignment="1">
      <alignment horizontal="center" vertical="center"/>
    </xf>
    <xf numFmtId="0" fontId="2" fillId="3" borderId="27" xfId="0" applyFont="1" applyFill="1" applyBorder="1" applyAlignment="1">
      <alignment horizontal="center" vertical="center" wrapText="1"/>
    </xf>
    <xf numFmtId="0" fontId="2" fillId="3" borderId="31" xfId="0" applyFont="1" applyFill="1" applyBorder="1" applyAlignment="1">
      <alignment horizontal="center" vertical="center" wrapText="1"/>
    </xf>
    <xf numFmtId="0" fontId="2" fillId="3" borderId="13" xfId="0" applyFont="1" applyFill="1" applyBorder="1" applyAlignment="1">
      <alignment horizontal="centerContinuous" vertical="center" wrapText="1"/>
    </xf>
    <xf numFmtId="0" fontId="0" fillId="2" borderId="5" xfId="0" applyFill="1" applyBorder="1" applyAlignment="1">
      <alignment horizontal="center" vertical="center" wrapText="1"/>
    </xf>
    <xf numFmtId="0" fontId="2" fillId="3" borderId="32" xfId="0" applyFont="1" applyFill="1" applyBorder="1" applyAlignment="1">
      <alignment horizontal="center" vertical="center" wrapText="1"/>
    </xf>
    <xf numFmtId="0" fontId="2" fillId="3" borderId="33" xfId="0" applyFont="1" applyFill="1" applyBorder="1" applyAlignment="1">
      <alignment horizontal="center" vertical="center" wrapText="1"/>
    </xf>
    <xf numFmtId="0" fontId="8" fillId="2" borderId="12" xfId="0" applyFont="1" applyFill="1" applyBorder="1">
      <alignment vertical="center"/>
    </xf>
    <xf numFmtId="0" fontId="8" fillId="2" borderId="5" xfId="0" applyFont="1" applyFill="1" applyBorder="1" applyAlignment="1">
      <alignment vertical="center" wrapText="1"/>
    </xf>
    <xf numFmtId="0" fontId="7" fillId="3" borderId="27" xfId="0" applyFont="1" applyFill="1" applyBorder="1" applyAlignment="1">
      <alignment horizontal="center" vertical="center"/>
    </xf>
    <xf numFmtId="0" fontId="7" fillId="3" borderId="28" xfId="0" applyFont="1" applyFill="1" applyBorder="1" applyAlignment="1">
      <alignment horizontal="center" vertical="center"/>
    </xf>
    <xf numFmtId="0" fontId="7" fillId="3" borderId="30" xfId="0" applyFont="1" applyFill="1" applyBorder="1" applyAlignment="1">
      <alignment horizontal="center" vertical="center"/>
    </xf>
    <xf numFmtId="0" fontId="7" fillId="3" borderId="27" xfId="0" applyFont="1" applyFill="1" applyBorder="1" applyAlignment="1">
      <alignment horizontal="center" vertical="center" wrapText="1"/>
    </xf>
    <xf numFmtId="0" fontId="7" fillId="3" borderId="32" xfId="0" applyFont="1" applyFill="1" applyBorder="1" applyAlignment="1">
      <alignment horizontal="center" vertical="center" wrapText="1"/>
    </xf>
    <xf numFmtId="0" fontId="7" fillId="3" borderId="33" xfId="0" applyFont="1" applyFill="1" applyBorder="1" applyAlignment="1">
      <alignment horizontal="center" vertical="center" wrapText="1"/>
    </xf>
    <xf numFmtId="0" fontId="7" fillId="3" borderId="10" xfId="0" applyFont="1" applyFill="1" applyBorder="1" applyAlignment="1">
      <alignment horizontal="center" vertical="center"/>
    </xf>
    <xf numFmtId="0" fontId="7" fillId="3" borderId="1" xfId="0" applyFont="1" applyFill="1" applyBorder="1" applyAlignment="1">
      <alignment horizontal="centerContinuous" vertical="center" wrapText="1"/>
    </xf>
    <xf numFmtId="0" fontId="7" fillId="3" borderId="29" xfId="0" applyFont="1" applyFill="1" applyBorder="1" applyAlignment="1">
      <alignment horizontal="center" vertical="center"/>
    </xf>
    <xf numFmtId="0" fontId="7" fillId="3" borderId="31" xfId="0" applyFont="1" applyFill="1" applyBorder="1" applyAlignment="1">
      <alignment horizontal="center" vertical="center" wrapText="1"/>
    </xf>
    <xf numFmtId="0" fontId="8" fillId="2" borderId="5" xfId="0" applyFont="1" applyFill="1" applyBorder="1" applyAlignment="1">
      <alignment horizontal="center" vertical="center" wrapText="1"/>
    </xf>
    <xf numFmtId="0" fontId="10" fillId="0" borderId="1" xfId="0" applyFont="1" applyBorder="1" applyAlignment="1">
      <alignment vertical="center" wrapText="1"/>
    </xf>
    <xf numFmtId="0" fontId="8" fillId="0" borderId="12" xfId="0" applyFont="1" applyBorder="1">
      <alignment vertical="center"/>
    </xf>
    <xf numFmtId="178" fontId="8" fillId="0" borderId="1" xfId="0" applyNumberFormat="1" applyFont="1" applyBorder="1" applyAlignment="1">
      <alignment vertical="center" wrapText="1"/>
    </xf>
    <xf numFmtId="0" fontId="8" fillId="0" borderId="8" xfId="0" applyFont="1" applyBorder="1">
      <alignment vertical="center"/>
    </xf>
    <xf numFmtId="0" fontId="8" fillId="0" borderId="14" xfId="0" applyFont="1" applyBorder="1">
      <alignment vertical="center"/>
    </xf>
    <xf numFmtId="0" fontId="8" fillId="0" borderId="14" xfId="0" quotePrefix="1" applyFont="1" applyBorder="1">
      <alignment vertical="center"/>
    </xf>
    <xf numFmtId="0" fontId="8" fillId="2" borderId="14" xfId="0" quotePrefix="1" applyFont="1" applyFill="1" applyBorder="1">
      <alignment vertical="center"/>
    </xf>
    <xf numFmtId="0" fontId="8" fillId="2" borderId="6" xfId="0" quotePrefix="1" applyFont="1" applyFill="1" applyBorder="1">
      <alignment vertical="center"/>
    </xf>
    <xf numFmtId="0" fontId="8" fillId="2" borderId="7" xfId="0" quotePrefix="1" applyFont="1" applyFill="1" applyBorder="1">
      <alignment vertical="center"/>
    </xf>
    <xf numFmtId="0" fontId="8" fillId="2" borderId="5" xfId="0" quotePrefix="1" applyFont="1" applyFill="1" applyBorder="1">
      <alignment vertical="center"/>
    </xf>
    <xf numFmtId="0" fontId="8" fillId="2" borderId="3" xfId="0" quotePrefix="1" applyFont="1" applyFill="1" applyBorder="1">
      <alignment vertical="center"/>
    </xf>
    <xf numFmtId="20" fontId="8" fillId="0" borderId="1" xfId="0" applyNumberFormat="1" applyFont="1" applyBorder="1" applyAlignment="1">
      <alignment vertical="center" wrapText="1"/>
    </xf>
    <xf numFmtId="0" fontId="8" fillId="2" borderId="0" xfId="0" quotePrefix="1" applyFont="1" applyFill="1">
      <alignment vertical="center"/>
    </xf>
    <xf numFmtId="0" fontId="8" fillId="2" borderId="8" xfId="0" quotePrefix="1" applyFont="1" applyFill="1" applyBorder="1">
      <alignment vertical="center"/>
    </xf>
    <xf numFmtId="0" fontId="8" fillId="4" borderId="6" xfId="0" applyFont="1" applyFill="1" applyBorder="1">
      <alignment vertical="center"/>
    </xf>
    <xf numFmtId="0" fontId="8" fillId="5" borderId="0" xfId="0" applyFont="1" applyFill="1">
      <alignment vertical="center"/>
    </xf>
    <xf numFmtId="0" fontId="8" fillId="4" borderId="3" xfId="0" applyFont="1" applyFill="1" applyBorder="1">
      <alignment vertical="center"/>
    </xf>
    <xf numFmtId="0" fontId="8" fillId="4" borderId="4" xfId="0" applyFont="1" applyFill="1" applyBorder="1">
      <alignment vertical="center"/>
    </xf>
    <xf numFmtId="0" fontId="8" fillId="4" borderId="1" xfId="0" applyFont="1" applyFill="1" applyBorder="1" applyAlignment="1">
      <alignment horizontal="center" vertical="center" wrapText="1"/>
    </xf>
    <xf numFmtId="0" fontId="8" fillId="5" borderId="3" xfId="0" applyFont="1" applyFill="1" applyBorder="1">
      <alignment vertical="center"/>
    </xf>
    <xf numFmtId="0" fontId="8" fillId="5" borderId="4" xfId="0" applyFont="1" applyFill="1" applyBorder="1">
      <alignment vertical="center"/>
    </xf>
    <xf numFmtId="0" fontId="8" fillId="5" borderId="1" xfId="0" applyFont="1" applyFill="1" applyBorder="1" applyAlignment="1">
      <alignment horizontal="center" vertical="center" wrapText="1"/>
    </xf>
    <xf numFmtId="0" fontId="8" fillId="5" borderId="1" xfId="0" applyFont="1" applyFill="1" applyBorder="1" applyAlignment="1">
      <alignment vertical="center" wrapText="1"/>
    </xf>
    <xf numFmtId="0" fontId="8" fillId="5" borderId="7" xfId="0" applyFont="1" applyFill="1" applyBorder="1">
      <alignment vertical="center"/>
    </xf>
    <xf numFmtId="0" fontId="2" fillId="3" borderId="6" xfId="0" applyFont="1" applyFill="1" applyBorder="1" applyAlignment="1">
      <alignment horizontal="centerContinuous" vertical="center" wrapText="1"/>
    </xf>
    <xf numFmtId="0" fontId="2" fillId="3" borderId="34" xfId="0" applyFont="1" applyFill="1" applyBorder="1" applyAlignment="1">
      <alignment horizontal="centerContinuous" vertical="center" wrapText="1"/>
    </xf>
    <xf numFmtId="0" fontId="0" fillId="2" borderId="35" xfId="0" applyFill="1" applyBorder="1">
      <alignment vertical="center"/>
    </xf>
    <xf numFmtId="0" fontId="0" fillId="4" borderId="6" xfId="0" applyFill="1" applyBorder="1">
      <alignment vertical="center"/>
    </xf>
    <xf numFmtId="0" fontId="0" fillId="4" borderId="7" xfId="0" applyFill="1" applyBorder="1">
      <alignment vertical="center"/>
    </xf>
    <xf numFmtId="0" fontId="0" fillId="4" borderId="5" xfId="0" applyFill="1" applyBorder="1">
      <alignment vertical="center"/>
    </xf>
    <xf numFmtId="0" fontId="0" fillId="4" borderId="3" xfId="0" applyFill="1" applyBorder="1">
      <alignment vertical="center"/>
    </xf>
    <xf numFmtId="0" fontId="0" fillId="4" borderId="4" xfId="0" applyFill="1" applyBorder="1">
      <alignment vertical="center"/>
    </xf>
    <xf numFmtId="0" fontId="0" fillId="4" borderId="1" xfId="0" applyFill="1" applyBorder="1">
      <alignment vertical="center"/>
    </xf>
    <xf numFmtId="0" fontId="0" fillId="5" borderId="6" xfId="0" applyFill="1" applyBorder="1">
      <alignment vertical="center"/>
    </xf>
    <xf numFmtId="0" fontId="0" fillId="5" borderId="8" xfId="0" applyFill="1" applyBorder="1">
      <alignment vertical="center"/>
    </xf>
    <xf numFmtId="0" fontId="0" fillId="5" borderId="7" xfId="0" applyFill="1" applyBorder="1">
      <alignment vertical="center"/>
    </xf>
    <xf numFmtId="0" fontId="0" fillId="5" borderId="10" xfId="0" applyFill="1" applyBorder="1">
      <alignment vertical="center"/>
    </xf>
    <xf numFmtId="0" fontId="0" fillId="5" borderId="5" xfId="0" applyFill="1" applyBorder="1">
      <alignment vertical="center"/>
    </xf>
    <xf numFmtId="0" fontId="0" fillId="5" borderId="3" xfId="0" applyFill="1" applyBorder="1">
      <alignment vertical="center"/>
    </xf>
    <xf numFmtId="0" fontId="0" fillId="5" borderId="4" xfId="0" applyFill="1" applyBorder="1">
      <alignment vertical="center"/>
    </xf>
    <xf numFmtId="0" fontId="0" fillId="5" borderId="1" xfId="0" applyFill="1" applyBorder="1">
      <alignment vertical="center"/>
    </xf>
    <xf numFmtId="0" fontId="8" fillId="0" borderId="13" xfId="0" applyFont="1" applyBorder="1">
      <alignment vertical="center"/>
    </xf>
    <xf numFmtId="0" fontId="8" fillId="0" borderId="15" xfId="0" applyFont="1" applyBorder="1">
      <alignment vertical="center"/>
    </xf>
    <xf numFmtId="0" fontId="8" fillId="0" borderId="13" xfId="0" applyFont="1" applyBorder="1" applyAlignment="1">
      <alignment horizontal="center" vertical="center" wrapText="1"/>
    </xf>
    <xf numFmtId="0" fontId="8" fillId="0" borderId="13" xfId="0" applyFont="1" applyBorder="1" applyAlignment="1">
      <alignment vertical="center" wrapText="1"/>
    </xf>
    <xf numFmtId="0" fontId="8" fillId="5" borderId="6" xfId="0" applyFont="1" applyFill="1" applyBorder="1">
      <alignment vertical="center"/>
    </xf>
    <xf numFmtId="0" fontId="8" fillId="5" borderId="10" xfId="0" applyFont="1" applyFill="1" applyBorder="1">
      <alignment vertical="center"/>
    </xf>
    <xf numFmtId="0" fontId="8" fillId="0" borderId="7" xfId="0" quotePrefix="1" applyFont="1" applyBorder="1">
      <alignment vertical="center"/>
    </xf>
    <xf numFmtId="0" fontId="8" fillId="4" borderId="7" xfId="0" applyFont="1" applyFill="1" applyBorder="1">
      <alignment vertical="center"/>
    </xf>
    <xf numFmtId="0" fontId="8" fillId="4" borderId="8" xfId="0" applyFont="1" applyFill="1" applyBorder="1">
      <alignment vertical="center"/>
    </xf>
    <xf numFmtId="0" fontId="8" fillId="0" borderId="11" xfId="0" applyFont="1" applyBorder="1">
      <alignment vertical="center"/>
    </xf>
    <xf numFmtId="0" fontId="8" fillId="4" borderId="9" xfId="0" applyFont="1" applyFill="1" applyBorder="1">
      <alignment vertical="center"/>
    </xf>
    <xf numFmtId="0" fontId="8" fillId="5" borderId="5" xfId="0" applyFont="1" applyFill="1" applyBorder="1">
      <alignment vertical="center"/>
    </xf>
    <xf numFmtId="0" fontId="8" fillId="2" borderId="2" xfId="0" quotePrefix="1" applyFont="1" applyFill="1" applyBorder="1">
      <alignment vertical="center"/>
    </xf>
    <xf numFmtId="0" fontId="8" fillId="0" borderId="0" xfId="0" quotePrefix="1" applyFont="1">
      <alignment vertical="center"/>
    </xf>
    <xf numFmtId="0" fontId="8" fillId="0" borderId="2" xfId="0" quotePrefix="1" applyFont="1" applyBorder="1">
      <alignment vertical="center"/>
    </xf>
    <xf numFmtId="0" fontId="8" fillId="0" borderId="11" xfId="0" quotePrefix="1" applyFont="1" applyBorder="1">
      <alignment vertical="center"/>
    </xf>
    <xf numFmtId="180" fontId="8" fillId="0" borderId="1" xfId="0" applyNumberFormat="1" applyFont="1" applyBorder="1" applyAlignment="1">
      <alignment vertical="center" wrapText="1"/>
    </xf>
    <xf numFmtId="0" fontId="8" fillId="0" borderId="12" xfId="0" quotePrefix="1" applyFont="1" applyBorder="1">
      <alignment vertical="center"/>
    </xf>
    <xf numFmtId="9" fontId="8" fillId="0" borderId="1" xfId="0" applyNumberFormat="1" applyFont="1" applyBorder="1" applyAlignment="1">
      <alignment vertical="center" wrapText="1"/>
    </xf>
    <xf numFmtId="0" fontId="8" fillId="0" borderId="6" xfId="0" quotePrefix="1" applyFont="1" applyBorder="1">
      <alignment vertical="center"/>
    </xf>
    <xf numFmtId="0" fontId="3" fillId="0" borderId="9" xfId="0" applyFont="1" applyBorder="1">
      <alignment vertical="center"/>
    </xf>
    <xf numFmtId="0" fontId="3" fillId="2" borderId="14" xfId="0" applyFont="1" applyFill="1" applyBorder="1" applyAlignment="1">
      <alignment horizontal="center" vertical="center"/>
    </xf>
    <xf numFmtId="0" fontId="2" fillId="3" borderId="36" xfId="0" applyFont="1" applyFill="1" applyBorder="1" applyAlignment="1">
      <alignment horizontal="center" vertical="center"/>
    </xf>
    <xf numFmtId="0" fontId="2" fillId="3" borderId="37" xfId="0" applyFont="1" applyFill="1" applyBorder="1" applyAlignment="1">
      <alignment horizontal="center" vertical="center"/>
    </xf>
    <xf numFmtId="0" fontId="2" fillId="6" borderId="1" xfId="0" applyFont="1" applyFill="1" applyBorder="1" applyAlignment="1">
      <alignment horizontal="center" vertical="center"/>
    </xf>
    <xf numFmtId="0" fontId="2" fillId="3" borderId="13" xfId="0" applyFont="1" applyFill="1" applyBorder="1" applyAlignment="1">
      <alignment horizontal="centerContinuous" vertical="center"/>
    </xf>
    <xf numFmtId="0" fontId="2" fillId="3" borderId="32" xfId="0" applyFont="1" applyFill="1" applyBorder="1" applyAlignment="1">
      <alignment horizontal="center" vertical="center"/>
    </xf>
    <xf numFmtId="0" fontId="2" fillId="3" borderId="33" xfId="0" applyFont="1" applyFill="1" applyBorder="1" applyAlignment="1">
      <alignment horizontal="center" vertical="center"/>
    </xf>
    <xf numFmtId="0" fontId="0" fillId="2" borderId="5" xfId="0" applyFill="1" applyBorder="1" applyAlignment="1">
      <alignment horizontal="center" vertical="center"/>
    </xf>
    <xf numFmtId="0" fontId="2" fillId="3" borderId="13" xfId="0" applyFont="1" applyFill="1" applyBorder="1">
      <alignment vertical="center"/>
    </xf>
    <xf numFmtId="0" fontId="0" fillId="0" borderId="5" xfId="0" applyBorder="1" applyAlignment="1">
      <alignment horizontal="center" vertical="center"/>
    </xf>
    <xf numFmtId="0" fontId="2" fillId="3" borderId="27" xfId="0" applyFont="1" applyFill="1" applyBorder="1">
      <alignment vertical="center"/>
    </xf>
    <xf numFmtId="0" fontId="2" fillId="3" borderId="31" xfId="0" applyFont="1" applyFill="1" applyBorder="1">
      <alignment vertical="center"/>
    </xf>
    <xf numFmtId="0" fontId="2" fillId="3" borderId="31" xfId="0" applyFont="1" applyFill="1" applyBorder="1" applyAlignment="1">
      <alignment horizontal="center" vertical="center"/>
    </xf>
    <xf numFmtId="0" fontId="0" fillId="7" borderId="1" xfId="0" applyFill="1" applyBorder="1">
      <alignment vertical="center"/>
    </xf>
    <xf numFmtId="0" fontId="0" fillId="7" borderId="1" xfId="0" applyFill="1" applyBorder="1" applyAlignment="1">
      <alignment vertical="center" wrapText="1"/>
    </xf>
    <xf numFmtId="0" fontId="8" fillId="0" borderId="38" xfId="0" applyFont="1" applyBorder="1" applyAlignment="1">
      <alignment horizontal="centerContinuous" vertical="center"/>
    </xf>
    <xf numFmtId="0" fontId="9" fillId="0" borderId="8" xfId="1" applyFont="1" applyBorder="1">
      <alignment vertical="center"/>
    </xf>
    <xf numFmtId="0" fontId="9" fillId="0" borderId="39" xfId="1" applyFont="1" applyBorder="1">
      <alignment vertical="center"/>
    </xf>
    <xf numFmtId="0" fontId="8" fillId="0" borderId="39" xfId="0" applyFont="1" applyBorder="1">
      <alignment vertical="center"/>
    </xf>
    <xf numFmtId="0" fontId="2" fillId="3" borderId="6" xfId="0" applyFont="1" applyFill="1" applyBorder="1" applyAlignment="1">
      <alignment horizontal="centerContinuous" vertical="center"/>
    </xf>
    <xf numFmtId="0" fontId="2" fillId="3" borderId="40" xfId="0" applyFont="1" applyFill="1" applyBorder="1" applyAlignment="1">
      <alignment horizontal="center" vertical="center"/>
    </xf>
    <xf numFmtId="0" fontId="2" fillId="3" borderId="41" xfId="0" applyFont="1" applyFill="1" applyBorder="1" applyAlignment="1">
      <alignment horizontal="center" vertical="center"/>
    </xf>
    <xf numFmtId="0" fontId="2" fillId="3" borderId="42" xfId="0" applyFont="1" applyFill="1" applyBorder="1" applyAlignment="1">
      <alignment horizontal="center" vertical="center"/>
    </xf>
    <xf numFmtId="0" fontId="0" fillId="0" borderId="0" xfId="0" applyAlignment="1">
      <alignment horizontal="center" vertical="justify"/>
    </xf>
    <xf numFmtId="0" fontId="2" fillId="3" borderId="14" xfId="0" applyFont="1" applyFill="1" applyBorder="1" applyAlignment="1">
      <alignment horizontal="center" vertical="center"/>
    </xf>
    <xf numFmtId="0" fontId="2" fillId="3" borderId="12" xfId="0" applyFont="1" applyFill="1" applyBorder="1" applyAlignment="1">
      <alignment horizontal="center" vertical="center"/>
    </xf>
    <xf numFmtId="0" fontId="2" fillId="3" borderId="34" xfId="0" applyFont="1" applyFill="1" applyBorder="1" applyAlignment="1">
      <alignment horizontal="center" vertical="center"/>
    </xf>
    <xf numFmtId="0" fontId="0" fillId="0" borderId="43" xfId="0" applyBorder="1">
      <alignment vertical="center"/>
    </xf>
    <xf numFmtId="0" fontId="0" fillId="0" borderId="44" xfId="0" applyBorder="1">
      <alignment vertical="center"/>
    </xf>
    <xf numFmtId="0" fontId="0" fillId="0" borderId="42" xfId="0" applyBorder="1">
      <alignment vertical="center"/>
    </xf>
    <xf numFmtId="0" fontId="0" fillId="0" borderId="45" xfId="0" applyBorder="1">
      <alignment vertical="center"/>
    </xf>
    <xf numFmtId="0" fontId="5" fillId="0" borderId="6" xfId="0" applyFont="1" applyBorder="1" applyAlignment="1">
      <alignment horizontal="center" vertical="center"/>
    </xf>
    <xf numFmtId="0" fontId="5" fillId="0" borderId="10" xfId="0" applyFont="1" applyBorder="1" applyAlignment="1">
      <alignment horizontal="center" vertical="center"/>
    </xf>
    <xf numFmtId="0" fontId="5" fillId="0" borderId="15" xfId="0" applyFont="1" applyBorder="1" applyAlignment="1">
      <alignment horizontal="center" vertical="center"/>
    </xf>
    <xf numFmtId="0" fontId="5" fillId="0" borderId="9" xfId="0" applyFont="1" applyBorder="1" applyAlignment="1">
      <alignment horizontal="center" vertical="center"/>
    </xf>
    <xf numFmtId="0" fontId="5" fillId="0" borderId="14" xfId="0" applyFont="1" applyBorder="1" applyAlignment="1">
      <alignment horizontal="center" vertical="center"/>
    </xf>
    <xf numFmtId="0" fontId="5" fillId="0" borderId="12" xfId="0" applyFont="1" applyBorder="1" applyAlignment="1">
      <alignment horizontal="center" vertical="center"/>
    </xf>
  </cellXfs>
  <cellStyles count="2">
    <cellStyle name="ハイパーリンク" xfId="1" builtinId="8"/>
    <cellStyle name="標準" xfId="0" builtinId="0"/>
  </cellStyles>
  <dxfs count="20">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ont>
        <u val="none"/>
      </font>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8" Type="http://schemas.openxmlformats.org/officeDocument/2006/relationships/worksheet" Target="worksheets/sheet8.xml"/></Relationships>
</file>

<file path=xl/drawings/drawing1.xml><?xml version="1.0" encoding="utf-8"?>
<xdr:wsDr xmlns:xdr="http://schemas.openxmlformats.org/drawingml/2006/spreadsheetDrawing" xmlns:a="http://schemas.openxmlformats.org/drawingml/2006/main">
  <xdr:twoCellAnchor>
    <xdr:from>
      <xdr:col>1</xdr:col>
      <xdr:colOff>390525</xdr:colOff>
      <xdr:row>1</xdr:row>
      <xdr:rowOff>171450</xdr:rowOff>
    </xdr:from>
    <xdr:to>
      <xdr:col>6</xdr:col>
      <xdr:colOff>771525</xdr:colOff>
      <xdr:row>15</xdr:row>
      <xdr:rowOff>0</xdr:rowOff>
    </xdr:to>
    <xdr:sp macro="" textlink="">
      <xdr:nvSpPr>
        <xdr:cNvPr id="2" name="テキスト ボックス 1">
          <a:extLst>
            <a:ext uri="{FF2B5EF4-FFF2-40B4-BE49-F238E27FC236}">
              <a16:creationId xmlns:a16="http://schemas.microsoft.com/office/drawing/2014/main" id="{B536836F-6DD7-4DAC-AE31-352B2A536550}"/>
            </a:ext>
          </a:extLst>
        </xdr:cNvPr>
        <xdr:cNvSpPr txBox="1"/>
      </xdr:nvSpPr>
      <xdr:spPr>
        <a:xfrm>
          <a:off x="790575" y="381000"/>
          <a:ext cx="11915775" cy="3486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ja-JP" altLang="en-US" sz="1100"/>
            <a:t>未作成</a:t>
          </a:r>
          <a:endParaRPr kumimoji="1" lang="en-US" altLang="ja-JP" sz="1100"/>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5.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46E6D6-8AC5-8842-AAF5-92F90AE7C133}">
  <dimension ref="A1:M3"/>
  <sheetViews>
    <sheetView tabSelected="1" workbookViewId="0">
      <selection activeCell="D8" sqref="D8"/>
    </sheetView>
  </sheetViews>
  <sheetFormatPr defaultColWidth="11.5546875" defaultRowHeight="19.5" x14ac:dyDescent="0.4"/>
  <sheetData>
    <row r="1" spans="1:13" x14ac:dyDescent="0.4">
      <c r="A1" s="1" t="s">
        <v>0</v>
      </c>
    </row>
    <row r="2" spans="1:13" ht="76.5" x14ac:dyDescent="0.4">
      <c r="B2" s="234" t="s">
        <v>3046</v>
      </c>
      <c r="C2" s="235"/>
      <c r="D2" s="235"/>
      <c r="E2" s="235"/>
      <c r="F2" s="235"/>
      <c r="G2" s="235"/>
      <c r="H2" s="235"/>
      <c r="I2" s="235"/>
      <c r="J2" s="235"/>
      <c r="K2" s="235"/>
      <c r="L2" s="235"/>
      <c r="M2" s="236"/>
    </row>
    <row r="3" spans="1:13" ht="76.5" x14ac:dyDescent="0.4">
      <c r="B3" s="237"/>
      <c r="C3" s="238"/>
      <c r="D3" s="238"/>
      <c r="E3" s="238"/>
      <c r="F3" s="238"/>
      <c r="G3" s="238"/>
      <c r="H3" s="238"/>
      <c r="I3" s="238"/>
      <c r="J3" s="238"/>
      <c r="K3" s="238"/>
      <c r="L3" s="238"/>
      <c r="M3" s="239"/>
    </row>
  </sheetData>
  <mergeCells count="2">
    <mergeCell ref="B2:M2"/>
    <mergeCell ref="B3:M3"/>
  </mergeCells>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B3A029-9C2D-4E92-84BE-65DA8DC425BB}">
  <dimension ref="A1"/>
  <sheetViews>
    <sheetView workbookViewId="0">
      <selection activeCell="C28" sqref="C28"/>
    </sheetView>
  </sheetViews>
  <sheetFormatPr defaultRowHeight="19.5" x14ac:dyDescent="0.4"/>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54638E-1311-4441-B35C-0B5F42590641}">
  <dimension ref="A1:AF33"/>
  <sheetViews>
    <sheetView workbookViewId="0">
      <selection activeCell="Q29" sqref="Q29"/>
    </sheetView>
  </sheetViews>
  <sheetFormatPr defaultColWidth="3.33203125" defaultRowHeight="16.5" x14ac:dyDescent="0.4"/>
  <cols>
    <col min="1" max="2" width="3.33203125" style="70"/>
    <col min="3" max="3" width="3.33203125" style="70" customWidth="1"/>
    <col min="4" max="12" width="3.33203125" style="70"/>
    <col min="13" max="13" width="3.33203125" style="70" customWidth="1"/>
    <col min="14" max="25" width="3.33203125" style="70"/>
    <col min="26" max="26" width="3.33203125" style="70" customWidth="1"/>
    <col min="27" max="16384" width="3.33203125" style="70"/>
  </cols>
  <sheetData>
    <row r="1" spans="1:32" ht="17.25" thickBot="1" x14ac:dyDescent="0.45">
      <c r="A1" s="69" t="s">
        <v>1</v>
      </c>
      <c r="B1" s="69"/>
    </row>
    <row r="2" spans="1:32" ht="17.25" thickBot="1" x14ac:dyDescent="0.45">
      <c r="B2" s="76" t="s">
        <v>3033</v>
      </c>
      <c r="C2" s="218" t="s">
        <v>2910</v>
      </c>
      <c r="D2" s="77"/>
      <c r="E2" s="77"/>
      <c r="F2" s="77"/>
      <c r="G2" s="77"/>
      <c r="H2" s="77"/>
      <c r="I2" s="77"/>
      <c r="J2" s="77"/>
      <c r="K2" s="77"/>
      <c r="L2" s="77"/>
      <c r="M2" s="78" t="s">
        <v>2911</v>
      </c>
      <c r="N2" s="77"/>
      <c r="O2" s="77"/>
      <c r="P2" s="77"/>
      <c r="Q2" s="77"/>
      <c r="R2" s="77"/>
      <c r="S2" s="77"/>
      <c r="T2" s="77"/>
      <c r="U2" s="77"/>
      <c r="V2" s="77"/>
      <c r="W2" s="218" t="s">
        <v>3032</v>
      </c>
      <c r="X2" s="77"/>
      <c r="Y2" s="77"/>
      <c r="Z2" s="77"/>
      <c r="AA2" s="77"/>
      <c r="AB2" s="77"/>
      <c r="AC2" s="77"/>
      <c r="AD2" s="77"/>
      <c r="AE2" s="77"/>
      <c r="AF2" s="79"/>
    </row>
    <row r="3" spans="1:32" ht="17.25" thickTop="1" x14ac:dyDescent="0.4">
      <c r="B3" s="71">
        <v>1</v>
      </c>
      <c r="C3" s="144" t="str">
        <f>REPLACE(INDEX(list_SheetNames,ROW(A4)),1,FIND("]",INDEX(list_SheetNames,ROW(A4))),"")</f>
        <v>説明</v>
      </c>
      <c r="M3" s="80" t="str">
        <f>HYPERLINK("#"&amp;C3&amp;"!A1",C3)</f>
        <v>説明</v>
      </c>
      <c r="W3" s="219"/>
      <c r="AF3" s="72"/>
    </row>
    <row r="4" spans="1:32" x14ac:dyDescent="0.4">
      <c r="B4" s="71">
        <f>B3+1</f>
        <v>2</v>
      </c>
      <c r="C4" s="144" t="str">
        <f>REPLACE(INDEX(list_SheetNames,ROW(A5)),1,FIND("]",INDEX(list_SheetNames,ROW(A5))),"")</f>
        <v>1.仮想マシン環境</v>
      </c>
      <c r="M4" s="80" t="str">
        <f t="shared" ref="M4:M30" si="0">HYPERLINK("#"&amp;C4&amp;"!A1",C4)</f>
        <v>1.仮想マシン環境</v>
      </c>
      <c r="W4" s="219"/>
      <c r="AF4" s="72"/>
    </row>
    <row r="5" spans="1:32" x14ac:dyDescent="0.4">
      <c r="B5" s="71">
        <f t="shared" ref="B5:B32" si="1">B4+1</f>
        <v>3</v>
      </c>
      <c r="C5" s="144" t="str">
        <f>REPLACE(INDEX(list_SheetNames,ROW(A6)),1,FIND("]",INDEX(list_SheetNames,ROW(A6))),"")</f>
        <v>2.インストール設定</v>
      </c>
      <c r="M5" s="80" t="str">
        <f t="shared" si="0"/>
        <v>2.インストール設定</v>
      </c>
      <c r="W5" s="219"/>
      <c r="AF5" s="72"/>
    </row>
    <row r="6" spans="1:32" x14ac:dyDescent="0.4">
      <c r="B6" s="71">
        <f t="shared" si="1"/>
        <v>4</v>
      </c>
      <c r="C6" s="144" t="str">
        <f>REPLACE(INDEX(list_SheetNames,ROW(A7)),1,FIND("]",INDEX(list_SheetNames,ROW(A7))),"")</f>
        <v>3.Windows基本設定</v>
      </c>
      <c r="M6" s="80" t="str">
        <f t="shared" si="0"/>
        <v>3.Windows基本設定</v>
      </c>
      <c r="W6" s="219"/>
      <c r="AF6" s="72"/>
    </row>
    <row r="7" spans="1:32" x14ac:dyDescent="0.4">
      <c r="B7" s="71">
        <f t="shared" si="1"/>
        <v>5</v>
      </c>
      <c r="C7" s="144" t="str">
        <f>REPLACE(INDEX(list_SheetNames,ROW(A8)),1,FIND("]",INDEX(list_SheetNames,ROW(A8))),"")</f>
        <v>3.1.ネットワーク</v>
      </c>
      <c r="M7" s="80" t="str">
        <f t="shared" si="0"/>
        <v>3.1.ネットワーク</v>
      </c>
      <c r="W7" s="219"/>
      <c r="AF7" s="72"/>
    </row>
    <row r="8" spans="1:32" x14ac:dyDescent="0.4">
      <c r="B8" s="71">
        <f t="shared" si="1"/>
        <v>6</v>
      </c>
      <c r="C8" s="144" t="str">
        <f>REPLACE(INDEX(list_SheetNames,ROW(A9)),1,FIND("]",INDEX(list_SheetNames,ROW(A9))),"")</f>
        <v>3.1.2.ルーティング</v>
      </c>
      <c r="M8" s="80" t="str">
        <f t="shared" si="0"/>
        <v>3.1.2.ルーティング</v>
      </c>
      <c r="W8" s="219"/>
      <c r="AF8" s="72"/>
    </row>
    <row r="9" spans="1:32" x14ac:dyDescent="0.4">
      <c r="B9" s="71">
        <f t="shared" si="1"/>
        <v>7</v>
      </c>
      <c r="C9" s="144" t="str">
        <f>REPLACE(INDEX(list_SheetNames,ROW(A10)),1,FIND("]",INDEX(list_SheetNames,ROW(A10))),"")</f>
        <v>3.2.Windows Defenderファイアウォール</v>
      </c>
      <c r="M9" s="80" t="str">
        <f t="shared" si="0"/>
        <v>3.2.Windows Defenderファイアウォール</v>
      </c>
      <c r="W9" s="219"/>
      <c r="AF9" s="72"/>
    </row>
    <row r="10" spans="1:32" x14ac:dyDescent="0.4">
      <c r="B10" s="71">
        <f t="shared" si="1"/>
        <v>8</v>
      </c>
      <c r="C10" s="144" t="str">
        <f>REPLACE(INDEX(list_SheetNames,ROW(A11)),1,FIND("]",INDEX(list_SheetNames,ROW(A11))),"")</f>
        <v>3.2.1.ファイアウォール規則(受信)</v>
      </c>
      <c r="M10" s="80" t="str">
        <f t="shared" si="0"/>
        <v>3.2.1.ファイアウォール規則(受信)</v>
      </c>
      <c r="W10" s="219"/>
      <c r="AF10" s="72"/>
    </row>
    <row r="11" spans="1:32" x14ac:dyDescent="0.4">
      <c r="B11" s="71">
        <f t="shared" si="1"/>
        <v>9</v>
      </c>
      <c r="C11" s="144" t="str">
        <f>REPLACE(INDEX(list_SheetNames,ROW(A12)),1,FIND("]",INDEX(list_SheetNames,ROW(A12))),"")</f>
        <v>3.2.2.ファイアウォール規則(送信)</v>
      </c>
      <c r="M11" s="80" t="str">
        <f t="shared" si="0"/>
        <v>3.2.2.ファイアウォール規則(送信)</v>
      </c>
      <c r="W11" s="219"/>
      <c r="AF11" s="72"/>
    </row>
    <row r="12" spans="1:32" x14ac:dyDescent="0.4">
      <c r="B12" s="71">
        <f t="shared" si="1"/>
        <v>10</v>
      </c>
      <c r="C12" s="144" t="str">
        <f>REPLACE(INDEX(list_SheetNames,ROW(A13)),1,FIND("]",INDEX(list_SheetNames,ROW(A13))),"")</f>
        <v>3.3.コントロールパネル(共通)</v>
      </c>
      <c r="M12" s="80" t="str">
        <f t="shared" si="0"/>
        <v>3.3.コントロールパネル(共通)</v>
      </c>
      <c r="W12" s="219"/>
      <c r="AF12" s="72"/>
    </row>
    <row r="13" spans="1:32" x14ac:dyDescent="0.4">
      <c r="B13" s="71">
        <f t="shared" si="1"/>
        <v>11</v>
      </c>
      <c r="C13" s="144" t="str">
        <f>REPLACE(INDEX(list_SheetNames,ROW(A14)),1,FIND("]",INDEX(list_SheetNames,ROW(A14))),"")</f>
        <v>4.ディスク</v>
      </c>
      <c r="M13" s="80" t="str">
        <f t="shared" si="0"/>
        <v>4.ディスク</v>
      </c>
      <c r="W13" s="219"/>
      <c r="AF13" s="72"/>
    </row>
    <row r="14" spans="1:32" x14ac:dyDescent="0.4">
      <c r="B14" s="71">
        <f t="shared" si="1"/>
        <v>12</v>
      </c>
      <c r="C14" s="144" t="str">
        <f>REPLACE(INDEX(list_SheetNames,ROW(A15)),1,FIND("]",INDEX(list_SheetNames,ROW(A15))),"")</f>
        <v>4.2.ボリューム</v>
      </c>
      <c r="M14" s="80" t="str">
        <f t="shared" si="0"/>
        <v>4.2.ボリューム</v>
      </c>
      <c r="W14" s="219"/>
      <c r="AF14" s="72"/>
    </row>
    <row r="15" spans="1:32" x14ac:dyDescent="0.4">
      <c r="B15" s="71">
        <f t="shared" si="1"/>
        <v>13</v>
      </c>
      <c r="C15" s="144" t="str">
        <f>REPLACE(INDEX(list_SheetNames,ROW(A16)),1,FIND("]",INDEX(list_SheetNames,ROW(A16))),"")</f>
        <v>4.3.ドライブのデフラグと最適化</v>
      </c>
      <c r="M15" s="80" t="str">
        <f t="shared" si="0"/>
        <v>4.3.ドライブのデフラグと最適化</v>
      </c>
      <c r="W15" s="219"/>
      <c r="AF15" s="72"/>
    </row>
    <row r="16" spans="1:32" x14ac:dyDescent="0.4">
      <c r="B16" s="71">
        <f t="shared" si="1"/>
        <v>14</v>
      </c>
      <c r="C16" s="144" t="str">
        <f>REPLACE(INDEX(list_SheetNames,ROW(A17)),1,FIND("]",INDEX(list_SheetNames,ROW(A17))),"")</f>
        <v>4.4.シャドウコピー</v>
      </c>
      <c r="M16" s="80" t="str">
        <f t="shared" si="0"/>
        <v>4.4.シャドウコピー</v>
      </c>
      <c r="W16" s="219"/>
      <c r="AF16" s="72"/>
    </row>
    <row r="17" spans="2:32" x14ac:dyDescent="0.4">
      <c r="B17" s="71">
        <f t="shared" si="1"/>
        <v>15</v>
      </c>
      <c r="C17" s="144" t="str">
        <f>REPLACE(INDEX(list_SheetNames,ROW(A18)),1,FIND("]",INDEX(list_SheetNames,ROW(A18))),"")</f>
        <v>4.5.クォータ</v>
      </c>
      <c r="M17" s="80" t="str">
        <f t="shared" si="0"/>
        <v>4.5.クォータ</v>
      </c>
      <c r="W17" s="219"/>
      <c r="AF17" s="72"/>
    </row>
    <row r="18" spans="2:32" x14ac:dyDescent="0.4">
      <c r="B18" s="71">
        <f t="shared" si="1"/>
        <v>16</v>
      </c>
      <c r="C18" s="144" t="str">
        <f>REPLACE(INDEX(list_SheetNames,ROW(A19)),1,FIND("]",INDEX(list_SheetNames,ROW(A19))),"")</f>
        <v>5.役割と機能</v>
      </c>
      <c r="M18" s="80" t="str">
        <f t="shared" si="0"/>
        <v>5.役割と機能</v>
      </c>
      <c r="W18" s="219"/>
      <c r="AF18" s="72"/>
    </row>
    <row r="19" spans="2:32" x14ac:dyDescent="0.4">
      <c r="B19" s="71">
        <f t="shared" si="1"/>
        <v>17</v>
      </c>
      <c r="C19" s="144" t="str">
        <f>REPLACE(INDEX(list_SheetNames,ROW(A20)),1,FIND("]",INDEX(list_SheetNames,ROW(A20))),"")</f>
        <v>6.プログラム</v>
      </c>
      <c r="M19" s="80" t="str">
        <f t="shared" si="0"/>
        <v>6.プログラム</v>
      </c>
      <c r="W19" s="219"/>
      <c r="AF19" s="72"/>
    </row>
    <row r="20" spans="2:32" x14ac:dyDescent="0.4">
      <c r="B20" s="71">
        <f t="shared" si="1"/>
        <v>18</v>
      </c>
      <c r="C20" s="144" t="str">
        <f>REPLACE(INDEX(list_SheetNames,ROW(A21)),1,FIND("]",INDEX(list_SheetNames,ROW(A21))),"")</f>
        <v>6.1.更新プログラム</v>
      </c>
      <c r="M20" s="80" t="str">
        <f t="shared" si="0"/>
        <v>6.1.更新プログラム</v>
      </c>
      <c r="W20" s="219"/>
      <c r="AF20" s="72"/>
    </row>
    <row r="21" spans="2:32" x14ac:dyDescent="0.4">
      <c r="B21" s="71">
        <f t="shared" si="1"/>
        <v>19</v>
      </c>
      <c r="C21" s="144" t="str">
        <f>REPLACE(INDEX(list_SheetNames,ROW(A22)),1,FIND("]",INDEX(list_SheetNames,ROW(A22))),"")</f>
        <v>7.サービス</v>
      </c>
      <c r="M21" s="80" t="str">
        <f t="shared" si="0"/>
        <v>7.サービス</v>
      </c>
      <c r="W21" s="219"/>
      <c r="AF21" s="72"/>
    </row>
    <row r="22" spans="2:32" x14ac:dyDescent="0.4">
      <c r="B22" s="71">
        <f t="shared" si="1"/>
        <v>20</v>
      </c>
      <c r="C22" s="144" t="str">
        <f>REPLACE(INDEX(list_SheetNames,ROW(A23)),1,FIND("]",INDEX(list_SheetNames,ROW(A23))),"")</f>
        <v>8.イベントビューアー</v>
      </c>
      <c r="M22" s="80" t="str">
        <f t="shared" si="0"/>
        <v>8.イベントビューアー</v>
      </c>
      <c r="W22" s="219"/>
      <c r="AF22" s="72"/>
    </row>
    <row r="23" spans="2:32" x14ac:dyDescent="0.4">
      <c r="B23" s="71">
        <f t="shared" si="1"/>
        <v>21</v>
      </c>
      <c r="C23" s="144" t="str">
        <f>REPLACE(INDEX(list_SheetNames,ROW(A24)),1,FIND("]",INDEX(list_SheetNames,ROW(A24))),"")</f>
        <v>9.タスクスケジューラー</v>
      </c>
      <c r="M23" s="80" t="str">
        <f t="shared" si="0"/>
        <v>9.タスクスケジューラー</v>
      </c>
      <c r="W23" s="219"/>
      <c r="AF23" s="72"/>
    </row>
    <row r="24" spans="2:32" x14ac:dyDescent="0.4">
      <c r="B24" s="71">
        <f t="shared" si="1"/>
        <v>22</v>
      </c>
      <c r="C24" s="144" t="str">
        <f>REPLACE(INDEX(list_SheetNames,ROW(A25)),1,FIND("]",INDEX(list_SheetNames,ROW(A25))),"")</f>
        <v>10.ローカルセキュリティポリシー</v>
      </c>
      <c r="M24" s="80" t="str">
        <f t="shared" si="0"/>
        <v>10.ローカルセキュリティポリシー</v>
      </c>
      <c r="W24" s="219"/>
      <c r="AF24" s="72"/>
    </row>
    <row r="25" spans="2:32" x14ac:dyDescent="0.4">
      <c r="B25" s="71">
        <f t="shared" si="1"/>
        <v>23</v>
      </c>
      <c r="C25" s="144" t="str">
        <f>REPLACE(INDEX(list_SheetNames,ROW(A26)),1,FIND("]",INDEX(list_SheetNames,ROW(A26))),"")</f>
        <v>10.1.ローカルセキュリティポリシー2</v>
      </c>
      <c r="M25" s="80" t="str">
        <f t="shared" si="0"/>
        <v>10.1.ローカルセキュリティポリシー2</v>
      </c>
      <c r="W25" s="219"/>
      <c r="AF25" s="72"/>
    </row>
    <row r="26" spans="2:32" x14ac:dyDescent="0.4">
      <c r="B26" s="71">
        <f t="shared" si="1"/>
        <v>24</v>
      </c>
      <c r="C26" s="144" t="str">
        <f>REPLACE(INDEX(list_SheetNames,ROW(A27)),1,FIND("]",INDEX(list_SheetNames,ROW(A27))),"")</f>
        <v>11.ユーザー</v>
      </c>
      <c r="M26" s="80" t="str">
        <f t="shared" si="0"/>
        <v>11.ユーザー</v>
      </c>
      <c r="W26" s="219"/>
      <c r="AF26" s="72"/>
    </row>
    <row r="27" spans="2:32" x14ac:dyDescent="0.4">
      <c r="B27" s="71">
        <f t="shared" si="1"/>
        <v>25</v>
      </c>
      <c r="C27" s="144" t="str">
        <f>REPLACE(INDEX(list_SheetNames,ROW(A28)),1,FIND("]",INDEX(list_SheetNames,ROW(A28))),"")</f>
        <v>12.グループ</v>
      </c>
      <c r="M27" s="80" t="str">
        <f t="shared" si="0"/>
        <v>12.グループ</v>
      </c>
      <c r="W27" s="219"/>
      <c r="AF27" s="72"/>
    </row>
    <row r="28" spans="2:32" x14ac:dyDescent="0.4">
      <c r="B28" s="71">
        <f t="shared" si="1"/>
        <v>26</v>
      </c>
      <c r="C28" s="144"/>
      <c r="M28" s="80"/>
      <c r="W28" s="219"/>
      <c r="AF28" s="72"/>
    </row>
    <row r="29" spans="2:32" x14ac:dyDescent="0.4">
      <c r="B29" s="71">
        <f t="shared" si="1"/>
        <v>27</v>
      </c>
      <c r="C29" s="144"/>
      <c r="M29" s="80"/>
      <c r="W29" s="219"/>
      <c r="AF29" s="72"/>
    </row>
    <row r="30" spans="2:32" x14ac:dyDescent="0.4">
      <c r="B30" s="71">
        <f t="shared" si="1"/>
        <v>28</v>
      </c>
      <c r="C30" s="144"/>
      <c r="M30" s="80"/>
      <c r="W30" s="219"/>
      <c r="AF30" s="72"/>
    </row>
    <row r="31" spans="2:32" x14ac:dyDescent="0.4">
      <c r="B31" s="71">
        <f t="shared" si="1"/>
        <v>29</v>
      </c>
      <c r="C31" s="144"/>
      <c r="M31" s="80"/>
      <c r="W31" s="219"/>
      <c r="AF31" s="72"/>
    </row>
    <row r="32" spans="2:32" ht="17.25" thickBot="1" x14ac:dyDescent="0.45">
      <c r="B32" s="73">
        <f t="shared" si="1"/>
        <v>30</v>
      </c>
      <c r="C32" s="221"/>
      <c r="D32" s="74"/>
      <c r="E32" s="74"/>
      <c r="F32" s="74"/>
      <c r="G32" s="74"/>
      <c r="H32" s="74"/>
      <c r="I32" s="74"/>
      <c r="J32" s="74"/>
      <c r="K32" s="74"/>
      <c r="L32" s="74"/>
      <c r="M32" s="81"/>
      <c r="N32" s="74"/>
      <c r="O32" s="74"/>
      <c r="P32" s="74"/>
      <c r="Q32" s="74"/>
      <c r="R32" s="74"/>
      <c r="S32" s="74"/>
      <c r="T32" s="74"/>
      <c r="U32" s="74"/>
      <c r="V32" s="74"/>
      <c r="W32" s="220"/>
      <c r="X32" s="74"/>
      <c r="Y32" s="74"/>
      <c r="Z32" s="74"/>
      <c r="AA32" s="74"/>
      <c r="AB32" s="74"/>
      <c r="AC32" s="74"/>
      <c r="AD32" s="74"/>
      <c r="AE32" s="74"/>
      <c r="AF32" s="75"/>
    </row>
    <row r="33" spans="13:13" x14ac:dyDescent="0.4">
      <c r="M33" s="69"/>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EC5B0F-5194-5748-B55F-6238BE844683}">
  <dimension ref="A1:F13"/>
  <sheetViews>
    <sheetView workbookViewId="0">
      <selection activeCell="B8" sqref="B8"/>
    </sheetView>
  </sheetViews>
  <sheetFormatPr defaultColWidth="3.33203125" defaultRowHeight="19.5" x14ac:dyDescent="0.4"/>
  <sheetData>
    <row r="1" spans="1:6" x14ac:dyDescent="0.4">
      <c r="A1" s="1" t="s">
        <v>2908</v>
      </c>
    </row>
    <row r="2" spans="1:6" x14ac:dyDescent="0.4">
      <c r="B2" t="s">
        <v>3041</v>
      </c>
    </row>
    <row r="3" spans="1:6" x14ac:dyDescent="0.4">
      <c r="B3" t="s">
        <v>3042</v>
      </c>
    </row>
    <row r="4" spans="1:6" x14ac:dyDescent="0.4">
      <c r="B4" t="s">
        <v>3043</v>
      </c>
    </row>
    <row r="6" spans="1:6" x14ac:dyDescent="0.4">
      <c r="B6" t="s">
        <v>3044</v>
      </c>
    </row>
    <row r="7" spans="1:6" x14ac:dyDescent="0.4">
      <c r="B7" t="s">
        <v>3045</v>
      </c>
    </row>
    <row r="10" spans="1:6" x14ac:dyDescent="0.4">
      <c r="A10" s="1" t="s">
        <v>2909</v>
      </c>
    </row>
    <row r="11" spans="1:6" x14ac:dyDescent="0.4">
      <c r="B11" s="1" t="s">
        <v>2913</v>
      </c>
    </row>
    <row r="12" spans="1:6" x14ac:dyDescent="0.4">
      <c r="B12" s="1" t="s">
        <v>1754</v>
      </c>
      <c r="E12" t="s">
        <v>3038</v>
      </c>
      <c r="F12" t="s">
        <v>3040</v>
      </c>
    </row>
    <row r="13" spans="1:6" x14ac:dyDescent="0.4">
      <c r="B13" s="1" t="s">
        <v>2914</v>
      </c>
      <c r="E13" t="s">
        <v>3038</v>
      </c>
      <c r="F13" t="s">
        <v>3039</v>
      </c>
    </row>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9C9D63-7225-4CA1-8BD5-E06A6D38D468}">
  <sheetPr>
    <tabColor rgb="FFFF0000"/>
  </sheetPr>
  <dimension ref="A1:G14"/>
  <sheetViews>
    <sheetView workbookViewId="0">
      <selection activeCell="C27" sqref="C27"/>
    </sheetView>
  </sheetViews>
  <sheetFormatPr defaultColWidth="11.5546875" defaultRowHeight="16.5" x14ac:dyDescent="0.4"/>
  <cols>
    <col min="1" max="2" width="4.6640625" style="70" customWidth="1"/>
    <col min="3" max="3" width="60.6640625" style="70" customWidth="1"/>
    <col min="4" max="4" width="30.88671875" style="70" bestFit="1" customWidth="1"/>
    <col min="5" max="5" width="7.44140625" style="70" bestFit="1" customWidth="1"/>
    <col min="6" max="6" width="30.88671875" style="70" bestFit="1" customWidth="1"/>
    <col min="7" max="7" width="30.6640625" style="70" customWidth="1"/>
    <col min="8" max="16384" width="11.5546875" style="70"/>
  </cols>
  <sheetData>
    <row r="1" spans="1:7" x14ac:dyDescent="0.4">
      <c r="A1" s="69" t="str">
        <f ca="1">RIGHT(CELL("filename",A1),LEN(CELL("filename",A1))-FIND("]",CELL("filename",A1)))</f>
        <v>1.仮想マシン環境</v>
      </c>
    </row>
    <row r="3" spans="1:7" x14ac:dyDescent="0.4">
      <c r="A3" s="115" t="s">
        <v>3</v>
      </c>
      <c r="B3" s="85" t="s">
        <v>4</v>
      </c>
      <c r="C3" s="116"/>
      <c r="D3" s="111" t="s">
        <v>14</v>
      </c>
      <c r="E3" s="84" t="s">
        <v>2915</v>
      </c>
      <c r="F3" s="84"/>
      <c r="G3" s="111" t="s">
        <v>5</v>
      </c>
    </row>
    <row r="4" spans="1:7" ht="17.25" thickBot="1" x14ac:dyDescent="0.45">
      <c r="A4" s="130"/>
      <c r="B4" s="131"/>
      <c r="C4" s="132"/>
      <c r="D4" s="133"/>
      <c r="E4" s="134" t="s">
        <v>2913</v>
      </c>
      <c r="F4" s="135" t="s">
        <v>2912</v>
      </c>
      <c r="G4" s="133"/>
    </row>
    <row r="5" spans="1:7" ht="17.25" thickTop="1" x14ac:dyDescent="0.4">
      <c r="A5" s="108">
        <v>1</v>
      </c>
      <c r="B5" s="92"/>
      <c r="C5" s="128"/>
      <c r="D5" s="129"/>
      <c r="E5" s="129"/>
      <c r="F5" s="129"/>
      <c r="G5" s="129"/>
    </row>
    <row r="6" spans="1:7" x14ac:dyDescent="0.4">
      <c r="A6" s="86">
        <f t="shared" ref="A6:A14" si="0">A5+1</f>
        <v>2</v>
      </c>
      <c r="B6" s="92"/>
      <c r="C6" s="86" t="s">
        <v>1234</v>
      </c>
      <c r="D6" s="93" t="s">
        <v>1239</v>
      </c>
      <c r="E6" s="93"/>
      <c r="F6" s="93" t="s">
        <v>1239</v>
      </c>
      <c r="G6" s="94"/>
    </row>
    <row r="7" spans="1:7" x14ac:dyDescent="0.4">
      <c r="A7" s="86">
        <f t="shared" si="0"/>
        <v>3</v>
      </c>
      <c r="B7" s="87" t="s">
        <v>64</v>
      </c>
      <c r="C7" s="90"/>
      <c r="D7" s="91"/>
      <c r="E7" s="91"/>
      <c r="F7" s="91"/>
      <c r="G7" s="91"/>
    </row>
    <row r="8" spans="1:7" x14ac:dyDescent="0.4">
      <c r="A8" s="86">
        <f t="shared" si="0"/>
        <v>4</v>
      </c>
      <c r="B8" s="92"/>
      <c r="C8" s="86" t="s">
        <v>1243</v>
      </c>
      <c r="D8" s="94" t="s">
        <v>66</v>
      </c>
      <c r="E8" s="94"/>
      <c r="F8" s="94" t="s">
        <v>66</v>
      </c>
      <c r="G8" s="94"/>
    </row>
    <row r="9" spans="1:7" x14ac:dyDescent="0.4">
      <c r="A9" s="86">
        <f t="shared" si="0"/>
        <v>5</v>
      </c>
      <c r="B9" s="92"/>
      <c r="C9" s="86" t="s">
        <v>65</v>
      </c>
      <c r="D9" s="94" t="s">
        <v>66</v>
      </c>
      <c r="E9" s="94"/>
      <c r="F9" s="94" t="s">
        <v>66</v>
      </c>
      <c r="G9" s="94"/>
    </row>
    <row r="10" spans="1:7" x14ac:dyDescent="0.4">
      <c r="A10" s="86">
        <f t="shared" si="0"/>
        <v>6</v>
      </c>
      <c r="B10" s="92"/>
      <c r="C10" s="86" t="s">
        <v>1244</v>
      </c>
      <c r="D10" s="94" t="s">
        <v>67</v>
      </c>
      <c r="E10" s="94"/>
      <c r="F10" s="94" t="s">
        <v>67</v>
      </c>
      <c r="G10" s="94"/>
    </row>
    <row r="11" spans="1:7" x14ac:dyDescent="0.4">
      <c r="A11" s="86">
        <f t="shared" si="0"/>
        <v>7</v>
      </c>
      <c r="B11" s="102"/>
      <c r="C11" s="86" t="s">
        <v>1245</v>
      </c>
      <c r="D11" s="94" t="s">
        <v>1246</v>
      </c>
      <c r="E11" s="94"/>
      <c r="F11" s="94" t="s">
        <v>1246</v>
      </c>
      <c r="G11" s="94"/>
    </row>
    <row r="12" spans="1:7" ht="42" customHeight="1" x14ac:dyDescent="0.4">
      <c r="A12" s="86">
        <f t="shared" si="0"/>
        <v>8</v>
      </c>
      <c r="B12" s="182" t="s">
        <v>1247</v>
      </c>
      <c r="C12" s="86"/>
      <c r="D12" s="94" t="s">
        <v>1233</v>
      </c>
      <c r="E12" s="94"/>
      <c r="F12" s="94" t="s">
        <v>1233</v>
      </c>
      <c r="G12" s="94"/>
    </row>
    <row r="13" spans="1:7" ht="42" customHeight="1" x14ac:dyDescent="0.4">
      <c r="A13" s="86">
        <f t="shared" si="0"/>
        <v>9</v>
      </c>
      <c r="B13" s="108"/>
      <c r="C13" s="86" t="s">
        <v>1610</v>
      </c>
      <c r="D13" s="94"/>
      <c r="E13" s="94"/>
      <c r="F13" s="94"/>
      <c r="G13" s="94"/>
    </row>
    <row r="14" spans="1:7" ht="21" customHeight="1" x14ac:dyDescent="0.4">
      <c r="A14" s="86">
        <f t="shared" si="0"/>
        <v>10</v>
      </c>
      <c r="B14" s="86" t="s">
        <v>1248</v>
      </c>
      <c r="C14" s="86"/>
      <c r="D14" s="94" t="s">
        <v>1239</v>
      </c>
      <c r="E14" s="94"/>
      <c r="F14" s="94" t="s">
        <v>1249</v>
      </c>
      <c r="G14" s="94"/>
    </row>
  </sheetData>
  <phoneticPr fontId="1"/>
  <conditionalFormatting sqref="F5:F14">
    <cfRule type="expression" dxfId="19" priority="1">
      <formula>$D5&lt;&gt;$F5</formula>
    </cfRule>
  </conditionalFormatting>
  <dataValidations count="1">
    <dataValidation type="list" allowBlank="1" showInputMessage="1" showErrorMessage="1" sqref="E6 E8:E14" xr:uid="{0A0DA1EB-DD4C-41DF-84BC-5D9E39608A56}">
      <formula1>"-,変更"</formula1>
    </dataValidation>
  </dataValidation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12BA8F-EF8E-E14A-87E4-8B9A5BD7B715}">
  <dimension ref="A1:G14"/>
  <sheetViews>
    <sheetView zoomScale="90" zoomScaleNormal="90" workbookViewId="0">
      <selection activeCell="D19" sqref="D19"/>
    </sheetView>
  </sheetViews>
  <sheetFormatPr defaultColWidth="11.5546875" defaultRowHeight="16.5" x14ac:dyDescent="0.4"/>
  <cols>
    <col min="1" max="2" width="4.6640625" style="70" customWidth="1"/>
    <col min="3" max="3" width="60.6640625" style="70" customWidth="1"/>
    <col min="4" max="4" width="30.88671875" style="70" bestFit="1" customWidth="1"/>
    <col min="5" max="5" width="7.44140625" style="70" bestFit="1" customWidth="1"/>
    <col min="6" max="6" width="30.88671875" style="70" bestFit="1" customWidth="1"/>
    <col min="7" max="7" width="30.6640625" style="70" customWidth="1"/>
    <col min="8" max="16384" width="11.5546875" style="70"/>
  </cols>
  <sheetData>
    <row r="1" spans="1:7" x14ac:dyDescent="0.4">
      <c r="A1" s="69" t="str">
        <f ca="1">RIGHT(CELL("filename",A1),LEN(CELL("filename",A1))-FIND("]",CELL("filename",A1)))</f>
        <v>2.インストール設定</v>
      </c>
    </row>
    <row r="3" spans="1:7" x14ac:dyDescent="0.4">
      <c r="A3" s="115" t="s">
        <v>3</v>
      </c>
      <c r="B3" s="85" t="s">
        <v>4</v>
      </c>
      <c r="C3" s="116"/>
      <c r="D3" s="111" t="s">
        <v>14</v>
      </c>
      <c r="E3" s="84" t="s">
        <v>2915</v>
      </c>
      <c r="F3" s="84"/>
      <c r="G3" s="111" t="s">
        <v>5</v>
      </c>
    </row>
    <row r="4" spans="1:7" ht="17.25" thickBot="1" x14ac:dyDescent="0.45">
      <c r="A4" s="130"/>
      <c r="B4" s="131"/>
      <c r="C4" s="132"/>
      <c r="D4" s="133"/>
      <c r="E4" s="134" t="s">
        <v>2913</v>
      </c>
      <c r="F4" s="135" t="s">
        <v>2912</v>
      </c>
      <c r="G4" s="133"/>
    </row>
    <row r="5" spans="1:7" ht="17.25" thickTop="1" x14ac:dyDescent="0.4">
      <c r="A5" s="108">
        <v>1</v>
      </c>
      <c r="B5" s="92" t="s">
        <v>1242</v>
      </c>
      <c r="C5" s="128"/>
      <c r="D5" s="129"/>
      <c r="E5" s="129"/>
      <c r="F5" s="129"/>
      <c r="G5" s="129"/>
    </row>
    <row r="6" spans="1:7" x14ac:dyDescent="0.4">
      <c r="A6" s="86">
        <f t="shared" ref="A6:A14" si="0">A5+1</f>
        <v>2</v>
      </c>
      <c r="B6" s="92"/>
      <c r="C6" s="86" t="s">
        <v>1234</v>
      </c>
      <c r="D6" s="93" t="s">
        <v>1239</v>
      </c>
      <c r="E6" s="93"/>
      <c r="F6" s="93" t="s">
        <v>1239</v>
      </c>
      <c r="G6" s="94"/>
    </row>
    <row r="7" spans="1:7" x14ac:dyDescent="0.4">
      <c r="A7" s="86">
        <f t="shared" si="0"/>
        <v>3</v>
      </c>
      <c r="B7" s="87" t="s">
        <v>64</v>
      </c>
      <c r="C7" s="90"/>
      <c r="D7" s="91"/>
      <c r="E7" s="91"/>
      <c r="F7" s="91"/>
      <c r="G7" s="91"/>
    </row>
    <row r="8" spans="1:7" x14ac:dyDescent="0.4">
      <c r="A8" s="86">
        <f t="shared" si="0"/>
        <v>4</v>
      </c>
      <c r="B8" s="92"/>
      <c r="C8" s="86" t="s">
        <v>1243</v>
      </c>
      <c r="D8" s="94" t="s">
        <v>66</v>
      </c>
      <c r="E8" s="94"/>
      <c r="F8" s="94" t="s">
        <v>66</v>
      </c>
      <c r="G8" s="94"/>
    </row>
    <row r="9" spans="1:7" x14ac:dyDescent="0.4">
      <c r="A9" s="86">
        <f t="shared" si="0"/>
        <v>5</v>
      </c>
      <c r="B9" s="92"/>
      <c r="C9" s="86" t="s">
        <v>65</v>
      </c>
      <c r="D9" s="94" t="s">
        <v>66</v>
      </c>
      <c r="E9" s="94"/>
      <c r="F9" s="94" t="s">
        <v>66</v>
      </c>
      <c r="G9" s="94"/>
    </row>
    <row r="10" spans="1:7" x14ac:dyDescent="0.4">
      <c r="A10" s="86">
        <f t="shared" si="0"/>
        <v>6</v>
      </c>
      <c r="B10" s="92"/>
      <c r="C10" s="86" t="s">
        <v>1244</v>
      </c>
      <c r="D10" s="94" t="s">
        <v>67</v>
      </c>
      <c r="E10" s="94"/>
      <c r="F10" s="94" t="s">
        <v>67</v>
      </c>
      <c r="G10" s="94"/>
    </row>
    <row r="11" spans="1:7" x14ac:dyDescent="0.4">
      <c r="A11" s="86">
        <f t="shared" si="0"/>
        <v>7</v>
      </c>
      <c r="B11" s="102"/>
      <c r="C11" s="86" t="s">
        <v>1245</v>
      </c>
      <c r="D11" s="94" t="s">
        <v>1246</v>
      </c>
      <c r="E11" s="94"/>
      <c r="F11" s="94" t="s">
        <v>1246</v>
      </c>
      <c r="G11" s="94"/>
    </row>
    <row r="12" spans="1:7" ht="42" customHeight="1" x14ac:dyDescent="0.4">
      <c r="A12" s="86">
        <f t="shared" si="0"/>
        <v>8</v>
      </c>
      <c r="B12" s="182" t="s">
        <v>1247</v>
      </c>
      <c r="C12" s="86"/>
      <c r="D12" s="94" t="s">
        <v>1233</v>
      </c>
      <c r="E12" s="94"/>
      <c r="F12" s="94" t="s">
        <v>1233</v>
      </c>
      <c r="G12" s="94"/>
    </row>
    <row r="13" spans="1:7" ht="42" customHeight="1" x14ac:dyDescent="0.4">
      <c r="A13" s="86">
        <f t="shared" si="0"/>
        <v>9</v>
      </c>
      <c r="B13" s="108"/>
      <c r="C13" s="86" t="s">
        <v>1610</v>
      </c>
      <c r="D13" s="94"/>
      <c r="E13" s="94"/>
      <c r="F13" s="94"/>
      <c r="G13" s="94"/>
    </row>
    <row r="14" spans="1:7" ht="21" customHeight="1" x14ac:dyDescent="0.4">
      <c r="A14" s="86">
        <f t="shared" si="0"/>
        <v>10</v>
      </c>
      <c r="B14" s="86" t="s">
        <v>1248</v>
      </c>
      <c r="C14" s="86"/>
      <c r="D14" s="94" t="s">
        <v>1239</v>
      </c>
      <c r="E14" s="94"/>
      <c r="F14" s="94" t="s">
        <v>1249</v>
      </c>
      <c r="G14" s="94"/>
    </row>
  </sheetData>
  <phoneticPr fontId="1"/>
  <conditionalFormatting sqref="F5:F14">
    <cfRule type="expression" dxfId="18" priority="1">
      <formula>$D5&lt;&gt;$F5</formula>
    </cfRule>
  </conditionalFormatting>
  <dataValidations count="1">
    <dataValidation type="list" allowBlank="1" showInputMessage="1" showErrorMessage="1" sqref="E6 E8:E14" xr:uid="{FCCC980F-E3DC-4736-9C75-33D44ED79407}">
      <formula1>"-,変更"</formula1>
    </dataValidation>
  </dataValidations>
  <pageMargins left="0.7" right="0.7" top="0.75" bottom="0.75" header="0.3" footer="0.3"/>
  <pageSetup paperSize="9" orientation="portrait" horizontalDpi="0" verticalDpi="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C4441E-87DB-4748-AF75-AC5CB48DF70E}">
  <dimension ref="A1:U1353"/>
  <sheetViews>
    <sheetView zoomScaleNormal="100" workbookViewId="0">
      <pane ySplit="4" topLeftCell="A5" activePane="bottomLeft" state="frozen"/>
      <selection pane="bottomLeft" activeCell="A5" sqref="A5"/>
    </sheetView>
  </sheetViews>
  <sheetFormatPr defaultColWidth="11.5546875" defaultRowHeight="16.5" x14ac:dyDescent="0.4"/>
  <cols>
    <col min="1" max="16" width="4.6640625" style="70" customWidth="1"/>
    <col min="17" max="17" width="60.6640625" style="70" customWidth="1"/>
    <col min="18" max="18" width="30.88671875" style="70" bestFit="1" customWidth="1"/>
    <col min="19" max="19" width="8.6640625" style="70" bestFit="1" customWidth="1"/>
    <col min="20" max="20" width="30.88671875" style="70" bestFit="1" customWidth="1"/>
    <col min="21" max="21" width="35.33203125" style="70" bestFit="1" customWidth="1"/>
    <col min="22" max="16384" width="11.5546875" style="70"/>
  </cols>
  <sheetData>
    <row r="1" spans="1:21" x14ac:dyDescent="0.4">
      <c r="A1" s="69" t="str">
        <f ca="1">RIGHT(CELL("filename",A1),LEN(CELL("filename",A1))-FIND("]",CELL("filename",A1)))</f>
        <v>3.Windows基本設定</v>
      </c>
    </row>
    <row r="3" spans="1:21" x14ac:dyDescent="0.4">
      <c r="A3" s="115" t="s">
        <v>3</v>
      </c>
      <c r="B3" s="85" t="s">
        <v>4</v>
      </c>
      <c r="C3" s="136"/>
      <c r="D3" s="136"/>
      <c r="E3" s="136"/>
      <c r="F3" s="136"/>
      <c r="G3" s="136"/>
      <c r="H3" s="136"/>
      <c r="I3" s="136"/>
      <c r="J3" s="136"/>
      <c r="K3" s="136"/>
      <c r="L3" s="136"/>
      <c r="M3" s="136"/>
      <c r="N3" s="136"/>
      <c r="O3" s="136"/>
      <c r="P3" s="136"/>
      <c r="Q3" s="116"/>
      <c r="R3" s="111" t="s">
        <v>14</v>
      </c>
      <c r="S3" s="137" t="s">
        <v>2915</v>
      </c>
      <c r="T3" s="137"/>
      <c r="U3" s="111" t="s">
        <v>5</v>
      </c>
    </row>
    <row r="4" spans="1:21" ht="17.25" thickBot="1" x14ac:dyDescent="0.45">
      <c r="A4" s="130"/>
      <c r="B4" s="131"/>
      <c r="C4" s="138"/>
      <c r="D4" s="138"/>
      <c r="E4" s="138"/>
      <c r="F4" s="138"/>
      <c r="G4" s="138"/>
      <c r="H4" s="138"/>
      <c r="I4" s="138"/>
      <c r="J4" s="138"/>
      <c r="K4" s="138"/>
      <c r="L4" s="138"/>
      <c r="M4" s="138"/>
      <c r="N4" s="138"/>
      <c r="O4" s="138"/>
      <c r="P4" s="138"/>
      <c r="Q4" s="132"/>
      <c r="R4" s="133"/>
      <c r="S4" s="139" t="s">
        <v>2913</v>
      </c>
      <c r="T4" s="139" t="s">
        <v>2912</v>
      </c>
      <c r="U4" s="133"/>
    </row>
    <row r="5" spans="1:21" ht="17.25" thickTop="1" x14ac:dyDescent="0.4">
      <c r="A5" s="108">
        <v>1</v>
      </c>
      <c r="B5" s="92" t="s">
        <v>2917</v>
      </c>
      <c r="C5" s="97"/>
      <c r="D5" s="97"/>
      <c r="E5" s="97"/>
      <c r="F5" s="97"/>
      <c r="G5" s="97"/>
      <c r="H5" s="97"/>
      <c r="I5" s="97"/>
      <c r="J5" s="97"/>
      <c r="K5" s="97"/>
      <c r="L5" s="97"/>
      <c r="M5" s="97"/>
      <c r="N5" s="97"/>
      <c r="O5" s="97"/>
      <c r="P5" s="97"/>
      <c r="Q5" s="128"/>
      <c r="R5" s="140"/>
      <c r="S5" s="140"/>
      <c r="T5" s="140"/>
      <c r="U5" s="140"/>
    </row>
    <row r="6" spans="1:21" x14ac:dyDescent="0.4">
      <c r="A6" s="86">
        <f>A5+1</f>
        <v>2</v>
      </c>
      <c r="B6" s="103"/>
      <c r="C6" s="87" t="s">
        <v>1235</v>
      </c>
      <c r="D6" s="89"/>
      <c r="E6" s="89"/>
      <c r="F6" s="89"/>
      <c r="G6" s="89"/>
      <c r="H6" s="89"/>
      <c r="I6" s="89"/>
      <c r="J6" s="89"/>
      <c r="K6" s="89"/>
      <c r="L6" s="89"/>
      <c r="M6" s="89"/>
      <c r="N6" s="89"/>
      <c r="O6" s="89"/>
      <c r="P6" s="89"/>
      <c r="Q6" s="90"/>
      <c r="R6" s="98"/>
      <c r="S6" s="98"/>
      <c r="T6" s="98"/>
      <c r="U6" s="96"/>
    </row>
    <row r="7" spans="1:21" x14ac:dyDescent="0.4">
      <c r="A7" s="86">
        <f t="shared" ref="A7:A70" si="0">A6+1</f>
        <v>3</v>
      </c>
      <c r="B7" s="103"/>
      <c r="C7" s="103"/>
      <c r="D7" s="112" t="s">
        <v>2952</v>
      </c>
      <c r="E7" s="100"/>
      <c r="F7" s="100"/>
      <c r="G7" s="100"/>
      <c r="H7" s="100"/>
      <c r="I7" s="100"/>
      <c r="J7" s="100"/>
      <c r="K7" s="100"/>
      <c r="L7" s="100"/>
      <c r="M7" s="100"/>
      <c r="N7" s="100"/>
      <c r="O7" s="100"/>
      <c r="P7" s="100"/>
      <c r="Q7" s="101"/>
      <c r="R7" s="93"/>
      <c r="S7" s="93"/>
      <c r="T7" s="93"/>
      <c r="U7" s="86"/>
    </row>
    <row r="8" spans="1:21" x14ac:dyDescent="0.4">
      <c r="A8" s="86">
        <f t="shared" si="0"/>
        <v>4</v>
      </c>
      <c r="B8" s="103"/>
      <c r="C8" s="103"/>
      <c r="D8" s="112" t="s">
        <v>2953</v>
      </c>
      <c r="E8" s="100"/>
      <c r="F8" s="100"/>
      <c r="G8" s="100"/>
      <c r="H8" s="100"/>
      <c r="I8" s="100"/>
      <c r="J8" s="100"/>
      <c r="K8" s="100"/>
      <c r="L8" s="100"/>
      <c r="M8" s="100"/>
      <c r="N8" s="100"/>
      <c r="O8" s="100"/>
      <c r="P8" s="100"/>
      <c r="Q8" s="101"/>
      <c r="R8" s="93"/>
      <c r="S8" s="93"/>
      <c r="T8" s="93"/>
      <c r="U8" s="86"/>
    </row>
    <row r="9" spans="1:21" x14ac:dyDescent="0.4">
      <c r="A9" s="86">
        <f t="shared" si="0"/>
        <v>5</v>
      </c>
      <c r="B9" s="103"/>
      <c r="C9" s="103"/>
      <c r="D9" s="112" t="s">
        <v>2</v>
      </c>
      <c r="E9" s="100"/>
      <c r="F9" s="100"/>
      <c r="G9" s="100"/>
      <c r="H9" s="100"/>
      <c r="I9" s="100"/>
      <c r="J9" s="100"/>
      <c r="K9" s="100"/>
      <c r="L9" s="100"/>
      <c r="M9" s="100"/>
      <c r="N9" s="100"/>
      <c r="O9" s="100"/>
      <c r="P9" s="100"/>
      <c r="Q9" s="101"/>
      <c r="R9" s="93"/>
      <c r="S9" s="93"/>
      <c r="T9" s="93"/>
      <c r="U9" s="86"/>
    </row>
    <row r="10" spans="1:21" x14ac:dyDescent="0.4">
      <c r="A10" s="86">
        <f t="shared" si="0"/>
        <v>6</v>
      </c>
      <c r="B10" s="103"/>
      <c r="C10" s="103"/>
      <c r="D10" s="112" t="s">
        <v>2954</v>
      </c>
      <c r="E10" s="100"/>
      <c r="F10" s="100"/>
      <c r="G10" s="100"/>
      <c r="H10" s="100"/>
      <c r="I10" s="100"/>
      <c r="J10" s="100"/>
      <c r="K10" s="100"/>
      <c r="L10" s="100"/>
      <c r="M10" s="100"/>
      <c r="N10" s="100"/>
      <c r="O10" s="100"/>
      <c r="P10" s="100"/>
      <c r="Q10" s="101"/>
      <c r="R10" s="93"/>
      <c r="S10" s="93"/>
      <c r="T10" s="93"/>
      <c r="U10" s="86"/>
    </row>
    <row r="11" spans="1:21" x14ac:dyDescent="0.4">
      <c r="A11" s="86">
        <f t="shared" si="0"/>
        <v>7</v>
      </c>
      <c r="B11" s="103"/>
      <c r="C11" s="103"/>
      <c r="D11" s="112" t="s">
        <v>2955</v>
      </c>
      <c r="E11" s="100"/>
      <c r="F11" s="100"/>
      <c r="G11" s="100"/>
      <c r="H11" s="100"/>
      <c r="I11" s="100"/>
      <c r="J11" s="100"/>
      <c r="K11" s="100"/>
      <c r="L11" s="100"/>
      <c r="M11" s="100"/>
      <c r="N11" s="100"/>
      <c r="O11" s="100"/>
      <c r="P11" s="100"/>
      <c r="Q11" s="101"/>
      <c r="R11" s="93"/>
      <c r="S11" s="93"/>
      <c r="T11" s="93"/>
      <c r="U11" s="86"/>
    </row>
    <row r="12" spans="1:21" x14ac:dyDescent="0.4">
      <c r="A12" s="86">
        <f t="shared" si="0"/>
        <v>8</v>
      </c>
      <c r="B12" s="103"/>
      <c r="C12" s="155" t="s">
        <v>826</v>
      </c>
      <c r="D12" s="157"/>
      <c r="E12" s="157"/>
      <c r="F12" s="157"/>
      <c r="G12" s="157"/>
      <c r="H12" s="157"/>
      <c r="I12" s="157"/>
      <c r="J12" s="157"/>
      <c r="K12" s="157"/>
      <c r="L12" s="157"/>
      <c r="M12" s="157"/>
      <c r="N12" s="157"/>
      <c r="O12" s="157"/>
      <c r="P12" s="157"/>
      <c r="Q12" s="158"/>
      <c r="R12" s="159"/>
      <c r="S12" s="159"/>
      <c r="T12" s="159"/>
      <c r="U12" s="159"/>
    </row>
    <row r="13" spans="1:21" x14ac:dyDescent="0.4">
      <c r="A13" s="86">
        <f t="shared" si="0"/>
        <v>9</v>
      </c>
      <c r="B13" s="103"/>
      <c r="C13" s="189"/>
      <c r="D13" s="156" t="s">
        <v>2918</v>
      </c>
      <c r="E13" s="160"/>
      <c r="F13" s="160"/>
      <c r="G13" s="160"/>
      <c r="H13" s="160"/>
      <c r="I13" s="160"/>
      <c r="J13" s="160"/>
      <c r="K13" s="160"/>
      <c r="L13" s="160"/>
      <c r="M13" s="160"/>
      <c r="N13" s="160"/>
      <c r="O13" s="160"/>
      <c r="P13" s="160"/>
      <c r="Q13" s="161"/>
      <c r="R13" s="162"/>
      <c r="S13" s="162"/>
      <c r="T13" s="163"/>
      <c r="U13" s="162"/>
    </row>
    <row r="14" spans="1:21" x14ac:dyDescent="0.4">
      <c r="A14" s="86">
        <f t="shared" si="0"/>
        <v>10</v>
      </c>
      <c r="B14" s="103"/>
      <c r="C14" s="189"/>
      <c r="D14" s="164"/>
      <c r="E14" s="88" t="s">
        <v>1603</v>
      </c>
      <c r="F14" s="89"/>
      <c r="G14" s="89"/>
      <c r="H14" s="89"/>
      <c r="I14" s="89"/>
      <c r="J14" s="89"/>
      <c r="K14" s="89"/>
      <c r="L14" s="89"/>
      <c r="M14" s="89"/>
      <c r="N14" s="89"/>
      <c r="O14" s="89"/>
      <c r="P14" s="89"/>
      <c r="Q14" s="90"/>
      <c r="R14" s="98"/>
      <c r="S14" s="98"/>
      <c r="T14" s="91"/>
      <c r="U14" s="98"/>
    </row>
    <row r="15" spans="1:21" x14ac:dyDescent="0.4">
      <c r="A15" s="86">
        <f t="shared" si="0"/>
        <v>11</v>
      </c>
      <c r="B15" s="103"/>
      <c r="C15" s="189"/>
      <c r="D15" s="164"/>
      <c r="E15" s="103"/>
      <c r="F15" s="88" t="s">
        <v>1250</v>
      </c>
      <c r="G15" s="89"/>
      <c r="H15" s="89"/>
      <c r="I15" s="89"/>
      <c r="J15" s="89"/>
      <c r="K15" s="89"/>
      <c r="L15" s="89"/>
      <c r="M15" s="89"/>
      <c r="N15" s="89"/>
      <c r="O15" s="89"/>
      <c r="P15" s="89"/>
      <c r="Q15" s="90"/>
      <c r="R15" s="98"/>
      <c r="S15" s="98"/>
      <c r="T15" s="91"/>
      <c r="U15" s="98"/>
    </row>
    <row r="16" spans="1:21" x14ac:dyDescent="0.4">
      <c r="A16" s="86">
        <f t="shared" si="0"/>
        <v>12</v>
      </c>
      <c r="B16" s="103"/>
      <c r="C16" s="189"/>
      <c r="D16" s="164"/>
      <c r="E16" s="103"/>
      <c r="F16" s="103"/>
      <c r="G16" s="100" t="s">
        <v>1251</v>
      </c>
      <c r="H16" s="100"/>
      <c r="I16" s="100"/>
      <c r="J16" s="100"/>
      <c r="K16" s="100"/>
      <c r="L16" s="100"/>
      <c r="M16" s="100"/>
      <c r="N16" s="100"/>
      <c r="O16" s="100"/>
      <c r="P16" s="100"/>
      <c r="Q16" s="101"/>
      <c r="R16" s="94" t="s">
        <v>27</v>
      </c>
      <c r="S16" s="94"/>
      <c r="T16" s="94"/>
      <c r="U16" s="93"/>
    </row>
    <row r="17" spans="1:21" x14ac:dyDescent="0.4">
      <c r="A17" s="86">
        <f t="shared" si="0"/>
        <v>13</v>
      </c>
      <c r="B17" s="103"/>
      <c r="C17" s="189"/>
      <c r="D17" s="164"/>
      <c r="E17" s="103"/>
      <c r="F17" s="103"/>
      <c r="G17" s="100" t="s">
        <v>1250</v>
      </c>
      <c r="H17" s="100"/>
      <c r="I17" s="100"/>
      <c r="J17" s="100"/>
      <c r="K17" s="100"/>
      <c r="L17" s="100"/>
      <c r="M17" s="100"/>
      <c r="N17" s="100"/>
      <c r="O17" s="100"/>
      <c r="P17" s="100"/>
      <c r="Q17" s="101"/>
      <c r="R17" s="93" t="s">
        <v>1239</v>
      </c>
      <c r="S17" s="93"/>
      <c r="T17" s="94"/>
      <c r="U17" s="93"/>
    </row>
    <row r="18" spans="1:21" x14ac:dyDescent="0.4">
      <c r="A18" s="86">
        <f t="shared" si="0"/>
        <v>14</v>
      </c>
      <c r="B18" s="103"/>
      <c r="C18" s="189"/>
      <c r="D18" s="164"/>
      <c r="E18" s="103"/>
      <c r="F18" s="103"/>
      <c r="G18" s="112" t="s">
        <v>1252</v>
      </c>
      <c r="H18" s="100"/>
      <c r="I18" s="100"/>
      <c r="J18" s="100"/>
      <c r="K18" s="100"/>
      <c r="L18" s="100"/>
      <c r="M18" s="100"/>
      <c r="N18" s="100"/>
      <c r="O18" s="100"/>
      <c r="P18" s="100"/>
      <c r="Q18" s="101"/>
      <c r="R18" s="94" t="s">
        <v>27</v>
      </c>
      <c r="S18" s="94"/>
      <c r="T18" s="94"/>
      <c r="U18" s="93"/>
    </row>
    <row r="19" spans="1:21" x14ac:dyDescent="0.4">
      <c r="A19" s="86">
        <f t="shared" si="0"/>
        <v>15</v>
      </c>
      <c r="B19" s="103"/>
      <c r="C19" s="189"/>
      <c r="D19" s="164"/>
      <c r="E19" s="103"/>
      <c r="F19" s="103"/>
      <c r="G19" s="142"/>
      <c r="H19" s="100" t="s">
        <v>1253</v>
      </c>
      <c r="I19" s="100"/>
      <c r="J19" s="100"/>
      <c r="K19" s="100"/>
      <c r="L19" s="100"/>
      <c r="M19" s="100"/>
      <c r="N19" s="100"/>
      <c r="O19" s="100"/>
      <c r="P19" s="100"/>
      <c r="Q19" s="101"/>
      <c r="R19" s="93" t="s">
        <v>20</v>
      </c>
      <c r="S19" s="93"/>
      <c r="T19" s="93"/>
      <c r="U19" s="93"/>
    </row>
    <row r="20" spans="1:21" x14ac:dyDescent="0.4">
      <c r="A20" s="86">
        <f t="shared" si="0"/>
        <v>16</v>
      </c>
      <c r="B20" s="103"/>
      <c r="C20" s="189"/>
      <c r="D20" s="164"/>
      <c r="E20" s="103"/>
      <c r="F20" s="103"/>
      <c r="G20" s="88" t="s">
        <v>1254</v>
      </c>
      <c r="H20" s="89"/>
      <c r="I20" s="89"/>
      <c r="J20" s="89"/>
      <c r="K20" s="89"/>
      <c r="L20" s="89"/>
      <c r="M20" s="89"/>
      <c r="N20" s="89"/>
      <c r="O20" s="89"/>
      <c r="P20" s="89"/>
      <c r="Q20" s="90"/>
      <c r="R20" s="91"/>
      <c r="S20" s="91"/>
      <c r="T20" s="91"/>
      <c r="U20" s="98"/>
    </row>
    <row r="21" spans="1:21" x14ac:dyDescent="0.4">
      <c r="A21" s="86">
        <f t="shared" si="0"/>
        <v>17</v>
      </c>
      <c r="B21" s="103"/>
      <c r="C21" s="189"/>
      <c r="D21" s="164"/>
      <c r="E21" s="103"/>
      <c r="F21" s="103"/>
      <c r="G21" s="105"/>
      <c r="H21" s="99" t="s">
        <v>28</v>
      </c>
      <c r="I21" s="100"/>
      <c r="J21" s="100"/>
      <c r="K21" s="100"/>
      <c r="L21" s="100"/>
      <c r="M21" s="100"/>
      <c r="N21" s="100"/>
      <c r="O21" s="100"/>
      <c r="P21" s="100"/>
      <c r="Q21" s="101"/>
      <c r="R21" s="93" t="s">
        <v>10</v>
      </c>
      <c r="S21" s="93"/>
      <c r="T21" s="93"/>
      <c r="U21" s="93"/>
    </row>
    <row r="22" spans="1:21" x14ac:dyDescent="0.4">
      <c r="A22" s="86">
        <f t="shared" si="0"/>
        <v>18</v>
      </c>
      <c r="B22" s="103"/>
      <c r="C22" s="189"/>
      <c r="D22" s="164"/>
      <c r="E22" s="103"/>
      <c r="F22" s="103"/>
      <c r="G22" s="105"/>
      <c r="H22" s="109" t="s">
        <v>1255</v>
      </c>
      <c r="I22" s="100"/>
      <c r="J22" s="100"/>
      <c r="K22" s="100"/>
      <c r="L22" s="100"/>
      <c r="M22" s="100"/>
      <c r="N22" s="100"/>
      <c r="O22" s="100"/>
      <c r="P22" s="100"/>
      <c r="Q22" s="101"/>
      <c r="R22" s="93" t="s">
        <v>9</v>
      </c>
      <c r="S22" s="93"/>
      <c r="T22" s="93"/>
      <c r="U22" s="93"/>
    </row>
    <row r="23" spans="1:21" x14ac:dyDescent="0.4">
      <c r="A23" s="86">
        <f t="shared" si="0"/>
        <v>19</v>
      </c>
      <c r="B23" s="103"/>
      <c r="C23" s="189"/>
      <c r="D23" s="164"/>
      <c r="E23" s="103"/>
      <c r="F23" s="107"/>
      <c r="G23" s="97"/>
      <c r="H23" s="108"/>
      <c r="I23" s="100" t="s">
        <v>1256</v>
      </c>
      <c r="J23" s="100"/>
      <c r="K23" s="100"/>
      <c r="L23" s="100"/>
      <c r="M23" s="100"/>
      <c r="N23" s="100"/>
      <c r="O23" s="100"/>
      <c r="P23" s="100"/>
      <c r="Q23" s="101"/>
      <c r="R23" s="94" t="s">
        <v>26</v>
      </c>
      <c r="S23" s="94"/>
      <c r="T23" s="94"/>
      <c r="U23" s="93"/>
    </row>
    <row r="24" spans="1:21" x14ac:dyDescent="0.4">
      <c r="A24" s="86">
        <f t="shared" si="0"/>
        <v>20</v>
      </c>
      <c r="B24" s="103"/>
      <c r="C24" s="189"/>
      <c r="D24" s="164"/>
      <c r="E24" s="103"/>
      <c r="F24" s="88" t="s">
        <v>1257</v>
      </c>
      <c r="G24" s="89"/>
      <c r="H24" s="89"/>
      <c r="I24" s="89"/>
      <c r="J24" s="89"/>
      <c r="K24" s="89"/>
      <c r="L24" s="89"/>
      <c r="M24" s="89"/>
      <c r="N24" s="89"/>
      <c r="O24" s="89"/>
      <c r="P24" s="89"/>
      <c r="Q24" s="90"/>
      <c r="R24" s="98"/>
      <c r="S24" s="98"/>
      <c r="T24" s="91"/>
      <c r="U24" s="98"/>
    </row>
    <row r="25" spans="1:21" x14ac:dyDescent="0.4">
      <c r="A25" s="86">
        <f t="shared" si="0"/>
        <v>21</v>
      </c>
      <c r="B25" s="103"/>
      <c r="C25" s="189"/>
      <c r="D25" s="164"/>
      <c r="E25" s="103"/>
      <c r="F25" s="103"/>
      <c r="G25" s="88" t="s">
        <v>2944</v>
      </c>
      <c r="H25" s="89"/>
      <c r="I25" s="89"/>
      <c r="J25" s="89"/>
      <c r="K25" s="89"/>
      <c r="L25" s="89"/>
      <c r="M25" s="89"/>
      <c r="N25" s="89"/>
      <c r="O25" s="89"/>
      <c r="P25" s="89"/>
      <c r="Q25" s="90"/>
      <c r="R25" s="93" t="s">
        <v>1754</v>
      </c>
      <c r="S25" s="93"/>
      <c r="T25" s="93" t="s">
        <v>1754</v>
      </c>
      <c r="U25" s="93"/>
    </row>
    <row r="26" spans="1:21" x14ac:dyDescent="0.4">
      <c r="A26" s="86">
        <f t="shared" si="0"/>
        <v>22</v>
      </c>
      <c r="B26" s="103"/>
      <c r="C26" s="189"/>
      <c r="D26" s="164"/>
      <c r="E26" s="103"/>
      <c r="F26" s="103"/>
      <c r="G26" s="88" t="s">
        <v>1258</v>
      </c>
      <c r="H26" s="89"/>
      <c r="I26" s="89"/>
      <c r="J26" s="89"/>
      <c r="K26" s="89"/>
      <c r="L26" s="89"/>
      <c r="M26" s="89"/>
      <c r="N26" s="89"/>
      <c r="O26" s="89"/>
      <c r="P26" s="89"/>
      <c r="Q26" s="90"/>
      <c r="R26" s="98"/>
      <c r="S26" s="98"/>
      <c r="T26" s="91"/>
      <c r="U26" s="98"/>
    </row>
    <row r="27" spans="1:21" x14ac:dyDescent="0.4">
      <c r="A27" s="86">
        <f t="shared" si="0"/>
        <v>23</v>
      </c>
      <c r="B27" s="103"/>
      <c r="C27" s="189"/>
      <c r="D27" s="164"/>
      <c r="E27" s="103"/>
      <c r="F27" s="103"/>
      <c r="G27" s="103"/>
      <c r="H27" s="88" t="s">
        <v>1259</v>
      </c>
      <c r="I27" s="89"/>
      <c r="J27" s="89"/>
      <c r="K27" s="89"/>
      <c r="L27" s="89"/>
      <c r="M27" s="89"/>
      <c r="N27" s="89"/>
      <c r="O27" s="89"/>
      <c r="P27" s="89"/>
      <c r="Q27" s="90"/>
      <c r="R27" s="98"/>
      <c r="S27" s="98"/>
      <c r="T27" s="91"/>
      <c r="U27" s="98"/>
    </row>
    <row r="28" spans="1:21" x14ac:dyDescent="0.4">
      <c r="A28" s="86">
        <f t="shared" si="0"/>
        <v>24</v>
      </c>
      <c r="B28" s="103"/>
      <c r="C28" s="189"/>
      <c r="D28" s="164"/>
      <c r="E28" s="103"/>
      <c r="F28" s="103"/>
      <c r="G28" s="103"/>
      <c r="H28" s="103"/>
      <c r="I28" s="100" t="s">
        <v>29</v>
      </c>
      <c r="J28" s="100"/>
      <c r="K28" s="100"/>
      <c r="L28" s="100"/>
      <c r="M28" s="100"/>
      <c r="N28" s="100"/>
      <c r="O28" s="100"/>
      <c r="P28" s="100"/>
      <c r="Q28" s="101"/>
      <c r="R28" s="93" t="s">
        <v>9</v>
      </c>
      <c r="S28" s="93"/>
      <c r="T28" s="93"/>
      <c r="U28" s="93"/>
    </row>
    <row r="29" spans="1:21" x14ac:dyDescent="0.4">
      <c r="A29" s="86">
        <f t="shared" si="0"/>
        <v>25</v>
      </c>
      <c r="B29" s="103"/>
      <c r="C29" s="189"/>
      <c r="D29" s="164"/>
      <c r="E29" s="103"/>
      <c r="F29" s="107"/>
      <c r="G29" s="107"/>
      <c r="H29" s="107"/>
      <c r="I29" s="100" t="s">
        <v>30</v>
      </c>
      <c r="J29" s="100"/>
      <c r="K29" s="100"/>
      <c r="L29" s="100"/>
      <c r="M29" s="100"/>
      <c r="N29" s="100"/>
      <c r="O29" s="100"/>
      <c r="P29" s="100"/>
      <c r="Q29" s="101"/>
      <c r="R29" s="93" t="s">
        <v>10</v>
      </c>
      <c r="S29" s="93"/>
      <c r="T29" s="93"/>
      <c r="U29" s="93"/>
    </row>
    <row r="30" spans="1:21" x14ac:dyDescent="0.4">
      <c r="A30" s="86">
        <f t="shared" si="0"/>
        <v>26</v>
      </c>
      <c r="B30" s="92"/>
      <c r="C30" s="189"/>
      <c r="D30" s="164"/>
      <c r="E30" s="103"/>
      <c r="F30" s="87" t="s">
        <v>31</v>
      </c>
      <c r="G30" s="89"/>
      <c r="H30" s="89"/>
      <c r="I30" s="89"/>
      <c r="J30" s="89"/>
      <c r="K30" s="89"/>
      <c r="L30" s="89"/>
      <c r="M30" s="89"/>
      <c r="N30" s="89"/>
      <c r="O30" s="89"/>
      <c r="P30" s="89"/>
      <c r="Q30" s="90"/>
      <c r="R30" s="91"/>
      <c r="S30" s="91"/>
      <c r="T30" s="91"/>
      <c r="U30" s="91"/>
    </row>
    <row r="31" spans="1:21" x14ac:dyDescent="0.4">
      <c r="A31" s="86">
        <f t="shared" si="0"/>
        <v>27</v>
      </c>
      <c r="B31" s="92"/>
      <c r="C31" s="189"/>
      <c r="D31" s="164"/>
      <c r="E31" s="103"/>
      <c r="F31" s="103"/>
      <c r="G31" s="88" t="s">
        <v>1241</v>
      </c>
      <c r="H31" s="89"/>
      <c r="I31" s="89"/>
      <c r="J31" s="89"/>
      <c r="K31" s="89"/>
      <c r="L31" s="89"/>
      <c r="M31" s="89"/>
      <c r="N31" s="89"/>
      <c r="O31" s="89"/>
      <c r="P31" s="89"/>
      <c r="Q31" s="90"/>
      <c r="R31" s="91"/>
      <c r="S31" s="91"/>
      <c r="T31" s="91"/>
      <c r="U31" s="91"/>
    </row>
    <row r="32" spans="1:21" x14ac:dyDescent="0.4">
      <c r="A32" s="86">
        <f t="shared" si="0"/>
        <v>28</v>
      </c>
      <c r="B32" s="92"/>
      <c r="C32" s="189"/>
      <c r="D32" s="164"/>
      <c r="E32" s="103"/>
      <c r="F32" s="103"/>
      <c r="G32" s="103"/>
      <c r="H32" s="87" t="s">
        <v>1260</v>
      </c>
      <c r="I32" s="89"/>
      <c r="J32" s="89"/>
      <c r="K32" s="89"/>
      <c r="L32" s="89"/>
      <c r="M32" s="89"/>
      <c r="N32" s="89"/>
      <c r="O32" s="89"/>
      <c r="P32" s="89"/>
      <c r="Q32" s="90"/>
      <c r="R32" s="91"/>
      <c r="S32" s="91"/>
      <c r="T32" s="91"/>
      <c r="U32" s="91"/>
    </row>
    <row r="33" spans="1:21" x14ac:dyDescent="0.4">
      <c r="A33" s="86">
        <f t="shared" si="0"/>
        <v>29</v>
      </c>
      <c r="B33" s="92"/>
      <c r="C33" s="189"/>
      <c r="D33" s="164"/>
      <c r="E33" s="103"/>
      <c r="F33" s="103"/>
      <c r="G33" s="103"/>
      <c r="H33" s="92"/>
      <c r="I33" s="87" t="s">
        <v>32</v>
      </c>
      <c r="J33" s="89"/>
      <c r="K33" s="89"/>
      <c r="L33" s="89"/>
      <c r="M33" s="89"/>
      <c r="N33" s="89"/>
      <c r="O33" s="89"/>
      <c r="P33" s="89"/>
      <c r="Q33" s="90"/>
      <c r="R33" s="91"/>
      <c r="S33" s="91"/>
      <c r="T33" s="91"/>
      <c r="U33" s="91"/>
    </row>
    <row r="34" spans="1:21" x14ac:dyDescent="0.4">
      <c r="A34" s="86">
        <f t="shared" si="0"/>
        <v>30</v>
      </c>
      <c r="B34" s="92"/>
      <c r="C34" s="189"/>
      <c r="D34" s="164"/>
      <c r="E34" s="103"/>
      <c r="F34" s="103"/>
      <c r="G34" s="103"/>
      <c r="H34" s="92"/>
      <c r="I34" s="103"/>
      <c r="J34" s="100" t="s">
        <v>1261</v>
      </c>
      <c r="K34" s="100"/>
      <c r="L34" s="100"/>
      <c r="M34" s="100"/>
      <c r="N34" s="100"/>
      <c r="O34" s="100"/>
      <c r="P34" s="100"/>
      <c r="Q34" s="101"/>
      <c r="R34" s="93" t="s">
        <v>9</v>
      </c>
      <c r="S34" s="93"/>
      <c r="T34" s="93"/>
      <c r="U34" s="94"/>
    </row>
    <row r="35" spans="1:21" x14ac:dyDescent="0.4">
      <c r="A35" s="86">
        <f t="shared" si="0"/>
        <v>31</v>
      </c>
      <c r="B35" s="92"/>
      <c r="C35" s="189"/>
      <c r="D35" s="164"/>
      <c r="E35" s="103"/>
      <c r="F35" s="103"/>
      <c r="G35" s="103"/>
      <c r="H35" s="92"/>
      <c r="I35" s="103"/>
      <c r="J35" s="100" t="s">
        <v>33</v>
      </c>
      <c r="K35" s="100"/>
      <c r="L35" s="100"/>
      <c r="M35" s="100"/>
      <c r="N35" s="100"/>
      <c r="O35" s="100"/>
      <c r="P35" s="100"/>
      <c r="Q35" s="101"/>
      <c r="R35" s="93" t="s">
        <v>10</v>
      </c>
      <c r="S35" s="93"/>
      <c r="T35" s="93"/>
      <c r="U35" s="94"/>
    </row>
    <row r="36" spans="1:21" x14ac:dyDescent="0.4">
      <c r="A36" s="86">
        <f t="shared" si="0"/>
        <v>32</v>
      </c>
      <c r="B36" s="92"/>
      <c r="C36" s="189"/>
      <c r="D36" s="164"/>
      <c r="E36" s="103"/>
      <c r="F36" s="103"/>
      <c r="G36" s="103"/>
      <c r="H36" s="92"/>
      <c r="I36" s="103"/>
      <c r="J36" s="100" t="s">
        <v>1262</v>
      </c>
      <c r="K36" s="100"/>
      <c r="L36" s="100"/>
      <c r="M36" s="100"/>
      <c r="N36" s="100"/>
      <c r="O36" s="100"/>
      <c r="P36" s="100"/>
      <c r="Q36" s="101"/>
      <c r="R36" s="93" t="s">
        <v>10</v>
      </c>
      <c r="S36" s="93"/>
      <c r="T36" s="93"/>
      <c r="U36" s="94"/>
    </row>
    <row r="37" spans="1:21" x14ac:dyDescent="0.4">
      <c r="A37" s="86">
        <f t="shared" si="0"/>
        <v>33</v>
      </c>
      <c r="B37" s="92"/>
      <c r="C37" s="189"/>
      <c r="D37" s="164"/>
      <c r="E37" s="103"/>
      <c r="F37" s="103"/>
      <c r="G37" s="103"/>
      <c r="H37" s="92"/>
      <c r="I37" s="103"/>
      <c r="J37" s="112" t="s">
        <v>11</v>
      </c>
      <c r="K37" s="100"/>
      <c r="L37" s="100"/>
      <c r="M37" s="100"/>
      <c r="N37" s="100"/>
      <c r="O37" s="100"/>
      <c r="P37" s="100"/>
      <c r="Q37" s="101"/>
      <c r="R37" s="93" t="s">
        <v>10</v>
      </c>
      <c r="S37" s="93"/>
      <c r="T37" s="93"/>
      <c r="U37" s="94"/>
    </row>
    <row r="38" spans="1:21" x14ac:dyDescent="0.4">
      <c r="A38" s="86">
        <f t="shared" si="0"/>
        <v>34</v>
      </c>
      <c r="B38" s="92"/>
      <c r="C38" s="189"/>
      <c r="D38" s="164"/>
      <c r="E38" s="103"/>
      <c r="F38" s="103"/>
      <c r="G38" s="103"/>
      <c r="H38" s="92"/>
      <c r="I38" s="103"/>
      <c r="J38" s="104"/>
      <c r="K38" s="100" t="s">
        <v>1263</v>
      </c>
      <c r="L38" s="100"/>
      <c r="M38" s="100"/>
      <c r="N38" s="100"/>
      <c r="O38" s="100"/>
      <c r="P38" s="100"/>
      <c r="Q38" s="101"/>
      <c r="R38" s="93" t="s">
        <v>36</v>
      </c>
      <c r="S38" s="93"/>
      <c r="T38" s="93"/>
      <c r="U38" s="94"/>
    </row>
    <row r="39" spans="1:21" x14ac:dyDescent="0.4">
      <c r="A39" s="86">
        <f t="shared" si="0"/>
        <v>35</v>
      </c>
      <c r="B39" s="92"/>
      <c r="C39" s="189"/>
      <c r="D39" s="164"/>
      <c r="E39" s="103"/>
      <c r="F39" s="103"/>
      <c r="G39" s="103"/>
      <c r="H39" s="92"/>
      <c r="I39" s="103"/>
      <c r="J39" s="104"/>
      <c r="K39" s="100" t="s">
        <v>34</v>
      </c>
      <c r="L39" s="100"/>
      <c r="M39" s="100"/>
      <c r="N39" s="100"/>
      <c r="O39" s="100"/>
      <c r="P39" s="100"/>
      <c r="Q39" s="101"/>
      <c r="R39" s="93" t="s">
        <v>36</v>
      </c>
      <c r="S39" s="93"/>
      <c r="T39" s="93"/>
      <c r="U39" s="94"/>
    </row>
    <row r="40" spans="1:21" x14ac:dyDescent="0.4">
      <c r="A40" s="86">
        <f t="shared" si="0"/>
        <v>36</v>
      </c>
      <c r="B40" s="92"/>
      <c r="C40" s="189"/>
      <c r="D40" s="164"/>
      <c r="E40" s="103"/>
      <c r="F40" s="103"/>
      <c r="G40" s="103"/>
      <c r="H40" s="92"/>
      <c r="I40" s="103"/>
      <c r="J40" s="104"/>
      <c r="K40" s="100" t="s">
        <v>35</v>
      </c>
      <c r="L40" s="100"/>
      <c r="M40" s="100"/>
      <c r="N40" s="100"/>
      <c r="O40" s="100"/>
      <c r="P40" s="100"/>
      <c r="Q40" s="101"/>
      <c r="R40" s="93" t="s">
        <v>36</v>
      </c>
      <c r="S40" s="93"/>
      <c r="T40" s="93"/>
      <c r="U40" s="94"/>
    </row>
    <row r="41" spans="1:21" x14ac:dyDescent="0.4">
      <c r="A41" s="86">
        <f t="shared" si="0"/>
        <v>37</v>
      </c>
      <c r="B41" s="92"/>
      <c r="C41" s="189"/>
      <c r="D41" s="164"/>
      <c r="E41" s="103"/>
      <c r="F41" s="103"/>
      <c r="G41" s="103"/>
      <c r="H41" s="92"/>
      <c r="I41" s="103"/>
      <c r="J41" s="104"/>
      <c r="K41" s="100" t="s">
        <v>1264</v>
      </c>
      <c r="L41" s="100"/>
      <c r="M41" s="100"/>
      <c r="N41" s="100"/>
      <c r="O41" s="100"/>
      <c r="P41" s="100"/>
      <c r="Q41" s="101"/>
      <c r="R41" s="93" t="s">
        <v>36</v>
      </c>
      <c r="S41" s="93"/>
      <c r="T41" s="93"/>
      <c r="U41" s="94"/>
    </row>
    <row r="42" spans="1:21" x14ac:dyDescent="0.4">
      <c r="A42" s="86">
        <f t="shared" si="0"/>
        <v>38</v>
      </c>
      <c r="B42" s="92"/>
      <c r="C42" s="189"/>
      <c r="D42" s="164"/>
      <c r="E42" s="103"/>
      <c r="F42" s="103"/>
      <c r="G42" s="103"/>
      <c r="H42" s="92"/>
      <c r="I42" s="103"/>
      <c r="J42" s="104"/>
      <c r="K42" s="100" t="s">
        <v>37</v>
      </c>
      <c r="L42" s="100"/>
      <c r="M42" s="100"/>
      <c r="N42" s="100"/>
      <c r="O42" s="100"/>
      <c r="P42" s="100"/>
      <c r="Q42" s="101"/>
      <c r="R42" s="93" t="s">
        <v>36</v>
      </c>
      <c r="S42" s="93"/>
      <c r="T42" s="93"/>
      <c r="U42" s="94"/>
    </row>
    <row r="43" spans="1:21" x14ac:dyDescent="0.4">
      <c r="A43" s="86">
        <f t="shared" si="0"/>
        <v>39</v>
      </c>
      <c r="B43" s="92"/>
      <c r="C43" s="189"/>
      <c r="D43" s="164"/>
      <c r="E43" s="103"/>
      <c r="F43" s="103"/>
      <c r="G43" s="103"/>
      <c r="H43" s="92"/>
      <c r="I43" s="103"/>
      <c r="J43" s="104"/>
      <c r="K43" s="100" t="s">
        <v>1265</v>
      </c>
      <c r="L43" s="100"/>
      <c r="M43" s="100"/>
      <c r="N43" s="100"/>
      <c r="O43" s="100"/>
      <c r="P43" s="100"/>
      <c r="Q43" s="101"/>
      <c r="R43" s="93" t="s">
        <v>20</v>
      </c>
      <c r="S43" s="93"/>
      <c r="T43" s="93"/>
      <c r="U43" s="94"/>
    </row>
    <row r="44" spans="1:21" x14ac:dyDescent="0.4">
      <c r="A44" s="86">
        <f t="shared" si="0"/>
        <v>40</v>
      </c>
      <c r="B44" s="92"/>
      <c r="C44" s="189"/>
      <c r="D44" s="164"/>
      <c r="E44" s="103"/>
      <c r="F44" s="103"/>
      <c r="G44" s="103"/>
      <c r="H44" s="92"/>
      <c r="I44" s="103"/>
      <c r="J44" s="104"/>
      <c r="K44" s="100" t="s">
        <v>1266</v>
      </c>
      <c r="L44" s="100"/>
      <c r="M44" s="100"/>
      <c r="N44" s="100"/>
      <c r="O44" s="100"/>
      <c r="P44" s="100"/>
      <c r="Q44" s="101"/>
      <c r="R44" s="93" t="s">
        <v>36</v>
      </c>
      <c r="S44" s="93"/>
      <c r="T44" s="93"/>
      <c r="U44" s="94"/>
    </row>
    <row r="45" spans="1:21" x14ac:dyDescent="0.4">
      <c r="A45" s="86">
        <f t="shared" si="0"/>
        <v>41</v>
      </c>
      <c r="B45" s="92"/>
      <c r="C45" s="189"/>
      <c r="D45" s="164"/>
      <c r="E45" s="103"/>
      <c r="F45" s="103"/>
      <c r="G45" s="103"/>
      <c r="H45" s="92"/>
      <c r="I45" s="103"/>
      <c r="J45" s="104"/>
      <c r="K45" s="100" t="s">
        <v>1267</v>
      </c>
      <c r="L45" s="100"/>
      <c r="M45" s="100"/>
      <c r="N45" s="100"/>
      <c r="O45" s="100"/>
      <c r="P45" s="100"/>
      <c r="Q45" s="101"/>
      <c r="R45" s="93" t="s">
        <v>36</v>
      </c>
      <c r="S45" s="93"/>
      <c r="T45" s="93"/>
      <c r="U45" s="94"/>
    </row>
    <row r="46" spans="1:21" x14ac:dyDescent="0.4">
      <c r="A46" s="86">
        <f t="shared" si="0"/>
        <v>42</v>
      </c>
      <c r="B46" s="92"/>
      <c r="C46" s="189"/>
      <c r="D46" s="164"/>
      <c r="E46" s="103"/>
      <c r="F46" s="103"/>
      <c r="G46" s="103"/>
      <c r="H46" s="92"/>
      <c r="I46" s="103"/>
      <c r="J46" s="104"/>
      <c r="K46" s="100" t="s">
        <v>38</v>
      </c>
      <c r="L46" s="100"/>
      <c r="M46" s="100"/>
      <c r="N46" s="100"/>
      <c r="O46" s="100"/>
      <c r="P46" s="100"/>
      <c r="Q46" s="101"/>
      <c r="R46" s="93" t="s">
        <v>36</v>
      </c>
      <c r="S46" s="93"/>
      <c r="T46" s="93"/>
      <c r="U46" s="94"/>
    </row>
    <row r="47" spans="1:21" x14ac:dyDescent="0.4">
      <c r="A47" s="86">
        <f t="shared" si="0"/>
        <v>43</v>
      </c>
      <c r="B47" s="92"/>
      <c r="C47" s="189"/>
      <c r="D47" s="164"/>
      <c r="E47" s="103"/>
      <c r="F47" s="103"/>
      <c r="G47" s="103"/>
      <c r="H47" s="92"/>
      <c r="I47" s="103"/>
      <c r="J47" s="104"/>
      <c r="K47" s="100" t="s">
        <v>39</v>
      </c>
      <c r="L47" s="100"/>
      <c r="M47" s="100"/>
      <c r="N47" s="100"/>
      <c r="O47" s="100"/>
      <c r="P47" s="100"/>
      <c r="Q47" s="101"/>
      <c r="R47" s="93" t="s">
        <v>36</v>
      </c>
      <c r="S47" s="93"/>
      <c r="T47" s="93"/>
      <c r="U47" s="94"/>
    </row>
    <row r="48" spans="1:21" x14ac:dyDescent="0.4">
      <c r="A48" s="86">
        <f t="shared" si="0"/>
        <v>44</v>
      </c>
      <c r="B48" s="92"/>
      <c r="C48" s="189"/>
      <c r="D48" s="164"/>
      <c r="E48" s="103"/>
      <c r="F48" s="103"/>
      <c r="G48" s="103"/>
      <c r="H48" s="92"/>
      <c r="I48" s="103"/>
      <c r="J48" s="104"/>
      <c r="K48" s="100" t="s">
        <v>1268</v>
      </c>
      <c r="L48" s="100"/>
      <c r="M48" s="100"/>
      <c r="N48" s="100"/>
      <c r="O48" s="100"/>
      <c r="P48" s="100"/>
      <c r="Q48" s="101"/>
      <c r="R48" s="93" t="s">
        <v>36</v>
      </c>
      <c r="S48" s="93"/>
      <c r="T48" s="93"/>
      <c r="U48" s="94"/>
    </row>
    <row r="49" spans="1:21" x14ac:dyDescent="0.4">
      <c r="A49" s="86">
        <f t="shared" si="0"/>
        <v>45</v>
      </c>
      <c r="B49" s="92"/>
      <c r="C49" s="189"/>
      <c r="D49" s="164"/>
      <c r="E49" s="103"/>
      <c r="F49" s="103"/>
      <c r="G49" s="103"/>
      <c r="H49" s="92"/>
      <c r="I49" s="103"/>
      <c r="J49" s="104"/>
      <c r="K49" s="100" t="s">
        <v>1269</v>
      </c>
      <c r="L49" s="100"/>
      <c r="M49" s="100"/>
      <c r="N49" s="100"/>
      <c r="O49" s="100"/>
      <c r="P49" s="100"/>
      <c r="Q49" s="101"/>
      <c r="R49" s="93" t="s">
        <v>36</v>
      </c>
      <c r="S49" s="93"/>
      <c r="T49" s="93"/>
      <c r="U49" s="94"/>
    </row>
    <row r="50" spans="1:21" x14ac:dyDescent="0.4">
      <c r="A50" s="86">
        <f t="shared" si="0"/>
        <v>46</v>
      </c>
      <c r="B50" s="92"/>
      <c r="C50" s="189"/>
      <c r="D50" s="164"/>
      <c r="E50" s="103"/>
      <c r="F50" s="103"/>
      <c r="G50" s="103"/>
      <c r="H50" s="92"/>
      <c r="I50" s="103"/>
      <c r="J50" s="104"/>
      <c r="K50" s="100" t="s">
        <v>1270</v>
      </c>
      <c r="L50" s="100"/>
      <c r="M50" s="100"/>
      <c r="N50" s="100"/>
      <c r="O50" s="100"/>
      <c r="P50" s="100"/>
      <c r="Q50" s="101"/>
      <c r="R50" s="93" t="s">
        <v>36</v>
      </c>
      <c r="S50" s="93"/>
      <c r="T50" s="93"/>
      <c r="U50" s="94"/>
    </row>
    <row r="51" spans="1:21" x14ac:dyDescent="0.4">
      <c r="A51" s="86">
        <f t="shared" si="0"/>
        <v>47</v>
      </c>
      <c r="B51" s="92"/>
      <c r="C51" s="189"/>
      <c r="D51" s="164"/>
      <c r="E51" s="103"/>
      <c r="F51" s="103"/>
      <c r="G51" s="103"/>
      <c r="H51" s="92"/>
      <c r="I51" s="103"/>
      <c r="J51" s="104"/>
      <c r="K51" s="100" t="s">
        <v>1271</v>
      </c>
      <c r="L51" s="100"/>
      <c r="M51" s="100"/>
      <c r="N51" s="100"/>
      <c r="O51" s="100"/>
      <c r="P51" s="100"/>
      <c r="Q51" s="101"/>
      <c r="R51" s="93" t="s">
        <v>36</v>
      </c>
      <c r="S51" s="93"/>
      <c r="T51" s="93"/>
      <c r="U51" s="94"/>
    </row>
    <row r="52" spans="1:21" x14ac:dyDescent="0.4">
      <c r="A52" s="86">
        <f t="shared" si="0"/>
        <v>48</v>
      </c>
      <c r="B52" s="92"/>
      <c r="C52" s="189"/>
      <c r="D52" s="164"/>
      <c r="E52" s="103"/>
      <c r="F52" s="103"/>
      <c r="G52" s="103"/>
      <c r="H52" s="92"/>
      <c r="I52" s="103"/>
      <c r="J52" s="104"/>
      <c r="K52" s="100" t="s">
        <v>1272</v>
      </c>
      <c r="L52" s="100"/>
      <c r="M52" s="100"/>
      <c r="N52" s="100"/>
      <c r="O52" s="100"/>
      <c r="P52" s="100"/>
      <c r="Q52" s="101"/>
      <c r="R52" s="93" t="s">
        <v>36</v>
      </c>
      <c r="S52" s="93"/>
      <c r="T52" s="93"/>
      <c r="U52" s="94"/>
    </row>
    <row r="53" spans="1:21" x14ac:dyDescent="0.4">
      <c r="A53" s="86">
        <f t="shared" si="0"/>
        <v>49</v>
      </c>
      <c r="B53" s="92"/>
      <c r="C53" s="189"/>
      <c r="D53" s="164"/>
      <c r="E53" s="103"/>
      <c r="F53" s="103"/>
      <c r="G53" s="103"/>
      <c r="H53" s="92"/>
      <c r="I53" s="103"/>
      <c r="J53" s="104"/>
      <c r="K53" s="100" t="s">
        <v>1273</v>
      </c>
      <c r="L53" s="100"/>
      <c r="M53" s="100"/>
      <c r="N53" s="100"/>
      <c r="O53" s="100"/>
      <c r="P53" s="100"/>
      <c r="Q53" s="101"/>
      <c r="R53" s="93" t="s">
        <v>36</v>
      </c>
      <c r="S53" s="93"/>
      <c r="T53" s="93"/>
      <c r="U53" s="94"/>
    </row>
    <row r="54" spans="1:21" x14ac:dyDescent="0.4">
      <c r="A54" s="86">
        <f t="shared" si="0"/>
        <v>50</v>
      </c>
      <c r="B54" s="92"/>
      <c r="C54" s="189"/>
      <c r="D54" s="164"/>
      <c r="E54" s="103"/>
      <c r="F54" s="103"/>
      <c r="G54" s="103"/>
      <c r="H54" s="92"/>
      <c r="I54" s="107"/>
      <c r="J54" s="108"/>
      <c r="K54" s="100" t="s">
        <v>1274</v>
      </c>
      <c r="L54" s="100"/>
      <c r="M54" s="100"/>
      <c r="N54" s="100"/>
      <c r="O54" s="100"/>
      <c r="P54" s="100"/>
      <c r="Q54" s="101"/>
      <c r="R54" s="93" t="s">
        <v>36</v>
      </c>
      <c r="S54" s="93"/>
      <c r="T54" s="93"/>
      <c r="U54" s="94"/>
    </row>
    <row r="55" spans="1:21" x14ac:dyDescent="0.4">
      <c r="A55" s="86">
        <f t="shared" si="0"/>
        <v>51</v>
      </c>
      <c r="B55" s="92"/>
      <c r="C55" s="189"/>
      <c r="D55" s="164"/>
      <c r="E55" s="103"/>
      <c r="F55" s="103"/>
      <c r="G55" s="103"/>
      <c r="H55" s="92"/>
      <c r="I55" s="92" t="s">
        <v>40</v>
      </c>
      <c r="J55" s="89"/>
      <c r="K55" s="89"/>
      <c r="L55" s="89"/>
      <c r="M55" s="89"/>
      <c r="N55" s="89"/>
      <c r="O55" s="89"/>
      <c r="P55" s="89"/>
      <c r="Q55" s="90"/>
      <c r="R55" s="98"/>
      <c r="S55" s="98"/>
      <c r="T55" s="98"/>
      <c r="U55" s="91"/>
    </row>
    <row r="56" spans="1:21" x14ac:dyDescent="0.4">
      <c r="A56" s="86">
        <f t="shared" si="0"/>
        <v>52</v>
      </c>
      <c r="B56" s="92"/>
      <c r="C56" s="189"/>
      <c r="D56" s="164"/>
      <c r="E56" s="103"/>
      <c r="F56" s="103"/>
      <c r="G56" s="103"/>
      <c r="H56" s="92"/>
      <c r="I56" s="103"/>
      <c r="J56" s="103" t="s">
        <v>1275</v>
      </c>
      <c r="K56" s="89"/>
      <c r="L56" s="89"/>
      <c r="M56" s="89"/>
      <c r="N56" s="89"/>
      <c r="O56" s="89"/>
      <c r="P56" s="89"/>
      <c r="Q56" s="90"/>
      <c r="R56" s="98"/>
      <c r="S56" s="98"/>
      <c r="T56" s="98"/>
      <c r="U56" s="91"/>
    </row>
    <row r="57" spans="1:21" x14ac:dyDescent="0.4">
      <c r="A57" s="86">
        <f t="shared" si="0"/>
        <v>53</v>
      </c>
      <c r="B57" s="92"/>
      <c r="C57" s="189"/>
      <c r="D57" s="164"/>
      <c r="E57" s="103"/>
      <c r="F57" s="103"/>
      <c r="G57" s="103"/>
      <c r="H57" s="92"/>
      <c r="I57" s="103"/>
      <c r="J57" s="103"/>
      <c r="K57" s="100" t="s">
        <v>41</v>
      </c>
      <c r="L57" s="100"/>
      <c r="M57" s="100"/>
      <c r="N57" s="100"/>
      <c r="O57" s="100"/>
      <c r="P57" s="100"/>
      <c r="Q57" s="101"/>
      <c r="R57" s="93" t="s">
        <v>10</v>
      </c>
      <c r="S57" s="93"/>
      <c r="T57" s="93"/>
      <c r="U57" s="94"/>
    </row>
    <row r="58" spans="1:21" x14ac:dyDescent="0.4">
      <c r="A58" s="86">
        <f t="shared" si="0"/>
        <v>54</v>
      </c>
      <c r="B58" s="92"/>
      <c r="C58" s="189"/>
      <c r="D58" s="164"/>
      <c r="E58" s="103"/>
      <c r="F58" s="103"/>
      <c r="G58" s="103"/>
      <c r="H58" s="92"/>
      <c r="I58" s="103"/>
      <c r="J58" s="107"/>
      <c r="K58" s="100" t="s">
        <v>1276</v>
      </c>
      <c r="L58" s="100"/>
      <c r="M58" s="100"/>
      <c r="N58" s="100"/>
      <c r="O58" s="100"/>
      <c r="P58" s="100"/>
      <c r="Q58" s="101"/>
      <c r="R58" s="93" t="s">
        <v>9</v>
      </c>
      <c r="S58" s="93"/>
      <c r="T58" s="93"/>
      <c r="U58" s="94"/>
    </row>
    <row r="59" spans="1:21" x14ac:dyDescent="0.4">
      <c r="A59" s="86">
        <f t="shared" si="0"/>
        <v>55</v>
      </c>
      <c r="B59" s="92"/>
      <c r="C59" s="189"/>
      <c r="D59" s="164"/>
      <c r="E59" s="103"/>
      <c r="F59" s="103"/>
      <c r="G59" s="103"/>
      <c r="H59" s="92"/>
      <c r="I59" s="103"/>
      <c r="J59" s="87" t="s">
        <v>42</v>
      </c>
      <c r="K59" s="89"/>
      <c r="L59" s="89"/>
      <c r="M59" s="89"/>
      <c r="N59" s="89"/>
      <c r="O59" s="89"/>
      <c r="P59" s="89"/>
      <c r="Q59" s="90"/>
      <c r="R59" s="98"/>
      <c r="S59" s="98"/>
      <c r="T59" s="98"/>
      <c r="U59" s="91"/>
    </row>
    <row r="60" spans="1:21" x14ac:dyDescent="0.4">
      <c r="A60" s="86">
        <f t="shared" si="0"/>
        <v>56</v>
      </c>
      <c r="B60" s="92"/>
      <c r="C60" s="189"/>
      <c r="D60" s="164"/>
      <c r="E60" s="103"/>
      <c r="F60" s="103"/>
      <c r="G60" s="103"/>
      <c r="H60" s="92"/>
      <c r="I60" s="103"/>
      <c r="J60" s="103"/>
      <c r="K60" s="112" t="s">
        <v>1277</v>
      </c>
      <c r="L60" s="100"/>
      <c r="M60" s="100"/>
      <c r="N60" s="100"/>
      <c r="O60" s="100"/>
      <c r="P60" s="100"/>
      <c r="Q60" s="101"/>
      <c r="R60" s="93" t="s">
        <v>20</v>
      </c>
      <c r="S60" s="93"/>
      <c r="T60" s="93"/>
      <c r="U60" s="94"/>
    </row>
    <row r="61" spans="1:21" x14ac:dyDescent="0.4">
      <c r="A61" s="86">
        <f t="shared" si="0"/>
        <v>57</v>
      </c>
      <c r="B61" s="92"/>
      <c r="C61" s="189"/>
      <c r="D61" s="164"/>
      <c r="E61" s="103"/>
      <c r="F61" s="103"/>
      <c r="G61" s="103"/>
      <c r="H61" s="92"/>
      <c r="I61" s="103"/>
      <c r="J61" s="103"/>
      <c r="K61" s="104"/>
      <c r="L61" s="88" t="s">
        <v>43</v>
      </c>
      <c r="M61" s="88"/>
      <c r="N61" s="88"/>
      <c r="O61" s="88"/>
      <c r="P61" s="88"/>
      <c r="Q61" s="90"/>
      <c r="R61" s="98"/>
      <c r="S61" s="98"/>
      <c r="T61" s="98"/>
      <c r="U61" s="91" t="s">
        <v>2945</v>
      </c>
    </row>
    <row r="62" spans="1:21" x14ac:dyDescent="0.4">
      <c r="A62" s="86">
        <f t="shared" si="0"/>
        <v>58</v>
      </c>
      <c r="B62" s="92"/>
      <c r="C62" s="189"/>
      <c r="D62" s="164"/>
      <c r="E62" s="103"/>
      <c r="F62" s="103"/>
      <c r="G62" s="103"/>
      <c r="H62" s="92"/>
      <c r="I62" s="103"/>
      <c r="J62" s="103"/>
      <c r="K62" s="104"/>
      <c r="L62" s="103"/>
      <c r="M62" s="109" t="s">
        <v>44</v>
      </c>
      <c r="N62" s="112"/>
      <c r="O62" s="112"/>
      <c r="P62" s="112"/>
      <c r="Q62" s="101"/>
      <c r="R62" s="93" t="s">
        <v>10</v>
      </c>
      <c r="S62" s="93"/>
      <c r="T62" s="93"/>
      <c r="U62" s="94"/>
    </row>
    <row r="63" spans="1:21" x14ac:dyDescent="0.4">
      <c r="A63" s="86">
        <f t="shared" si="0"/>
        <v>59</v>
      </c>
      <c r="B63" s="92"/>
      <c r="C63" s="189"/>
      <c r="D63" s="164"/>
      <c r="E63" s="103"/>
      <c r="F63" s="103"/>
      <c r="G63" s="103"/>
      <c r="H63" s="92"/>
      <c r="I63" s="103"/>
      <c r="J63" s="103"/>
      <c r="K63" s="104"/>
      <c r="L63" s="103"/>
      <c r="M63" s="104"/>
      <c r="N63" s="99" t="s">
        <v>46</v>
      </c>
      <c r="O63" s="100"/>
      <c r="P63" s="100"/>
      <c r="Q63" s="101"/>
      <c r="R63" s="93" t="s">
        <v>1239</v>
      </c>
      <c r="S63" s="93"/>
      <c r="T63" s="93"/>
      <c r="U63" s="94"/>
    </row>
    <row r="64" spans="1:21" x14ac:dyDescent="0.4">
      <c r="A64" s="86">
        <f t="shared" si="0"/>
        <v>60</v>
      </c>
      <c r="B64" s="92"/>
      <c r="C64" s="189"/>
      <c r="D64" s="164"/>
      <c r="E64" s="103"/>
      <c r="F64" s="103"/>
      <c r="G64" s="103"/>
      <c r="H64" s="92"/>
      <c r="I64" s="103"/>
      <c r="J64" s="103"/>
      <c r="K64" s="104"/>
      <c r="L64" s="103"/>
      <c r="M64" s="108"/>
      <c r="N64" s="99" t="s">
        <v>47</v>
      </c>
      <c r="O64" s="100"/>
      <c r="P64" s="100"/>
      <c r="Q64" s="101"/>
      <c r="R64" s="93" t="s">
        <v>1239</v>
      </c>
      <c r="S64" s="93"/>
      <c r="T64" s="93"/>
      <c r="U64" s="94"/>
    </row>
    <row r="65" spans="1:21" x14ac:dyDescent="0.4">
      <c r="A65" s="86">
        <f t="shared" si="0"/>
        <v>61</v>
      </c>
      <c r="B65" s="92"/>
      <c r="C65" s="189"/>
      <c r="D65" s="164"/>
      <c r="E65" s="103"/>
      <c r="F65" s="103"/>
      <c r="G65" s="103"/>
      <c r="H65" s="92"/>
      <c r="I65" s="103"/>
      <c r="J65" s="103"/>
      <c r="K65" s="104"/>
      <c r="L65" s="103"/>
      <c r="M65" s="99" t="s">
        <v>45</v>
      </c>
      <c r="N65" s="100"/>
      <c r="O65" s="100"/>
      <c r="P65" s="100"/>
      <c r="Q65" s="101"/>
      <c r="R65" s="93" t="s">
        <v>9</v>
      </c>
      <c r="S65" s="93"/>
      <c r="T65" s="93"/>
      <c r="U65" s="94"/>
    </row>
    <row r="66" spans="1:21" x14ac:dyDescent="0.4">
      <c r="A66" s="86">
        <f t="shared" si="0"/>
        <v>62</v>
      </c>
      <c r="B66" s="92"/>
      <c r="C66" s="189"/>
      <c r="D66" s="164"/>
      <c r="E66" s="103"/>
      <c r="F66" s="103"/>
      <c r="G66" s="103"/>
      <c r="H66" s="92"/>
      <c r="I66" s="103"/>
      <c r="J66" s="103"/>
      <c r="K66" s="104"/>
      <c r="L66" s="107"/>
      <c r="M66" s="99" t="s">
        <v>1278</v>
      </c>
      <c r="N66" s="100"/>
      <c r="O66" s="100"/>
      <c r="P66" s="100"/>
      <c r="Q66" s="101"/>
      <c r="R66" s="93" t="s">
        <v>10</v>
      </c>
      <c r="S66" s="93"/>
      <c r="T66" s="93"/>
      <c r="U66" s="94"/>
    </row>
    <row r="67" spans="1:21" x14ac:dyDescent="0.4">
      <c r="A67" s="86">
        <f t="shared" si="0"/>
        <v>63</v>
      </c>
      <c r="B67" s="92"/>
      <c r="C67" s="189"/>
      <c r="D67" s="164"/>
      <c r="E67" s="103"/>
      <c r="F67" s="103"/>
      <c r="G67" s="103"/>
      <c r="H67" s="92"/>
      <c r="I67" s="87" t="s">
        <v>1279</v>
      </c>
      <c r="J67" s="89"/>
      <c r="K67" s="89"/>
      <c r="L67" s="89"/>
      <c r="M67" s="89"/>
      <c r="N67" s="89"/>
      <c r="O67" s="89"/>
      <c r="P67" s="89"/>
      <c r="Q67" s="90"/>
      <c r="R67" s="98"/>
      <c r="S67" s="98"/>
      <c r="T67" s="98"/>
      <c r="U67" s="91"/>
    </row>
    <row r="68" spans="1:21" x14ac:dyDescent="0.4">
      <c r="A68" s="86">
        <f t="shared" si="0"/>
        <v>64</v>
      </c>
      <c r="B68" s="92"/>
      <c r="C68" s="189"/>
      <c r="D68" s="164"/>
      <c r="E68" s="103"/>
      <c r="F68" s="103"/>
      <c r="G68" s="103"/>
      <c r="H68" s="92"/>
      <c r="I68" s="103"/>
      <c r="J68" s="99" t="s">
        <v>1280</v>
      </c>
      <c r="K68" s="100"/>
      <c r="L68" s="100"/>
      <c r="M68" s="100"/>
      <c r="N68" s="100"/>
      <c r="O68" s="100"/>
      <c r="P68" s="100"/>
      <c r="Q68" s="101"/>
      <c r="R68" s="93" t="s">
        <v>1231</v>
      </c>
      <c r="S68" s="93"/>
      <c r="T68" s="93"/>
      <c r="U68" s="94"/>
    </row>
    <row r="69" spans="1:21" x14ac:dyDescent="0.4">
      <c r="A69" s="86">
        <f t="shared" si="0"/>
        <v>65</v>
      </c>
      <c r="B69" s="92"/>
      <c r="C69" s="189"/>
      <c r="D69" s="164"/>
      <c r="E69" s="103"/>
      <c r="F69" s="103"/>
      <c r="G69" s="103"/>
      <c r="H69" s="92"/>
      <c r="I69" s="103"/>
      <c r="J69" s="109" t="s">
        <v>1281</v>
      </c>
      <c r="K69" s="100"/>
      <c r="L69" s="100"/>
      <c r="M69" s="100"/>
      <c r="N69" s="100"/>
      <c r="O69" s="100"/>
      <c r="P69" s="100"/>
      <c r="Q69" s="101"/>
      <c r="R69" s="93" t="s">
        <v>1232</v>
      </c>
      <c r="S69" s="93"/>
      <c r="T69" s="93"/>
      <c r="U69" s="94"/>
    </row>
    <row r="70" spans="1:21" x14ac:dyDescent="0.4">
      <c r="A70" s="86">
        <f t="shared" si="0"/>
        <v>66</v>
      </c>
      <c r="B70" s="92"/>
      <c r="C70" s="189"/>
      <c r="D70" s="164"/>
      <c r="E70" s="103"/>
      <c r="F70" s="103"/>
      <c r="G70" s="107"/>
      <c r="H70" s="107"/>
      <c r="I70" s="107"/>
      <c r="J70" s="108"/>
      <c r="K70" s="99"/>
      <c r="L70" s="100"/>
      <c r="M70" s="100"/>
      <c r="N70" s="100"/>
      <c r="O70" s="100"/>
      <c r="P70" s="100"/>
      <c r="Q70" s="101"/>
      <c r="R70" s="93" t="s">
        <v>1240</v>
      </c>
      <c r="S70" s="93"/>
      <c r="T70" s="93"/>
      <c r="U70" s="94"/>
    </row>
    <row r="71" spans="1:21" x14ac:dyDescent="0.4">
      <c r="A71" s="86">
        <f t="shared" ref="A71:A134" si="1">A70+1</f>
        <v>67</v>
      </c>
      <c r="B71" s="92"/>
      <c r="C71" s="189"/>
      <c r="D71" s="164"/>
      <c r="E71" s="103"/>
      <c r="F71" s="103"/>
      <c r="G71" s="88" t="s">
        <v>2762</v>
      </c>
      <c r="H71" s="89"/>
      <c r="I71" s="89"/>
      <c r="J71" s="89"/>
      <c r="K71" s="89"/>
      <c r="L71" s="89"/>
      <c r="M71" s="89"/>
      <c r="N71" s="89"/>
      <c r="O71" s="89"/>
      <c r="P71" s="89"/>
      <c r="Q71" s="90"/>
      <c r="R71" s="91"/>
      <c r="S71" s="91"/>
      <c r="T71" s="91"/>
      <c r="U71" s="91"/>
    </row>
    <row r="72" spans="1:21" x14ac:dyDescent="0.4">
      <c r="A72" s="86">
        <f t="shared" si="1"/>
        <v>68</v>
      </c>
      <c r="B72" s="92"/>
      <c r="C72" s="189"/>
      <c r="D72" s="164"/>
      <c r="E72" s="103"/>
      <c r="F72" s="103"/>
      <c r="G72" s="107"/>
      <c r="H72" s="100"/>
      <c r="I72" s="100"/>
      <c r="J72" s="100"/>
      <c r="K72" s="100"/>
      <c r="L72" s="100"/>
      <c r="M72" s="100"/>
      <c r="N72" s="100"/>
      <c r="O72" s="100"/>
      <c r="P72" s="100"/>
      <c r="Q72" s="101"/>
      <c r="R72" s="91"/>
      <c r="S72" s="91"/>
      <c r="T72" s="91"/>
      <c r="U72" s="91"/>
    </row>
    <row r="73" spans="1:21" x14ac:dyDescent="0.4">
      <c r="A73" s="86">
        <f t="shared" si="1"/>
        <v>69</v>
      </c>
      <c r="B73" s="92"/>
      <c r="C73" s="189"/>
      <c r="D73" s="164"/>
      <c r="E73" s="103"/>
      <c r="F73" s="103"/>
      <c r="G73" s="87" t="s">
        <v>48</v>
      </c>
      <c r="H73" s="89"/>
      <c r="I73" s="89"/>
      <c r="J73" s="89"/>
      <c r="K73" s="89"/>
      <c r="L73" s="89"/>
      <c r="M73" s="89"/>
      <c r="N73" s="89"/>
      <c r="O73" s="89"/>
      <c r="P73" s="89"/>
      <c r="Q73" s="90"/>
      <c r="R73" s="98"/>
      <c r="S73" s="98"/>
      <c r="T73" s="98"/>
      <c r="U73" s="91"/>
    </row>
    <row r="74" spans="1:21" x14ac:dyDescent="0.4">
      <c r="A74" s="86">
        <f t="shared" si="1"/>
        <v>70</v>
      </c>
      <c r="B74" s="92"/>
      <c r="C74" s="189"/>
      <c r="D74" s="164"/>
      <c r="E74" s="103"/>
      <c r="F74" s="103"/>
      <c r="G74" s="103"/>
      <c r="H74" s="92" t="s">
        <v>49</v>
      </c>
      <c r="I74" s="89"/>
      <c r="J74" s="89"/>
      <c r="K74" s="89"/>
      <c r="L74" s="89"/>
      <c r="M74" s="89"/>
      <c r="N74" s="89"/>
      <c r="O74" s="89"/>
      <c r="P74" s="89"/>
      <c r="Q74" s="90"/>
      <c r="R74" s="98"/>
      <c r="S74" s="98"/>
      <c r="T74" s="98"/>
      <c r="U74" s="91"/>
    </row>
    <row r="75" spans="1:21" x14ac:dyDescent="0.4">
      <c r="A75" s="86">
        <f t="shared" si="1"/>
        <v>71</v>
      </c>
      <c r="B75" s="92"/>
      <c r="C75" s="189"/>
      <c r="D75" s="164"/>
      <c r="E75" s="103"/>
      <c r="F75" s="103"/>
      <c r="G75" s="103"/>
      <c r="H75" s="92"/>
      <c r="I75" s="103" t="s">
        <v>1282</v>
      </c>
      <c r="J75" s="103"/>
      <c r="K75" s="103"/>
      <c r="L75" s="89"/>
      <c r="M75" s="89"/>
      <c r="N75" s="89"/>
      <c r="O75" s="89"/>
      <c r="P75" s="89"/>
      <c r="Q75" s="90"/>
      <c r="R75" s="98"/>
      <c r="S75" s="98"/>
      <c r="T75" s="98"/>
      <c r="U75" s="91"/>
    </row>
    <row r="76" spans="1:21" x14ac:dyDescent="0.4">
      <c r="A76" s="86">
        <f t="shared" si="1"/>
        <v>72</v>
      </c>
      <c r="B76" s="92"/>
      <c r="C76" s="189"/>
      <c r="D76" s="164"/>
      <c r="E76" s="103"/>
      <c r="F76" s="103"/>
      <c r="G76" s="103"/>
      <c r="H76" s="92"/>
      <c r="I76" s="107"/>
      <c r="J76" s="100" t="s">
        <v>50</v>
      </c>
      <c r="K76" s="100"/>
      <c r="L76" s="100"/>
      <c r="M76" s="100"/>
      <c r="N76" s="100"/>
      <c r="O76" s="100"/>
      <c r="P76" s="100"/>
      <c r="Q76" s="101"/>
      <c r="R76" s="93" t="s">
        <v>9</v>
      </c>
      <c r="S76" s="93"/>
      <c r="T76" s="93"/>
      <c r="U76" s="94"/>
    </row>
    <row r="77" spans="1:21" x14ac:dyDescent="0.4">
      <c r="A77" s="86">
        <f t="shared" si="1"/>
        <v>73</v>
      </c>
      <c r="B77" s="92"/>
      <c r="C77" s="189"/>
      <c r="D77" s="164"/>
      <c r="E77" s="103"/>
      <c r="F77" s="103"/>
      <c r="G77" s="103"/>
      <c r="H77" s="92"/>
      <c r="I77" s="87" t="s">
        <v>1283</v>
      </c>
      <c r="J77" s="89"/>
      <c r="K77" s="89"/>
      <c r="L77" s="89"/>
      <c r="M77" s="89"/>
      <c r="N77" s="89"/>
      <c r="O77" s="89"/>
      <c r="P77" s="89"/>
      <c r="Q77" s="90"/>
      <c r="R77" s="93" t="s">
        <v>20</v>
      </c>
      <c r="S77" s="93"/>
      <c r="T77" s="98"/>
      <c r="U77" s="91"/>
    </row>
    <row r="78" spans="1:21" x14ac:dyDescent="0.4">
      <c r="A78" s="86">
        <f t="shared" si="1"/>
        <v>74</v>
      </c>
      <c r="B78" s="92"/>
      <c r="C78" s="189"/>
      <c r="D78" s="164"/>
      <c r="E78" s="103"/>
      <c r="F78" s="103"/>
      <c r="G78" s="103"/>
      <c r="H78" s="92"/>
      <c r="I78" s="107"/>
      <c r="J78" s="100"/>
      <c r="K78" s="100"/>
      <c r="L78" s="100"/>
      <c r="M78" s="100"/>
      <c r="N78" s="100"/>
      <c r="O78" s="100"/>
      <c r="P78" s="100"/>
      <c r="Q78" s="101"/>
      <c r="R78" s="143" t="s">
        <v>52</v>
      </c>
      <c r="S78" s="143"/>
      <c r="T78" s="143"/>
      <c r="U78" s="94"/>
    </row>
    <row r="79" spans="1:21" x14ac:dyDescent="0.4">
      <c r="A79" s="86">
        <f t="shared" si="1"/>
        <v>75</v>
      </c>
      <c r="B79" s="92"/>
      <c r="C79" s="189"/>
      <c r="D79" s="164"/>
      <c r="E79" s="103"/>
      <c r="F79" s="103"/>
      <c r="G79" s="103"/>
      <c r="H79" s="92"/>
      <c r="I79" s="87" t="s">
        <v>51</v>
      </c>
      <c r="J79" s="89"/>
      <c r="K79" s="89"/>
      <c r="L79" s="89"/>
      <c r="M79" s="89"/>
      <c r="N79" s="89"/>
      <c r="O79" s="89"/>
      <c r="P79" s="89"/>
      <c r="Q79" s="90"/>
      <c r="R79" s="93" t="s">
        <v>36</v>
      </c>
      <c r="S79" s="93"/>
      <c r="T79" s="98"/>
      <c r="U79" s="91"/>
    </row>
    <row r="80" spans="1:21" x14ac:dyDescent="0.4">
      <c r="A80" s="86">
        <f t="shared" si="1"/>
        <v>76</v>
      </c>
      <c r="B80" s="92"/>
      <c r="C80" s="189"/>
      <c r="D80" s="164"/>
      <c r="E80" s="103"/>
      <c r="F80" s="103"/>
      <c r="G80" s="103"/>
      <c r="H80" s="107"/>
      <c r="I80" s="107"/>
      <c r="J80" s="100"/>
      <c r="K80" s="100"/>
      <c r="L80" s="100"/>
      <c r="M80" s="100"/>
      <c r="N80" s="100"/>
      <c r="O80" s="100"/>
      <c r="P80" s="100"/>
      <c r="Q80" s="101"/>
      <c r="R80" s="143" t="s">
        <v>53</v>
      </c>
      <c r="S80" s="143"/>
      <c r="T80" s="143"/>
      <c r="U80" s="94"/>
    </row>
    <row r="81" spans="1:21" x14ac:dyDescent="0.4">
      <c r="A81" s="86">
        <f t="shared" si="1"/>
        <v>77</v>
      </c>
      <c r="B81" s="92"/>
      <c r="C81" s="189"/>
      <c r="D81" s="164"/>
      <c r="E81" s="103"/>
      <c r="F81" s="103"/>
      <c r="G81" s="103"/>
      <c r="H81" s="87" t="s">
        <v>1284</v>
      </c>
      <c r="I81" s="89"/>
      <c r="J81" s="89"/>
      <c r="K81" s="89"/>
      <c r="L81" s="89"/>
      <c r="M81" s="89"/>
      <c r="N81" s="89"/>
      <c r="O81" s="89"/>
      <c r="P81" s="89"/>
      <c r="Q81" s="90"/>
      <c r="R81" s="98"/>
      <c r="S81" s="98"/>
      <c r="T81" s="98"/>
      <c r="U81" s="91"/>
    </row>
    <row r="82" spans="1:21" x14ac:dyDescent="0.4">
      <c r="A82" s="86">
        <f t="shared" si="1"/>
        <v>78</v>
      </c>
      <c r="B82" s="92"/>
      <c r="C82" s="189"/>
      <c r="D82" s="164"/>
      <c r="E82" s="103"/>
      <c r="F82" s="103"/>
      <c r="G82" s="103"/>
      <c r="H82" s="103"/>
      <c r="I82" s="100" t="s">
        <v>54</v>
      </c>
      <c r="J82" s="100"/>
      <c r="K82" s="100"/>
      <c r="L82" s="100"/>
      <c r="M82" s="100"/>
      <c r="N82" s="100"/>
      <c r="O82" s="100"/>
      <c r="P82" s="100"/>
      <c r="Q82" s="101"/>
      <c r="R82" s="93" t="s">
        <v>20</v>
      </c>
      <c r="S82" s="93"/>
      <c r="T82" s="93"/>
      <c r="U82" s="94"/>
    </row>
    <row r="83" spans="1:21" x14ac:dyDescent="0.4">
      <c r="A83" s="86">
        <f t="shared" si="1"/>
        <v>79</v>
      </c>
      <c r="B83" s="92"/>
      <c r="C83" s="189"/>
      <c r="D83" s="164"/>
      <c r="E83" s="103"/>
      <c r="F83" s="103"/>
      <c r="G83" s="103"/>
      <c r="H83" s="103"/>
      <c r="I83" s="100" t="s">
        <v>55</v>
      </c>
      <c r="J83" s="100"/>
      <c r="K83" s="100"/>
      <c r="L83" s="100"/>
      <c r="M83" s="100"/>
      <c r="N83" s="100"/>
      <c r="O83" s="100"/>
      <c r="P83" s="100"/>
      <c r="Q83" s="101"/>
      <c r="R83" s="93" t="s">
        <v>20</v>
      </c>
      <c r="S83" s="93"/>
      <c r="T83" s="93"/>
      <c r="U83" s="94"/>
    </row>
    <row r="84" spans="1:21" x14ac:dyDescent="0.4">
      <c r="A84" s="86">
        <f t="shared" si="1"/>
        <v>80</v>
      </c>
      <c r="B84" s="92"/>
      <c r="C84" s="189"/>
      <c r="D84" s="164"/>
      <c r="E84" s="103"/>
      <c r="F84" s="103"/>
      <c r="G84" s="103"/>
      <c r="H84" s="103"/>
      <c r="I84" s="88" t="s">
        <v>56</v>
      </c>
      <c r="J84" s="89"/>
      <c r="K84" s="89"/>
      <c r="L84" s="89"/>
      <c r="M84" s="89"/>
      <c r="N84" s="89"/>
      <c r="O84" s="89"/>
      <c r="P84" s="89"/>
      <c r="Q84" s="90"/>
      <c r="R84" s="93" t="s">
        <v>211</v>
      </c>
      <c r="S84" s="93"/>
      <c r="T84" s="93"/>
      <c r="U84" s="94"/>
    </row>
    <row r="85" spans="1:21" x14ac:dyDescent="0.4">
      <c r="A85" s="86">
        <f t="shared" si="1"/>
        <v>81</v>
      </c>
      <c r="B85" s="92"/>
      <c r="C85" s="189"/>
      <c r="D85" s="164"/>
      <c r="E85" s="103"/>
      <c r="F85" s="103"/>
      <c r="G85" s="103"/>
      <c r="H85" s="103"/>
      <c r="I85" s="103"/>
      <c r="J85" s="100" t="s">
        <v>58</v>
      </c>
      <c r="K85" s="100"/>
      <c r="L85" s="100"/>
      <c r="M85" s="100"/>
      <c r="N85" s="100"/>
      <c r="O85" s="100"/>
      <c r="P85" s="100"/>
      <c r="Q85" s="101"/>
      <c r="R85" s="94" t="s">
        <v>59</v>
      </c>
      <c r="S85" s="94"/>
      <c r="T85" s="94"/>
      <c r="U85" s="94"/>
    </row>
    <row r="86" spans="1:21" x14ac:dyDescent="0.4">
      <c r="A86" s="86">
        <f t="shared" si="1"/>
        <v>82</v>
      </c>
      <c r="B86" s="92"/>
      <c r="C86" s="189"/>
      <c r="D86" s="164"/>
      <c r="E86" s="103"/>
      <c r="F86" s="103"/>
      <c r="G86" s="103"/>
      <c r="H86" s="103"/>
      <c r="I86" s="103"/>
      <c r="J86" s="100" t="s">
        <v>60</v>
      </c>
      <c r="K86" s="100"/>
      <c r="L86" s="100"/>
      <c r="M86" s="100"/>
      <c r="N86" s="100"/>
      <c r="O86" s="100"/>
      <c r="P86" s="100"/>
      <c r="Q86" s="101"/>
      <c r="R86" s="93" t="s">
        <v>20</v>
      </c>
      <c r="S86" s="93"/>
      <c r="T86" s="93"/>
      <c r="U86" s="94"/>
    </row>
    <row r="87" spans="1:21" x14ac:dyDescent="0.4">
      <c r="A87" s="86">
        <f t="shared" si="1"/>
        <v>83</v>
      </c>
      <c r="B87" s="92"/>
      <c r="C87" s="189"/>
      <c r="D87" s="164"/>
      <c r="E87" s="103"/>
      <c r="F87" s="103"/>
      <c r="G87" s="107"/>
      <c r="H87" s="107"/>
      <c r="I87" s="107"/>
      <c r="J87" s="100" t="s">
        <v>61</v>
      </c>
      <c r="K87" s="100"/>
      <c r="L87" s="100"/>
      <c r="M87" s="100"/>
      <c r="N87" s="100"/>
      <c r="O87" s="100"/>
      <c r="P87" s="100"/>
      <c r="Q87" s="101"/>
      <c r="R87" s="93" t="s">
        <v>36</v>
      </c>
      <c r="S87" s="93"/>
      <c r="T87" s="93"/>
      <c r="U87" s="94"/>
    </row>
    <row r="88" spans="1:21" x14ac:dyDescent="0.4">
      <c r="A88" s="86">
        <f t="shared" si="1"/>
        <v>84</v>
      </c>
      <c r="B88" s="92"/>
      <c r="C88" s="189"/>
      <c r="D88" s="164"/>
      <c r="E88" s="103"/>
      <c r="F88" s="103"/>
      <c r="G88" s="92" t="s">
        <v>62</v>
      </c>
      <c r="H88" s="89"/>
      <c r="I88" s="89"/>
      <c r="J88" s="89"/>
      <c r="K88" s="89"/>
      <c r="L88" s="89"/>
      <c r="M88" s="89"/>
      <c r="N88" s="89"/>
      <c r="O88" s="89"/>
      <c r="P88" s="89"/>
      <c r="Q88" s="90"/>
      <c r="R88" s="98"/>
      <c r="S88" s="98"/>
      <c r="T88" s="98"/>
      <c r="U88" s="91"/>
    </row>
    <row r="89" spans="1:21" x14ac:dyDescent="0.4">
      <c r="A89" s="86">
        <f t="shared" si="1"/>
        <v>85</v>
      </c>
      <c r="B89" s="92"/>
      <c r="C89" s="189"/>
      <c r="D89" s="164"/>
      <c r="E89" s="103"/>
      <c r="F89" s="103"/>
      <c r="G89" s="103"/>
      <c r="H89" s="87" t="s">
        <v>2946</v>
      </c>
      <c r="I89" s="88"/>
      <c r="J89" s="89"/>
      <c r="K89" s="89"/>
      <c r="L89" s="89"/>
      <c r="M89" s="89"/>
      <c r="N89" s="89"/>
      <c r="O89" s="89"/>
      <c r="P89" s="89"/>
      <c r="Q89" s="90"/>
      <c r="R89" s="98"/>
      <c r="S89" s="98"/>
      <c r="T89" s="98"/>
      <c r="U89" s="91"/>
    </row>
    <row r="90" spans="1:21" x14ac:dyDescent="0.4">
      <c r="A90" s="86">
        <f t="shared" si="1"/>
        <v>86</v>
      </c>
      <c r="B90" s="92"/>
      <c r="C90" s="189"/>
      <c r="D90" s="164"/>
      <c r="E90" s="103"/>
      <c r="F90" s="103"/>
      <c r="G90" s="103"/>
      <c r="H90" s="103"/>
      <c r="I90" s="99" t="s">
        <v>2947</v>
      </c>
      <c r="J90" s="100"/>
      <c r="K90" s="100"/>
      <c r="L90" s="100"/>
      <c r="M90" s="100"/>
      <c r="N90" s="100"/>
      <c r="O90" s="100"/>
      <c r="P90" s="100"/>
      <c r="Q90" s="101"/>
      <c r="R90" s="94" t="s">
        <v>88</v>
      </c>
      <c r="S90" s="94"/>
      <c r="T90" s="94"/>
      <c r="U90" s="94"/>
    </row>
    <row r="91" spans="1:21" ht="33" x14ac:dyDescent="0.4">
      <c r="A91" s="86">
        <f t="shared" si="1"/>
        <v>87</v>
      </c>
      <c r="B91" s="92"/>
      <c r="C91" s="189"/>
      <c r="D91" s="164"/>
      <c r="E91" s="103"/>
      <c r="F91" s="103"/>
      <c r="G91" s="103"/>
      <c r="H91" s="103"/>
      <c r="I91" s="99" t="s">
        <v>2948</v>
      </c>
      <c r="J91" s="100"/>
      <c r="K91" s="100"/>
      <c r="L91" s="100"/>
      <c r="M91" s="100"/>
      <c r="N91" s="100"/>
      <c r="O91" s="100"/>
      <c r="P91" s="100"/>
      <c r="Q91" s="101"/>
      <c r="R91" s="94" t="s">
        <v>89</v>
      </c>
      <c r="S91" s="94"/>
      <c r="T91" s="94"/>
      <c r="U91" s="94"/>
    </row>
    <row r="92" spans="1:21" x14ac:dyDescent="0.4">
      <c r="A92" s="86">
        <f t="shared" si="1"/>
        <v>88</v>
      </c>
      <c r="B92" s="92"/>
      <c r="C92" s="189"/>
      <c r="D92" s="164"/>
      <c r="E92" s="103"/>
      <c r="F92" s="103"/>
      <c r="G92" s="103"/>
      <c r="H92" s="103"/>
      <c r="I92" s="99" t="s">
        <v>2949</v>
      </c>
      <c r="J92" s="100"/>
      <c r="K92" s="100"/>
      <c r="L92" s="100"/>
      <c r="M92" s="100"/>
      <c r="N92" s="100"/>
      <c r="O92" s="100"/>
      <c r="P92" s="100"/>
      <c r="Q92" s="101"/>
      <c r="R92" s="141">
        <v>2</v>
      </c>
      <c r="S92" s="141"/>
      <c r="T92" s="141"/>
      <c r="U92" s="94"/>
    </row>
    <row r="93" spans="1:21" x14ac:dyDescent="0.4">
      <c r="A93" s="86">
        <f t="shared" si="1"/>
        <v>89</v>
      </c>
      <c r="B93" s="92"/>
      <c r="C93" s="189"/>
      <c r="D93" s="164"/>
      <c r="E93" s="103"/>
      <c r="F93" s="103"/>
      <c r="G93" s="103"/>
      <c r="H93" s="87" t="s">
        <v>63</v>
      </c>
      <c r="I93" s="88"/>
      <c r="J93" s="89"/>
      <c r="K93" s="89"/>
      <c r="L93" s="89"/>
      <c r="M93" s="89"/>
      <c r="N93" s="89"/>
      <c r="O93" s="89"/>
      <c r="P93" s="89"/>
      <c r="Q93" s="90"/>
      <c r="R93" s="98"/>
      <c r="S93" s="98"/>
      <c r="T93" s="98"/>
      <c r="U93" s="91"/>
    </row>
    <row r="94" spans="1:21" x14ac:dyDescent="0.4">
      <c r="A94" s="86">
        <f t="shared" si="1"/>
        <v>90</v>
      </c>
      <c r="B94" s="92"/>
      <c r="C94" s="189"/>
      <c r="D94" s="164"/>
      <c r="E94" s="103"/>
      <c r="F94" s="103"/>
      <c r="G94" s="103"/>
      <c r="H94" s="103"/>
      <c r="I94" s="99" t="s">
        <v>68</v>
      </c>
      <c r="J94" s="100"/>
      <c r="K94" s="100"/>
      <c r="L94" s="100"/>
      <c r="M94" s="100"/>
      <c r="N94" s="100"/>
      <c r="O94" s="100"/>
      <c r="P94" s="100"/>
      <c r="Q94" s="101"/>
      <c r="R94" s="94" t="s">
        <v>88</v>
      </c>
      <c r="S94" s="94"/>
      <c r="T94" s="94"/>
      <c r="U94" s="94"/>
    </row>
    <row r="95" spans="1:21" ht="33" x14ac:dyDescent="0.4">
      <c r="A95" s="86">
        <f t="shared" si="1"/>
        <v>91</v>
      </c>
      <c r="B95" s="92"/>
      <c r="C95" s="189"/>
      <c r="D95" s="164"/>
      <c r="E95" s="103"/>
      <c r="F95" s="103"/>
      <c r="G95" s="103"/>
      <c r="H95" s="103"/>
      <c r="I95" s="99" t="s">
        <v>69</v>
      </c>
      <c r="J95" s="100"/>
      <c r="K95" s="100"/>
      <c r="L95" s="100"/>
      <c r="M95" s="100"/>
      <c r="N95" s="100"/>
      <c r="O95" s="100"/>
      <c r="P95" s="100"/>
      <c r="Q95" s="101"/>
      <c r="R95" s="94" t="s">
        <v>89</v>
      </c>
      <c r="S95" s="94"/>
      <c r="T95" s="94"/>
      <c r="U95" s="94"/>
    </row>
    <row r="96" spans="1:21" x14ac:dyDescent="0.4">
      <c r="A96" s="86">
        <f t="shared" si="1"/>
        <v>92</v>
      </c>
      <c r="B96" s="92"/>
      <c r="C96" s="189"/>
      <c r="D96" s="164"/>
      <c r="E96" s="103"/>
      <c r="F96" s="103"/>
      <c r="G96" s="103"/>
      <c r="H96" s="103"/>
      <c r="I96" s="99" t="s">
        <v>70</v>
      </c>
      <c r="J96" s="100"/>
      <c r="K96" s="100"/>
      <c r="L96" s="100"/>
      <c r="M96" s="100"/>
      <c r="N96" s="100"/>
      <c r="O96" s="100"/>
      <c r="P96" s="100"/>
      <c r="Q96" s="101"/>
      <c r="R96" s="141">
        <v>2</v>
      </c>
      <c r="S96" s="141"/>
      <c r="T96" s="141"/>
      <c r="U96" s="94"/>
    </row>
    <row r="97" spans="1:21" x14ac:dyDescent="0.4">
      <c r="A97" s="86">
        <f t="shared" si="1"/>
        <v>93</v>
      </c>
      <c r="B97" s="92"/>
      <c r="C97" s="189"/>
      <c r="D97" s="164"/>
      <c r="E97" s="103"/>
      <c r="F97" s="103"/>
      <c r="G97" s="103"/>
      <c r="H97" s="103"/>
      <c r="I97" s="99" t="s">
        <v>71</v>
      </c>
      <c r="J97" s="100"/>
      <c r="K97" s="100"/>
      <c r="L97" s="100"/>
      <c r="M97" s="100"/>
      <c r="N97" s="100"/>
      <c r="O97" s="100"/>
      <c r="P97" s="100"/>
      <c r="Q97" s="101"/>
      <c r="R97" s="94" t="s">
        <v>72</v>
      </c>
      <c r="S97" s="94"/>
      <c r="T97" s="94"/>
      <c r="U97" s="94"/>
    </row>
    <row r="98" spans="1:21" ht="82.5" x14ac:dyDescent="0.4">
      <c r="A98" s="86">
        <f t="shared" si="1"/>
        <v>94</v>
      </c>
      <c r="B98" s="92"/>
      <c r="C98" s="189"/>
      <c r="D98" s="164"/>
      <c r="E98" s="103"/>
      <c r="F98" s="103"/>
      <c r="G98" s="103"/>
      <c r="H98" s="103"/>
      <c r="I98" s="99" t="s">
        <v>73</v>
      </c>
      <c r="J98" s="100"/>
      <c r="K98" s="100"/>
      <c r="L98" s="100"/>
      <c r="M98" s="100"/>
      <c r="N98" s="100"/>
      <c r="O98" s="100"/>
      <c r="P98" s="100"/>
      <c r="Q98" s="101"/>
      <c r="R98" s="94" t="s">
        <v>90</v>
      </c>
      <c r="S98" s="94"/>
      <c r="T98" s="94"/>
      <c r="U98" s="94"/>
    </row>
    <row r="99" spans="1:21" ht="33" x14ac:dyDescent="0.4">
      <c r="A99" s="86">
        <f t="shared" si="1"/>
        <v>95</v>
      </c>
      <c r="B99" s="92"/>
      <c r="C99" s="189"/>
      <c r="D99" s="164"/>
      <c r="E99" s="103"/>
      <c r="F99" s="103"/>
      <c r="G99" s="103"/>
      <c r="H99" s="103"/>
      <c r="I99" s="99" t="s">
        <v>74</v>
      </c>
      <c r="J99" s="100"/>
      <c r="K99" s="100"/>
      <c r="L99" s="100"/>
      <c r="M99" s="100"/>
      <c r="N99" s="100"/>
      <c r="O99" s="100"/>
      <c r="P99" s="100"/>
      <c r="Q99" s="101"/>
      <c r="R99" s="94" t="s">
        <v>1237</v>
      </c>
      <c r="S99" s="94"/>
      <c r="T99" s="94"/>
      <c r="U99" s="94"/>
    </row>
    <row r="100" spans="1:21" x14ac:dyDescent="0.4">
      <c r="A100" s="86">
        <f t="shared" si="1"/>
        <v>96</v>
      </c>
      <c r="B100" s="92"/>
      <c r="C100" s="189"/>
      <c r="D100" s="164"/>
      <c r="E100" s="103"/>
      <c r="F100" s="103"/>
      <c r="G100" s="103"/>
      <c r="H100" s="103"/>
      <c r="I100" s="99" t="s">
        <v>75</v>
      </c>
      <c r="J100" s="100"/>
      <c r="K100" s="100"/>
      <c r="L100" s="100"/>
      <c r="M100" s="100"/>
      <c r="N100" s="100"/>
      <c r="O100" s="100"/>
      <c r="P100" s="100"/>
      <c r="Q100" s="101"/>
      <c r="R100" s="94" t="s">
        <v>76</v>
      </c>
      <c r="S100" s="94"/>
      <c r="T100" s="94"/>
      <c r="U100" s="94"/>
    </row>
    <row r="101" spans="1:21" ht="33" x14ac:dyDescent="0.4">
      <c r="A101" s="86">
        <f t="shared" si="1"/>
        <v>97</v>
      </c>
      <c r="B101" s="92"/>
      <c r="C101" s="189"/>
      <c r="D101" s="164"/>
      <c r="E101" s="103"/>
      <c r="F101" s="103"/>
      <c r="G101" s="103"/>
      <c r="H101" s="103"/>
      <c r="I101" s="99" t="s">
        <v>77</v>
      </c>
      <c r="J101" s="100"/>
      <c r="K101" s="100"/>
      <c r="L101" s="100"/>
      <c r="M101" s="100"/>
      <c r="N101" s="100"/>
      <c r="O101" s="100"/>
      <c r="P101" s="100"/>
      <c r="Q101" s="101"/>
      <c r="R101" s="141" t="s">
        <v>78</v>
      </c>
      <c r="S101" s="141"/>
      <c r="T101" s="141"/>
      <c r="U101" s="94"/>
    </row>
    <row r="102" spans="1:21" x14ac:dyDescent="0.4">
      <c r="A102" s="86">
        <f t="shared" si="1"/>
        <v>98</v>
      </c>
      <c r="B102" s="92"/>
      <c r="C102" s="189"/>
      <c r="D102" s="164"/>
      <c r="E102" s="103"/>
      <c r="F102" s="103"/>
      <c r="G102" s="103"/>
      <c r="H102" s="103"/>
      <c r="I102" s="99" t="s">
        <v>79</v>
      </c>
      <c r="J102" s="100"/>
      <c r="K102" s="100"/>
      <c r="L102" s="100"/>
      <c r="M102" s="100"/>
      <c r="N102" s="100"/>
      <c r="O102" s="100"/>
      <c r="P102" s="100"/>
      <c r="Q102" s="101"/>
      <c r="R102" s="141">
        <v>6</v>
      </c>
      <c r="S102" s="141"/>
      <c r="T102" s="141"/>
      <c r="U102" s="94"/>
    </row>
    <row r="103" spans="1:21" x14ac:dyDescent="0.4">
      <c r="A103" s="86">
        <f t="shared" si="1"/>
        <v>99</v>
      </c>
      <c r="B103" s="92"/>
      <c r="C103" s="189"/>
      <c r="D103" s="164"/>
      <c r="E103" s="103"/>
      <c r="F103" s="103"/>
      <c r="G103" s="103"/>
      <c r="H103" s="103"/>
      <c r="I103" s="99" t="s">
        <v>80</v>
      </c>
      <c r="J103" s="100"/>
      <c r="K103" s="100"/>
      <c r="L103" s="100"/>
      <c r="M103" s="100"/>
      <c r="N103" s="100"/>
      <c r="O103" s="100"/>
      <c r="P103" s="100"/>
      <c r="Q103" s="101"/>
      <c r="R103" s="141" t="s">
        <v>81</v>
      </c>
      <c r="S103" s="141"/>
      <c r="T103" s="141"/>
      <c r="U103" s="94"/>
    </row>
    <row r="104" spans="1:21" ht="105.95" customHeight="1" x14ac:dyDescent="0.4">
      <c r="A104" s="86">
        <f t="shared" si="1"/>
        <v>100</v>
      </c>
      <c r="B104" s="92"/>
      <c r="C104" s="189"/>
      <c r="D104" s="164"/>
      <c r="E104" s="103"/>
      <c r="F104" s="103"/>
      <c r="G104" s="103"/>
      <c r="H104" s="103"/>
      <c r="I104" s="99" t="s">
        <v>82</v>
      </c>
      <c r="J104" s="100"/>
      <c r="K104" s="100"/>
      <c r="L104" s="100"/>
      <c r="M104" s="100"/>
      <c r="N104" s="100"/>
      <c r="O104" s="100"/>
      <c r="P104" s="100"/>
      <c r="Q104" s="101"/>
      <c r="R104" s="94" t="s">
        <v>1236</v>
      </c>
      <c r="S104" s="94"/>
      <c r="T104" s="94"/>
      <c r="U104" s="94"/>
    </row>
    <row r="105" spans="1:21" x14ac:dyDescent="0.4">
      <c r="A105" s="86">
        <f t="shared" si="1"/>
        <v>101</v>
      </c>
      <c r="B105" s="92"/>
      <c r="C105" s="189"/>
      <c r="D105" s="164"/>
      <c r="E105" s="103"/>
      <c r="F105" s="103"/>
      <c r="G105" s="103"/>
      <c r="H105" s="103"/>
      <c r="I105" s="99" t="s">
        <v>83</v>
      </c>
      <c r="J105" s="100"/>
      <c r="K105" s="100"/>
      <c r="L105" s="100"/>
      <c r="M105" s="100"/>
      <c r="N105" s="100"/>
      <c r="O105" s="100"/>
      <c r="P105" s="100"/>
      <c r="Q105" s="101"/>
      <c r="R105" s="94" t="s">
        <v>91</v>
      </c>
      <c r="S105" s="94"/>
      <c r="T105" s="94"/>
      <c r="U105" s="94"/>
    </row>
    <row r="106" spans="1:21" x14ac:dyDescent="0.4">
      <c r="A106" s="86">
        <f t="shared" si="1"/>
        <v>102</v>
      </c>
      <c r="B106" s="92"/>
      <c r="C106" s="189"/>
      <c r="D106" s="164"/>
      <c r="E106" s="103"/>
      <c r="F106" s="103"/>
      <c r="G106" s="103"/>
      <c r="H106" s="103"/>
      <c r="I106" s="99" t="s">
        <v>84</v>
      </c>
      <c r="J106" s="100"/>
      <c r="K106" s="100"/>
      <c r="L106" s="100"/>
      <c r="M106" s="100"/>
      <c r="N106" s="100"/>
      <c r="O106" s="100"/>
      <c r="P106" s="100"/>
      <c r="Q106" s="101"/>
      <c r="R106" s="94" t="s">
        <v>91</v>
      </c>
      <c r="S106" s="94"/>
      <c r="T106" s="94"/>
      <c r="U106" s="94"/>
    </row>
    <row r="107" spans="1:21" x14ac:dyDescent="0.4">
      <c r="A107" s="86">
        <f t="shared" si="1"/>
        <v>103</v>
      </c>
      <c r="B107" s="92"/>
      <c r="C107" s="189"/>
      <c r="D107" s="164"/>
      <c r="E107" s="103"/>
      <c r="F107" s="103"/>
      <c r="G107" s="103"/>
      <c r="H107" s="103"/>
      <c r="I107" s="99" t="s">
        <v>85</v>
      </c>
      <c r="J107" s="100"/>
      <c r="K107" s="100"/>
      <c r="L107" s="100"/>
      <c r="M107" s="100"/>
      <c r="N107" s="100"/>
      <c r="O107" s="100"/>
      <c r="P107" s="100"/>
      <c r="Q107" s="101"/>
      <c r="R107" s="94" t="s">
        <v>86</v>
      </c>
      <c r="S107" s="94"/>
      <c r="T107" s="94"/>
      <c r="U107" s="94"/>
    </row>
    <row r="108" spans="1:21" x14ac:dyDescent="0.4">
      <c r="A108" s="86">
        <f t="shared" si="1"/>
        <v>104</v>
      </c>
      <c r="B108" s="92"/>
      <c r="C108" s="189"/>
      <c r="D108" s="164"/>
      <c r="E108" s="103"/>
      <c r="F108" s="107"/>
      <c r="G108" s="107"/>
      <c r="H108" s="107"/>
      <c r="I108" s="99" t="s">
        <v>87</v>
      </c>
      <c r="J108" s="100"/>
      <c r="K108" s="100"/>
      <c r="L108" s="100"/>
      <c r="M108" s="100"/>
      <c r="N108" s="100"/>
      <c r="O108" s="100"/>
      <c r="P108" s="100"/>
      <c r="Q108" s="101"/>
      <c r="R108" s="94" t="s">
        <v>92</v>
      </c>
      <c r="S108" s="94"/>
      <c r="T108" s="94"/>
      <c r="U108" s="94"/>
    </row>
    <row r="109" spans="1:21" x14ac:dyDescent="0.4">
      <c r="A109" s="86">
        <f t="shared" si="1"/>
        <v>105</v>
      </c>
      <c r="B109" s="92"/>
      <c r="C109" s="189"/>
      <c r="D109" s="164"/>
      <c r="E109" s="103"/>
      <c r="F109" s="87" t="s">
        <v>1285</v>
      </c>
      <c r="G109" s="89"/>
      <c r="H109" s="89"/>
      <c r="I109" s="89"/>
      <c r="J109" s="89"/>
      <c r="K109" s="89"/>
      <c r="L109" s="89"/>
      <c r="M109" s="89"/>
      <c r="N109" s="89"/>
      <c r="O109" s="89"/>
      <c r="P109" s="89"/>
      <c r="Q109" s="90"/>
      <c r="R109" s="91"/>
      <c r="S109" s="91"/>
      <c r="T109" s="91"/>
      <c r="U109" s="91"/>
    </row>
    <row r="110" spans="1:21" x14ac:dyDescent="0.4">
      <c r="A110" s="86">
        <f t="shared" si="1"/>
        <v>106</v>
      </c>
      <c r="B110" s="92"/>
      <c r="C110" s="189"/>
      <c r="D110" s="164"/>
      <c r="E110" s="103"/>
      <c r="F110" s="103"/>
      <c r="G110" s="88" t="s">
        <v>1286</v>
      </c>
      <c r="H110" s="89"/>
      <c r="I110" s="89"/>
      <c r="J110" s="89"/>
      <c r="K110" s="89"/>
      <c r="L110" s="89"/>
      <c r="M110" s="89"/>
      <c r="N110" s="89"/>
      <c r="O110" s="89"/>
      <c r="P110" s="89"/>
      <c r="Q110" s="90"/>
      <c r="R110" s="91"/>
      <c r="S110" s="91"/>
      <c r="T110" s="91"/>
      <c r="U110" s="91"/>
    </row>
    <row r="111" spans="1:21" x14ac:dyDescent="0.4">
      <c r="A111" s="86">
        <f t="shared" si="1"/>
        <v>107</v>
      </c>
      <c r="B111" s="92"/>
      <c r="C111" s="189"/>
      <c r="D111" s="164"/>
      <c r="E111" s="103"/>
      <c r="F111" s="103"/>
      <c r="G111" s="105"/>
      <c r="H111" s="109" t="s">
        <v>1287</v>
      </c>
      <c r="I111" s="100"/>
      <c r="J111" s="100"/>
      <c r="K111" s="100"/>
      <c r="L111" s="100"/>
      <c r="M111" s="100"/>
      <c r="N111" s="100"/>
      <c r="O111" s="100"/>
      <c r="P111" s="100"/>
      <c r="Q111" s="101"/>
      <c r="R111" s="93" t="s">
        <v>36</v>
      </c>
      <c r="S111" s="93"/>
      <c r="T111" s="93"/>
      <c r="U111" s="94"/>
    </row>
    <row r="112" spans="1:21" x14ac:dyDescent="0.4">
      <c r="A112" s="86">
        <f t="shared" si="1"/>
        <v>108</v>
      </c>
      <c r="B112" s="92"/>
      <c r="C112" s="189"/>
      <c r="D112" s="164"/>
      <c r="E112" s="103"/>
      <c r="F112" s="103"/>
      <c r="G112" s="105"/>
      <c r="H112" s="144"/>
      <c r="I112" s="87" t="s">
        <v>31</v>
      </c>
      <c r="J112" s="89"/>
      <c r="K112" s="89"/>
      <c r="L112" s="89"/>
      <c r="M112" s="89"/>
      <c r="N112" s="89"/>
      <c r="O112" s="89"/>
      <c r="P112" s="89"/>
      <c r="Q112" s="90"/>
      <c r="R112" s="91"/>
      <c r="S112" s="91"/>
      <c r="T112" s="91"/>
      <c r="U112" s="91"/>
    </row>
    <row r="113" spans="1:21" x14ac:dyDescent="0.4">
      <c r="A113" s="86">
        <f t="shared" si="1"/>
        <v>109</v>
      </c>
      <c r="B113" s="92"/>
      <c r="C113" s="189"/>
      <c r="D113" s="164"/>
      <c r="E113" s="103"/>
      <c r="F113" s="103"/>
      <c r="G113" s="105"/>
      <c r="H113" s="108"/>
      <c r="I113" s="107"/>
      <c r="J113" s="100"/>
      <c r="K113" s="100"/>
      <c r="L113" s="100"/>
      <c r="M113" s="100"/>
      <c r="N113" s="100"/>
      <c r="O113" s="100"/>
      <c r="P113" s="100"/>
      <c r="Q113" s="101"/>
      <c r="R113" s="93" t="s">
        <v>1239</v>
      </c>
      <c r="S113" s="93"/>
      <c r="T113" s="93"/>
      <c r="U113" s="94"/>
    </row>
    <row r="114" spans="1:21" x14ac:dyDescent="0.4">
      <c r="A114" s="86">
        <f t="shared" si="1"/>
        <v>110</v>
      </c>
      <c r="B114" s="92"/>
      <c r="C114" s="189"/>
      <c r="D114" s="164"/>
      <c r="E114" s="103"/>
      <c r="F114" s="103"/>
      <c r="G114" s="87" t="s">
        <v>1288</v>
      </c>
      <c r="H114" s="89"/>
      <c r="I114" s="89"/>
      <c r="J114" s="89"/>
      <c r="K114" s="89"/>
      <c r="L114" s="89"/>
      <c r="M114" s="89"/>
      <c r="N114" s="89"/>
      <c r="O114" s="89"/>
      <c r="P114" s="89"/>
      <c r="Q114" s="90"/>
      <c r="R114" s="91"/>
      <c r="S114" s="91"/>
      <c r="T114" s="91"/>
      <c r="U114" s="91"/>
    </row>
    <row r="115" spans="1:21" x14ac:dyDescent="0.4">
      <c r="A115" s="86">
        <f t="shared" si="1"/>
        <v>111</v>
      </c>
      <c r="B115" s="92"/>
      <c r="C115" s="190"/>
      <c r="D115" s="164"/>
      <c r="E115" s="103"/>
      <c r="F115" s="103"/>
      <c r="G115" s="103"/>
      <c r="H115" s="112" t="s">
        <v>2957</v>
      </c>
      <c r="I115" s="100"/>
      <c r="J115" s="100"/>
      <c r="K115" s="100"/>
      <c r="L115" s="100"/>
      <c r="M115" s="100"/>
      <c r="N115" s="100"/>
      <c r="O115" s="100"/>
      <c r="P115" s="100"/>
      <c r="Q115" s="101"/>
      <c r="R115" s="93" t="s">
        <v>9</v>
      </c>
      <c r="S115" s="93"/>
      <c r="T115" s="93"/>
      <c r="U115" s="94"/>
    </row>
    <row r="116" spans="1:21" x14ac:dyDescent="0.4">
      <c r="A116" s="86">
        <f t="shared" si="1"/>
        <v>112</v>
      </c>
      <c r="B116" s="103"/>
      <c r="C116" s="189"/>
      <c r="D116" s="186" t="s">
        <v>1789</v>
      </c>
      <c r="E116" s="160"/>
      <c r="F116" s="160"/>
      <c r="G116" s="160"/>
      <c r="H116" s="160"/>
      <c r="I116" s="160"/>
      <c r="J116" s="160"/>
      <c r="K116" s="160"/>
      <c r="L116" s="160"/>
      <c r="M116" s="160"/>
      <c r="N116" s="160"/>
      <c r="O116" s="160"/>
      <c r="P116" s="160"/>
      <c r="Q116" s="161"/>
      <c r="R116" s="162"/>
      <c r="S116" s="162"/>
      <c r="T116" s="163"/>
      <c r="U116" s="162"/>
    </row>
    <row r="117" spans="1:21" x14ac:dyDescent="0.4">
      <c r="A117" s="86">
        <f t="shared" si="1"/>
        <v>113</v>
      </c>
      <c r="B117" s="103"/>
      <c r="C117" s="189"/>
      <c r="D117" s="164"/>
      <c r="E117" s="112"/>
      <c r="F117" s="100"/>
      <c r="G117" s="100"/>
      <c r="H117" s="100"/>
      <c r="I117" s="100"/>
      <c r="J117" s="100"/>
      <c r="K117" s="100"/>
      <c r="L117" s="100"/>
      <c r="M117" s="100"/>
      <c r="N117" s="100"/>
      <c r="O117" s="100"/>
      <c r="P117" s="100"/>
      <c r="Q117" s="101"/>
      <c r="R117" s="93"/>
      <c r="S117" s="93"/>
      <c r="T117" s="94"/>
      <c r="U117" s="93"/>
    </row>
    <row r="118" spans="1:21" x14ac:dyDescent="0.4">
      <c r="A118" s="86">
        <f t="shared" si="1"/>
        <v>114</v>
      </c>
      <c r="B118" s="103"/>
      <c r="C118" s="189"/>
      <c r="D118" s="186" t="s">
        <v>2950</v>
      </c>
      <c r="E118" s="160"/>
      <c r="F118" s="160"/>
      <c r="G118" s="160"/>
      <c r="H118" s="160"/>
      <c r="I118" s="160"/>
      <c r="J118" s="160"/>
      <c r="K118" s="160"/>
      <c r="L118" s="160"/>
      <c r="M118" s="160"/>
      <c r="N118" s="160"/>
      <c r="O118" s="160"/>
      <c r="P118" s="160"/>
      <c r="Q118" s="161"/>
      <c r="R118" s="162"/>
      <c r="S118" s="162"/>
      <c r="T118" s="163"/>
      <c r="U118" s="162"/>
    </row>
    <row r="119" spans="1:21" x14ac:dyDescent="0.4">
      <c r="A119" s="86">
        <f t="shared" si="1"/>
        <v>115</v>
      </c>
      <c r="B119" s="103"/>
      <c r="C119" s="189"/>
      <c r="D119" s="164"/>
      <c r="E119" s="112" t="s">
        <v>2956</v>
      </c>
      <c r="F119" s="100"/>
      <c r="G119" s="100"/>
      <c r="H119" s="100"/>
      <c r="I119" s="100"/>
      <c r="J119" s="100"/>
      <c r="K119" s="100"/>
      <c r="L119" s="100"/>
      <c r="M119" s="100"/>
      <c r="N119" s="100"/>
      <c r="O119" s="100"/>
      <c r="P119" s="100"/>
      <c r="Q119" s="101"/>
      <c r="R119" s="93" t="s">
        <v>20</v>
      </c>
      <c r="S119" s="93"/>
      <c r="T119" s="94"/>
      <c r="U119" s="93"/>
    </row>
    <row r="120" spans="1:21" x14ac:dyDescent="0.4">
      <c r="A120" s="86">
        <f t="shared" si="1"/>
        <v>116</v>
      </c>
      <c r="B120" s="103"/>
      <c r="C120" s="189"/>
      <c r="D120" s="186" t="s">
        <v>1642</v>
      </c>
      <c r="E120" s="160"/>
      <c r="F120" s="160"/>
      <c r="G120" s="160"/>
      <c r="H120" s="160"/>
      <c r="I120" s="160"/>
      <c r="J120" s="160"/>
      <c r="K120" s="160"/>
      <c r="L120" s="160"/>
      <c r="M120" s="160"/>
      <c r="N120" s="160"/>
      <c r="O120" s="160"/>
      <c r="P120" s="160"/>
      <c r="Q120" s="161"/>
      <c r="R120" s="162"/>
      <c r="S120" s="162"/>
      <c r="T120" s="163"/>
      <c r="U120" s="162"/>
    </row>
    <row r="121" spans="1:21" x14ac:dyDescent="0.4">
      <c r="A121" s="86">
        <f t="shared" si="1"/>
        <v>117</v>
      </c>
      <c r="B121" s="92"/>
      <c r="C121" s="189"/>
      <c r="D121" s="164"/>
      <c r="E121" s="87" t="s">
        <v>1288</v>
      </c>
      <c r="F121" s="89"/>
      <c r="G121" s="89"/>
      <c r="H121" s="89"/>
      <c r="I121" s="89"/>
      <c r="J121" s="89"/>
      <c r="K121" s="89"/>
      <c r="L121" s="89"/>
      <c r="M121" s="89"/>
      <c r="N121" s="89"/>
      <c r="O121" s="89"/>
      <c r="P121" s="89"/>
      <c r="Q121" s="90"/>
      <c r="R121" s="91"/>
      <c r="S121" s="91"/>
      <c r="T121" s="91"/>
      <c r="U121" s="91"/>
    </row>
    <row r="122" spans="1:21" x14ac:dyDescent="0.4">
      <c r="A122" s="86">
        <f t="shared" si="1"/>
        <v>118</v>
      </c>
      <c r="B122" s="92"/>
      <c r="C122" s="190"/>
      <c r="D122" s="164"/>
      <c r="E122" s="103"/>
      <c r="F122" s="112" t="s">
        <v>1289</v>
      </c>
      <c r="G122" s="100"/>
      <c r="H122" s="100"/>
      <c r="I122" s="100"/>
      <c r="J122" s="100"/>
      <c r="K122" s="100"/>
      <c r="L122" s="100"/>
      <c r="M122" s="100"/>
      <c r="N122" s="100"/>
      <c r="O122" s="100"/>
      <c r="P122" s="100"/>
      <c r="Q122" s="101"/>
      <c r="R122" s="93" t="s">
        <v>9</v>
      </c>
      <c r="S122" s="93"/>
      <c r="T122" s="93"/>
      <c r="U122" s="94"/>
    </row>
    <row r="123" spans="1:21" x14ac:dyDescent="0.4">
      <c r="A123" s="86">
        <f t="shared" si="1"/>
        <v>119</v>
      </c>
      <c r="B123" s="92"/>
      <c r="C123" s="190"/>
      <c r="D123" s="164"/>
      <c r="E123" s="103"/>
      <c r="F123" s="112" t="s">
        <v>1290</v>
      </c>
      <c r="G123" s="100"/>
      <c r="H123" s="100"/>
      <c r="I123" s="100"/>
      <c r="J123" s="100"/>
      <c r="K123" s="100"/>
      <c r="L123" s="100"/>
      <c r="M123" s="100"/>
      <c r="N123" s="100"/>
      <c r="O123" s="100"/>
      <c r="P123" s="100"/>
      <c r="Q123" s="101"/>
      <c r="R123" s="93" t="s">
        <v>10</v>
      </c>
      <c r="S123" s="93"/>
      <c r="T123" s="93"/>
      <c r="U123" s="94"/>
    </row>
    <row r="124" spans="1:21" x14ac:dyDescent="0.4">
      <c r="A124" s="86">
        <f t="shared" si="1"/>
        <v>120</v>
      </c>
      <c r="B124" s="92"/>
      <c r="C124" s="190"/>
      <c r="D124" s="164"/>
      <c r="E124" s="103"/>
      <c r="F124" s="104"/>
      <c r="G124" s="100" t="s">
        <v>1291</v>
      </c>
      <c r="H124" s="100"/>
      <c r="I124" s="100"/>
      <c r="J124" s="100"/>
      <c r="K124" s="100"/>
      <c r="L124" s="100"/>
      <c r="M124" s="100"/>
      <c r="N124" s="100"/>
      <c r="O124" s="100"/>
      <c r="P124" s="100"/>
      <c r="Q124" s="101"/>
      <c r="R124" s="93" t="s">
        <v>20</v>
      </c>
      <c r="S124" s="93"/>
      <c r="T124" s="93"/>
      <c r="U124" s="94"/>
    </row>
    <row r="125" spans="1:21" x14ac:dyDescent="0.4">
      <c r="A125" s="86">
        <f t="shared" si="1"/>
        <v>121</v>
      </c>
      <c r="B125" s="92"/>
      <c r="C125" s="190"/>
      <c r="D125" s="164"/>
      <c r="E125" s="103"/>
      <c r="F125" s="104"/>
      <c r="G125" s="88" t="s">
        <v>1292</v>
      </c>
      <c r="H125" s="89"/>
      <c r="I125" s="89"/>
      <c r="J125" s="89"/>
      <c r="K125" s="89"/>
      <c r="L125" s="89"/>
      <c r="M125" s="89"/>
      <c r="N125" s="89"/>
      <c r="O125" s="89"/>
      <c r="P125" s="89"/>
      <c r="Q125" s="90"/>
      <c r="R125" s="91"/>
      <c r="S125" s="91"/>
      <c r="T125" s="91"/>
      <c r="U125" s="91"/>
    </row>
    <row r="126" spans="1:21" x14ac:dyDescent="0.4">
      <c r="A126" s="86">
        <f t="shared" si="1"/>
        <v>122</v>
      </c>
      <c r="B126" s="92"/>
      <c r="C126" s="190"/>
      <c r="D126" s="164"/>
      <c r="E126" s="103"/>
      <c r="F126" s="104"/>
      <c r="G126" s="103"/>
      <c r="H126" s="112"/>
      <c r="I126" s="100"/>
      <c r="J126" s="100"/>
      <c r="K126" s="100"/>
      <c r="L126" s="100"/>
      <c r="M126" s="112"/>
      <c r="N126" s="112"/>
      <c r="O126" s="112"/>
      <c r="P126" s="112"/>
      <c r="Q126" s="183"/>
      <c r="R126" s="184" t="s">
        <v>1239</v>
      </c>
      <c r="S126" s="184"/>
      <c r="T126" s="184"/>
      <c r="U126" s="185"/>
    </row>
    <row r="127" spans="1:21" x14ac:dyDescent="0.4">
      <c r="A127" s="86">
        <f t="shared" si="1"/>
        <v>123</v>
      </c>
      <c r="B127" s="103"/>
      <c r="C127" s="189"/>
      <c r="D127" s="186" t="s">
        <v>2951</v>
      </c>
      <c r="E127" s="160"/>
      <c r="F127" s="160"/>
      <c r="G127" s="160"/>
      <c r="H127" s="160"/>
      <c r="I127" s="160"/>
      <c r="J127" s="160"/>
      <c r="K127" s="160"/>
      <c r="L127" s="160"/>
      <c r="M127" s="160"/>
      <c r="N127" s="160"/>
      <c r="O127" s="160"/>
      <c r="P127" s="160"/>
      <c r="Q127" s="161"/>
      <c r="R127" s="162"/>
      <c r="S127" s="162"/>
      <c r="T127" s="163"/>
      <c r="U127" s="162"/>
    </row>
    <row r="128" spans="1:21" x14ac:dyDescent="0.4">
      <c r="A128" s="86">
        <f t="shared" si="1"/>
        <v>124</v>
      </c>
      <c r="B128" s="92"/>
      <c r="C128" s="189"/>
      <c r="D128" s="164"/>
      <c r="E128" s="105" t="s">
        <v>2958</v>
      </c>
      <c r="F128" s="147"/>
      <c r="G128" s="97"/>
      <c r="H128" s="97"/>
      <c r="I128" s="97"/>
      <c r="J128" s="97"/>
      <c r="K128" s="97"/>
      <c r="L128" s="97"/>
      <c r="M128" s="97"/>
      <c r="N128" s="97"/>
      <c r="O128" s="89"/>
      <c r="P128" s="89"/>
      <c r="Q128" s="90"/>
      <c r="R128" s="98"/>
      <c r="S128" s="98"/>
      <c r="T128" s="98"/>
      <c r="U128" s="91"/>
    </row>
    <row r="129" spans="1:21" x14ac:dyDescent="0.4">
      <c r="A129" s="86">
        <f t="shared" si="1"/>
        <v>125</v>
      </c>
      <c r="B129" s="92"/>
      <c r="C129" s="189"/>
      <c r="D129" s="164"/>
      <c r="E129" s="103"/>
      <c r="F129" s="105" t="s">
        <v>2959</v>
      </c>
      <c r="G129" s="97"/>
      <c r="H129" s="97"/>
      <c r="I129" s="97"/>
      <c r="J129" s="97"/>
      <c r="K129" s="97"/>
      <c r="L129" s="97"/>
      <c r="M129" s="97"/>
      <c r="N129" s="97"/>
      <c r="O129" s="89"/>
      <c r="P129" s="89"/>
      <c r="Q129" s="90"/>
      <c r="R129" s="98"/>
      <c r="S129" s="98"/>
      <c r="T129" s="98"/>
      <c r="U129" s="91"/>
    </row>
    <row r="130" spans="1:21" x14ac:dyDescent="0.4">
      <c r="A130" s="86">
        <f t="shared" si="1"/>
        <v>126</v>
      </c>
      <c r="B130" s="92"/>
      <c r="C130" s="189"/>
      <c r="D130" s="164"/>
      <c r="E130" s="103"/>
      <c r="F130" s="149"/>
      <c r="G130" s="145"/>
      <c r="H130" s="145"/>
      <c r="I130" s="145"/>
      <c r="J130" s="145"/>
      <c r="K130" s="145"/>
      <c r="L130" s="145"/>
      <c r="M130" s="145"/>
      <c r="N130" s="145"/>
      <c r="O130" s="100"/>
      <c r="P130" s="100"/>
      <c r="Q130" s="101"/>
      <c r="R130" s="93"/>
      <c r="S130" s="93"/>
      <c r="T130" s="93"/>
      <c r="U130" s="94"/>
    </row>
    <row r="131" spans="1:21" x14ac:dyDescent="0.4">
      <c r="A131" s="86">
        <f t="shared" si="1"/>
        <v>127</v>
      </c>
      <c r="B131" s="103"/>
      <c r="C131" s="189"/>
      <c r="D131" s="164"/>
      <c r="E131" s="107"/>
      <c r="F131" s="107"/>
      <c r="G131" s="100"/>
      <c r="H131" s="100"/>
      <c r="I131" s="100"/>
      <c r="J131" s="100"/>
      <c r="K131" s="100"/>
      <c r="L131" s="100"/>
      <c r="M131" s="100"/>
      <c r="N131" s="100"/>
      <c r="O131" s="100"/>
      <c r="P131" s="100"/>
      <c r="Q131" s="101"/>
      <c r="R131" s="93"/>
      <c r="S131" s="93"/>
      <c r="T131" s="94"/>
      <c r="U131" s="93"/>
    </row>
    <row r="132" spans="1:21" x14ac:dyDescent="0.4">
      <c r="A132" s="86">
        <f t="shared" si="1"/>
        <v>128</v>
      </c>
      <c r="B132" s="103"/>
      <c r="C132" s="189"/>
      <c r="D132" s="186" t="s">
        <v>2961</v>
      </c>
      <c r="E132" s="160"/>
      <c r="F132" s="160"/>
      <c r="G132" s="160"/>
      <c r="H132" s="160"/>
      <c r="I132" s="160"/>
      <c r="J132" s="160"/>
      <c r="K132" s="160"/>
      <c r="L132" s="160"/>
      <c r="M132" s="160"/>
      <c r="N132" s="160"/>
      <c r="O132" s="160"/>
      <c r="P132" s="160"/>
      <c r="Q132" s="161"/>
      <c r="R132" s="162"/>
      <c r="S132" s="162"/>
      <c r="T132" s="163"/>
      <c r="U132" s="162"/>
    </row>
    <row r="133" spans="1:21" x14ac:dyDescent="0.4">
      <c r="A133" s="86">
        <f t="shared" si="1"/>
        <v>129</v>
      </c>
      <c r="B133" s="92"/>
      <c r="C133" s="189"/>
      <c r="D133" s="164"/>
      <c r="E133" s="105" t="s">
        <v>2960</v>
      </c>
      <c r="F133" s="147"/>
      <c r="G133" s="97"/>
      <c r="H133" s="97"/>
      <c r="I133" s="97"/>
      <c r="J133" s="97"/>
      <c r="K133" s="97"/>
      <c r="L133" s="97"/>
      <c r="M133" s="97"/>
      <c r="N133" s="97"/>
      <c r="O133" s="89"/>
      <c r="P133" s="89"/>
      <c r="Q133" s="90"/>
      <c r="R133" s="98"/>
      <c r="S133" s="98"/>
      <c r="T133" s="98"/>
      <c r="U133" s="91"/>
    </row>
    <row r="134" spans="1:21" x14ac:dyDescent="0.4">
      <c r="A134" s="86">
        <f t="shared" si="1"/>
        <v>130</v>
      </c>
      <c r="B134" s="103"/>
      <c r="C134" s="189"/>
      <c r="D134" s="164"/>
      <c r="E134" s="103"/>
      <c r="F134" s="112" t="s">
        <v>2962</v>
      </c>
      <c r="G134" s="100"/>
      <c r="H134" s="100"/>
      <c r="I134" s="100"/>
      <c r="J134" s="100"/>
      <c r="K134" s="100"/>
      <c r="L134" s="100"/>
      <c r="M134" s="100"/>
      <c r="N134" s="100"/>
      <c r="O134" s="100"/>
      <c r="P134" s="100"/>
      <c r="Q134" s="100"/>
      <c r="R134" s="94" t="s">
        <v>181</v>
      </c>
      <c r="S134" s="93"/>
      <c r="T134" s="94"/>
      <c r="U134" s="98" t="s">
        <v>2963</v>
      </c>
    </row>
    <row r="135" spans="1:21" x14ac:dyDescent="0.4">
      <c r="A135" s="86">
        <f t="shared" ref="A135:A198" si="2">A134+1</f>
        <v>131</v>
      </c>
      <c r="B135" s="103"/>
      <c r="C135" s="189"/>
      <c r="D135" s="164"/>
      <c r="E135" s="103"/>
      <c r="F135" s="104"/>
      <c r="G135" s="87" t="s">
        <v>826</v>
      </c>
      <c r="H135" s="89"/>
      <c r="I135" s="89"/>
      <c r="J135" s="89"/>
      <c r="K135" s="89"/>
      <c r="L135" s="89"/>
      <c r="M135" s="89"/>
      <c r="N135" s="89"/>
      <c r="O135" s="89"/>
      <c r="P135" s="89"/>
      <c r="Q135" s="89"/>
      <c r="R135" s="98"/>
      <c r="S135" s="98"/>
      <c r="T135" s="98"/>
      <c r="U135" s="98"/>
    </row>
    <row r="136" spans="1:21" x14ac:dyDescent="0.4">
      <c r="A136" s="86">
        <f t="shared" si="2"/>
        <v>132</v>
      </c>
      <c r="B136" s="103"/>
      <c r="C136" s="189"/>
      <c r="D136" s="164"/>
      <c r="E136" s="103"/>
      <c r="F136" s="104"/>
      <c r="G136" s="103"/>
      <c r="H136" s="99" t="s">
        <v>1644</v>
      </c>
      <c r="I136" s="100"/>
      <c r="J136" s="100"/>
      <c r="K136" s="100"/>
      <c r="L136" s="100"/>
      <c r="M136" s="100"/>
      <c r="N136" s="100"/>
      <c r="O136" s="100"/>
      <c r="P136" s="100"/>
      <c r="Q136" s="100"/>
      <c r="R136" s="93" t="s">
        <v>20</v>
      </c>
      <c r="S136" s="93"/>
      <c r="T136" s="93" t="s">
        <v>20</v>
      </c>
      <c r="U136" s="93"/>
    </row>
    <row r="137" spans="1:21" x14ac:dyDescent="0.4">
      <c r="A137" s="86">
        <f t="shared" si="2"/>
        <v>133</v>
      </c>
      <c r="B137" s="103"/>
      <c r="C137" s="189"/>
      <c r="D137" s="164"/>
      <c r="E137" s="103"/>
      <c r="F137" s="104"/>
      <c r="G137" s="103"/>
      <c r="H137" s="99" t="s">
        <v>1645</v>
      </c>
      <c r="I137" s="100"/>
      <c r="J137" s="100"/>
      <c r="K137" s="100"/>
      <c r="L137" s="100"/>
      <c r="M137" s="100"/>
      <c r="N137" s="100"/>
      <c r="O137" s="100"/>
      <c r="P137" s="100"/>
      <c r="Q137" s="100"/>
      <c r="R137" s="93" t="s">
        <v>20</v>
      </c>
      <c r="S137" s="93"/>
      <c r="T137" s="93" t="s">
        <v>20</v>
      </c>
      <c r="U137" s="93"/>
    </row>
    <row r="138" spans="1:21" x14ac:dyDescent="0.4">
      <c r="A138" s="86">
        <f t="shared" si="2"/>
        <v>134</v>
      </c>
      <c r="B138" s="103"/>
      <c r="C138" s="189"/>
      <c r="D138" s="164"/>
      <c r="E138" s="103"/>
      <c r="F138" s="104"/>
      <c r="G138" s="103"/>
      <c r="H138" s="99" t="s">
        <v>1646</v>
      </c>
      <c r="I138" s="100"/>
      <c r="J138" s="100"/>
      <c r="K138" s="100"/>
      <c r="L138" s="100"/>
      <c r="M138" s="100"/>
      <c r="N138" s="100"/>
      <c r="O138" s="100"/>
      <c r="P138" s="100"/>
      <c r="Q138" s="100"/>
      <c r="R138" s="93" t="s">
        <v>20</v>
      </c>
      <c r="S138" s="93"/>
      <c r="T138" s="93" t="s">
        <v>20</v>
      </c>
      <c r="U138" s="93"/>
    </row>
    <row r="139" spans="1:21" x14ac:dyDescent="0.4">
      <c r="A139" s="86">
        <f t="shared" si="2"/>
        <v>135</v>
      </c>
      <c r="B139" s="103"/>
      <c r="C139" s="189"/>
      <c r="D139" s="164"/>
      <c r="E139" s="103"/>
      <c r="F139" s="104"/>
      <c r="G139" s="103"/>
      <c r="H139" s="109" t="s">
        <v>1647</v>
      </c>
      <c r="I139" s="100"/>
      <c r="J139" s="100"/>
      <c r="K139" s="100"/>
      <c r="L139" s="100"/>
      <c r="M139" s="100"/>
      <c r="N139" s="100"/>
      <c r="O139" s="100"/>
      <c r="P139" s="100"/>
      <c r="Q139" s="100"/>
      <c r="R139" s="93" t="s">
        <v>20</v>
      </c>
      <c r="S139" s="93"/>
      <c r="T139" s="93" t="s">
        <v>20</v>
      </c>
      <c r="U139" s="93"/>
    </row>
    <row r="140" spans="1:21" x14ac:dyDescent="0.4">
      <c r="A140" s="86">
        <f t="shared" si="2"/>
        <v>136</v>
      </c>
      <c r="B140" s="103"/>
      <c r="C140" s="189"/>
      <c r="D140" s="164"/>
      <c r="E140" s="103"/>
      <c r="F140" s="104"/>
      <c r="G140" s="103"/>
      <c r="H140" s="144"/>
      <c r="I140" s="87" t="s">
        <v>1656</v>
      </c>
      <c r="J140" s="89"/>
      <c r="K140" s="89"/>
      <c r="L140" s="89"/>
      <c r="M140" s="89"/>
      <c r="N140" s="89"/>
      <c r="O140" s="89"/>
      <c r="P140" s="89"/>
      <c r="Q140" s="89"/>
      <c r="R140" s="98"/>
      <c r="S140" s="98"/>
      <c r="T140" s="98"/>
      <c r="U140" s="98"/>
    </row>
    <row r="141" spans="1:21" x14ac:dyDescent="0.4">
      <c r="A141" s="86">
        <f t="shared" si="2"/>
        <v>137</v>
      </c>
      <c r="B141" s="103"/>
      <c r="C141" s="189"/>
      <c r="D141" s="164"/>
      <c r="E141" s="103"/>
      <c r="F141" s="104"/>
      <c r="G141" s="103"/>
      <c r="H141" s="104"/>
      <c r="I141" s="103"/>
      <c r="J141" s="100" t="s">
        <v>1653</v>
      </c>
      <c r="K141" s="100"/>
      <c r="L141" s="100"/>
      <c r="M141" s="100"/>
      <c r="N141" s="100"/>
      <c r="O141" s="100"/>
      <c r="P141" s="100"/>
      <c r="Q141" s="100"/>
      <c r="R141" s="93" t="s">
        <v>9</v>
      </c>
      <c r="S141" s="93"/>
      <c r="T141" s="93" t="s">
        <v>10</v>
      </c>
      <c r="U141" s="93"/>
    </row>
    <row r="142" spans="1:21" x14ac:dyDescent="0.4">
      <c r="A142" s="86">
        <f t="shared" si="2"/>
        <v>138</v>
      </c>
      <c r="B142" s="103"/>
      <c r="C142" s="189"/>
      <c r="D142" s="164"/>
      <c r="E142" s="103"/>
      <c r="F142" s="104"/>
      <c r="G142" s="103"/>
      <c r="H142" s="104"/>
      <c r="I142" s="103"/>
      <c r="J142" s="112" t="s">
        <v>1654</v>
      </c>
      <c r="K142" s="100"/>
      <c r="L142" s="100"/>
      <c r="M142" s="100"/>
      <c r="N142" s="100"/>
      <c r="O142" s="100"/>
      <c r="P142" s="100"/>
      <c r="Q142" s="100"/>
      <c r="R142" s="93" t="s">
        <v>10</v>
      </c>
      <c r="S142" s="93"/>
      <c r="T142" s="93" t="s">
        <v>9</v>
      </c>
      <c r="U142" s="93"/>
    </row>
    <row r="143" spans="1:21" x14ac:dyDescent="0.4">
      <c r="A143" s="86">
        <f t="shared" si="2"/>
        <v>139</v>
      </c>
      <c r="B143" s="103"/>
      <c r="C143" s="189"/>
      <c r="D143" s="164"/>
      <c r="E143" s="103"/>
      <c r="F143" s="104"/>
      <c r="G143" s="103"/>
      <c r="H143" s="104"/>
      <c r="I143" s="103"/>
      <c r="J143" s="191"/>
      <c r="K143" s="100" t="s">
        <v>1656</v>
      </c>
      <c r="L143" s="100"/>
      <c r="M143" s="100"/>
      <c r="N143" s="100"/>
      <c r="O143" s="100"/>
      <c r="P143" s="100"/>
      <c r="Q143" s="100"/>
      <c r="R143" s="93" t="s">
        <v>1240</v>
      </c>
      <c r="S143" s="93"/>
      <c r="T143" s="93" t="s">
        <v>1659</v>
      </c>
      <c r="U143" s="93"/>
    </row>
    <row r="144" spans="1:21" x14ac:dyDescent="0.4">
      <c r="A144" s="86">
        <f t="shared" si="2"/>
        <v>140</v>
      </c>
      <c r="B144" s="103"/>
      <c r="C144" s="189"/>
      <c r="D144" s="164"/>
      <c r="E144" s="103"/>
      <c r="F144" s="104"/>
      <c r="G144" s="103"/>
      <c r="H144" s="104"/>
      <c r="I144" s="103"/>
      <c r="J144" s="191"/>
      <c r="K144" s="100" t="s">
        <v>1657</v>
      </c>
      <c r="L144" s="100"/>
      <c r="M144" s="100"/>
      <c r="N144" s="100"/>
      <c r="O144" s="100"/>
      <c r="P144" s="100"/>
      <c r="Q144" s="100"/>
      <c r="R144" s="93" t="s">
        <v>1240</v>
      </c>
      <c r="S144" s="93"/>
      <c r="T144" s="93" t="s">
        <v>1660</v>
      </c>
      <c r="U144" s="93"/>
    </row>
    <row r="145" spans="1:21" x14ac:dyDescent="0.4">
      <c r="A145" s="86">
        <f t="shared" si="2"/>
        <v>141</v>
      </c>
      <c r="B145" s="103"/>
      <c r="C145" s="189"/>
      <c r="D145" s="164"/>
      <c r="E145" s="103"/>
      <c r="F145" s="104"/>
      <c r="G145" s="103"/>
      <c r="H145" s="104"/>
      <c r="I145" s="107"/>
      <c r="J145" s="142"/>
      <c r="K145" s="100" t="s">
        <v>1658</v>
      </c>
      <c r="L145" s="100"/>
      <c r="M145" s="100"/>
      <c r="N145" s="100"/>
      <c r="O145" s="100"/>
      <c r="P145" s="100"/>
      <c r="Q145" s="100"/>
      <c r="R145" s="93" t="s">
        <v>1240</v>
      </c>
      <c r="S145" s="93"/>
      <c r="T145" s="93" t="s">
        <v>1661</v>
      </c>
      <c r="U145" s="93"/>
    </row>
    <row r="146" spans="1:21" x14ac:dyDescent="0.4">
      <c r="A146" s="86">
        <f t="shared" si="2"/>
        <v>142</v>
      </c>
      <c r="B146" s="103"/>
      <c r="C146" s="189"/>
      <c r="D146" s="164"/>
      <c r="E146" s="103"/>
      <c r="F146" s="104"/>
      <c r="G146" s="103"/>
      <c r="H146" s="104"/>
      <c r="I146" s="87" t="s">
        <v>1693</v>
      </c>
      <c r="J146" s="89"/>
      <c r="K146" s="89"/>
      <c r="L146" s="89"/>
      <c r="M146" s="89"/>
      <c r="N146" s="89"/>
      <c r="O146" s="89"/>
      <c r="P146" s="89"/>
      <c r="Q146" s="89"/>
      <c r="R146" s="98"/>
      <c r="S146" s="98"/>
      <c r="T146" s="98"/>
      <c r="U146" s="98"/>
    </row>
    <row r="147" spans="1:21" x14ac:dyDescent="0.4">
      <c r="A147" s="86">
        <f t="shared" si="2"/>
        <v>143</v>
      </c>
      <c r="B147" s="103"/>
      <c r="C147" s="189"/>
      <c r="D147" s="164"/>
      <c r="E147" s="103"/>
      <c r="F147" s="104"/>
      <c r="G147" s="103"/>
      <c r="H147" s="104"/>
      <c r="I147" s="103"/>
      <c r="J147" s="100" t="s">
        <v>1662</v>
      </c>
      <c r="K147" s="100"/>
      <c r="L147" s="100"/>
      <c r="M147" s="100"/>
      <c r="N147" s="100"/>
      <c r="O147" s="100"/>
      <c r="P147" s="100"/>
      <c r="Q147" s="100"/>
      <c r="R147" s="93" t="s">
        <v>9</v>
      </c>
      <c r="S147" s="93"/>
      <c r="T147" s="93" t="s">
        <v>10</v>
      </c>
      <c r="U147" s="93"/>
    </row>
    <row r="148" spans="1:21" x14ac:dyDescent="0.4">
      <c r="A148" s="86">
        <f t="shared" si="2"/>
        <v>144</v>
      </c>
      <c r="B148" s="103"/>
      <c r="C148" s="189"/>
      <c r="D148" s="164"/>
      <c r="E148" s="103"/>
      <c r="F148" s="104"/>
      <c r="G148" s="103"/>
      <c r="H148" s="104"/>
      <c r="I148" s="103"/>
      <c r="J148" s="112" t="s">
        <v>1663</v>
      </c>
      <c r="K148" s="100"/>
      <c r="L148" s="100"/>
      <c r="M148" s="100"/>
      <c r="N148" s="100"/>
      <c r="O148" s="100"/>
      <c r="P148" s="100"/>
      <c r="Q148" s="100"/>
      <c r="R148" s="93" t="s">
        <v>10</v>
      </c>
      <c r="S148" s="93"/>
      <c r="T148" s="93" t="s">
        <v>9</v>
      </c>
      <c r="U148" s="93"/>
    </row>
    <row r="149" spans="1:21" x14ac:dyDescent="0.4">
      <c r="A149" s="86">
        <f t="shared" si="2"/>
        <v>145</v>
      </c>
      <c r="B149" s="103"/>
      <c r="C149" s="189"/>
      <c r="D149" s="164"/>
      <c r="E149" s="103"/>
      <c r="F149" s="104"/>
      <c r="G149" s="103"/>
      <c r="H149" s="104"/>
      <c r="I149" s="103"/>
      <c r="J149" s="104"/>
      <c r="K149" s="100" t="s">
        <v>1664</v>
      </c>
      <c r="L149" s="100"/>
      <c r="M149" s="100"/>
      <c r="N149" s="100"/>
      <c r="O149" s="100"/>
      <c r="P149" s="100"/>
      <c r="Q149" s="100"/>
      <c r="R149" s="93" t="s">
        <v>1240</v>
      </c>
      <c r="S149" s="93"/>
      <c r="T149" s="93" t="s">
        <v>1661</v>
      </c>
      <c r="U149" s="93"/>
    </row>
    <row r="150" spans="1:21" x14ac:dyDescent="0.4">
      <c r="A150" s="86">
        <f t="shared" si="2"/>
        <v>146</v>
      </c>
      <c r="B150" s="103"/>
      <c r="C150" s="189"/>
      <c r="D150" s="164"/>
      <c r="E150" s="103"/>
      <c r="F150" s="104"/>
      <c r="G150" s="103"/>
      <c r="H150" s="104"/>
      <c r="I150" s="107"/>
      <c r="J150" s="108"/>
      <c r="K150" s="100" t="s">
        <v>1665</v>
      </c>
      <c r="L150" s="100"/>
      <c r="M150" s="100"/>
      <c r="N150" s="100"/>
      <c r="O150" s="100"/>
      <c r="P150" s="100"/>
      <c r="Q150" s="100"/>
      <c r="R150" s="93" t="s">
        <v>1240</v>
      </c>
      <c r="S150" s="93"/>
      <c r="T150" s="93" t="s">
        <v>1240</v>
      </c>
      <c r="U150" s="93"/>
    </row>
    <row r="151" spans="1:21" x14ac:dyDescent="0.4">
      <c r="A151" s="86">
        <f t="shared" si="2"/>
        <v>147</v>
      </c>
      <c r="B151" s="103"/>
      <c r="C151" s="189"/>
      <c r="D151" s="164"/>
      <c r="E151" s="103"/>
      <c r="F151" s="104"/>
      <c r="G151" s="103"/>
      <c r="H151" s="104"/>
      <c r="I151" s="87" t="s">
        <v>31</v>
      </c>
      <c r="J151" s="89"/>
      <c r="K151" s="89"/>
      <c r="L151" s="89"/>
      <c r="M151" s="89"/>
      <c r="N151" s="89"/>
      <c r="O151" s="89"/>
      <c r="P151" s="89"/>
      <c r="Q151" s="89"/>
      <c r="R151" s="98"/>
      <c r="S151" s="98"/>
      <c r="T151" s="98"/>
      <c r="U151" s="98"/>
    </row>
    <row r="152" spans="1:21" x14ac:dyDescent="0.4">
      <c r="A152" s="86">
        <f t="shared" si="2"/>
        <v>148</v>
      </c>
      <c r="B152" s="103"/>
      <c r="C152" s="189"/>
      <c r="D152" s="164"/>
      <c r="E152" s="103"/>
      <c r="F152" s="104"/>
      <c r="G152" s="103"/>
      <c r="H152" s="104"/>
      <c r="I152" s="103"/>
      <c r="J152" s="88" t="s">
        <v>1667</v>
      </c>
      <c r="K152" s="89"/>
      <c r="L152" s="89"/>
      <c r="M152" s="89"/>
      <c r="N152" s="89"/>
      <c r="O152" s="89"/>
      <c r="P152" s="89"/>
      <c r="Q152" s="89"/>
      <c r="R152" s="98"/>
      <c r="S152" s="98"/>
      <c r="T152" s="98"/>
      <c r="U152" s="98"/>
    </row>
    <row r="153" spans="1:21" x14ac:dyDescent="0.4">
      <c r="A153" s="86">
        <f t="shared" si="2"/>
        <v>149</v>
      </c>
      <c r="B153" s="103"/>
      <c r="C153" s="189"/>
      <c r="D153" s="164"/>
      <c r="E153" s="103"/>
      <c r="F153" s="104"/>
      <c r="G153" s="103"/>
      <c r="H153" s="104"/>
      <c r="I153" s="103"/>
      <c r="J153" s="105"/>
      <c r="K153" s="87" t="s">
        <v>1656</v>
      </c>
      <c r="L153" s="89"/>
      <c r="M153" s="89"/>
      <c r="N153" s="89"/>
      <c r="O153" s="89"/>
      <c r="P153" s="89"/>
      <c r="Q153" s="89"/>
      <c r="R153" s="98"/>
      <c r="S153" s="98"/>
      <c r="T153" s="98"/>
      <c r="U153" s="98"/>
    </row>
    <row r="154" spans="1:21" x14ac:dyDescent="0.4">
      <c r="A154" s="86">
        <f t="shared" si="2"/>
        <v>150</v>
      </c>
      <c r="B154" s="103"/>
      <c r="C154" s="189"/>
      <c r="D154" s="164"/>
      <c r="E154" s="103"/>
      <c r="F154" s="104"/>
      <c r="G154" s="103"/>
      <c r="H154" s="104"/>
      <c r="I154" s="103"/>
      <c r="J154" s="103"/>
      <c r="K154" s="103"/>
      <c r="L154" s="112" t="s">
        <v>1668</v>
      </c>
      <c r="M154" s="100"/>
      <c r="N154" s="100"/>
      <c r="O154" s="100"/>
      <c r="P154" s="100"/>
      <c r="Q154" s="100"/>
      <c r="R154" s="93" t="s">
        <v>1240</v>
      </c>
      <c r="S154" s="93"/>
      <c r="T154" s="93" t="s">
        <v>1240</v>
      </c>
      <c r="U154" s="93"/>
    </row>
    <row r="155" spans="1:21" x14ac:dyDescent="0.4">
      <c r="A155" s="86">
        <f t="shared" si="2"/>
        <v>151</v>
      </c>
      <c r="B155" s="103"/>
      <c r="C155" s="189"/>
      <c r="D155" s="164"/>
      <c r="E155" s="103"/>
      <c r="F155" s="104"/>
      <c r="G155" s="103"/>
      <c r="H155" s="104"/>
      <c r="I155" s="103"/>
      <c r="J155" s="103"/>
      <c r="K155" s="103"/>
      <c r="L155" s="191"/>
      <c r="M155" s="100" t="s">
        <v>1656</v>
      </c>
      <c r="N155" s="100"/>
      <c r="O155" s="100"/>
      <c r="P155" s="100"/>
      <c r="Q155" s="100"/>
      <c r="R155" s="93" t="s">
        <v>1240</v>
      </c>
      <c r="S155" s="93"/>
      <c r="T155" s="93" t="s">
        <v>1659</v>
      </c>
      <c r="U155" s="93"/>
    </row>
    <row r="156" spans="1:21" x14ac:dyDescent="0.4">
      <c r="A156" s="86">
        <f t="shared" si="2"/>
        <v>152</v>
      </c>
      <c r="B156" s="103"/>
      <c r="C156" s="189"/>
      <c r="D156" s="164"/>
      <c r="E156" s="103"/>
      <c r="F156" s="104"/>
      <c r="G156" s="103"/>
      <c r="H156" s="104"/>
      <c r="I156" s="103"/>
      <c r="J156" s="103"/>
      <c r="K156" s="107"/>
      <c r="L156" s="142"/>
      <c r="M156" s="100" t="s">
        <v>1657</v>
      </c>
      <c r="N156" s="100"/>
      <c r="O156" s="100"/>
      <c r="P156" s="100"/>
      <c r="Q156" s="100"/>
      <c r="R156" s="93" t="s">
        <v>1240</v>
      </c>
      <c r="S156" s="93"/>
      <c r="T156" s="93" t="s">
        <v>1660</v>
      </c>
      <c r="U156" s="93"/>
    </row>
    <row r="157" spans="1:21" x14ac:dyDescent="0.4">
      <c r="A157" s="86">
        <f t="shared" si="2"/>
        <v>153</v>
      </c>
      <c r="B157" s="103"/>
      <c r="C157" s="189"/>
      <c r="D157" s="164"/>
      <c r="E157" s="103"/>
      <c r="F157" s="104"/>
      <c r="G157" s="103"/>
      <c r="H157" s="104"/>
      <c r="I157" s="103"/>
      <c r="J157" s="103"/>
      <c r="K157" s="88" t="s">
        <v>1658</v>
      </c>
      <c r="L157" s="89"/>
      <c r="M157" s="89"/>
      <c r="N157" s="89"/>
      <c r="O157" s="89"/>
      <c r="P157" s="89"/>
      <c r="Q157" s="89"/>
      <c r="R157" s="98"/>
      <c r="S157" s="98"/>
      <c r="T157" s="98"/>
      <c r="U157" s="98"/>
    </row>
    <row r="158" spans="1:21" x14ac:dyDescent="0.4">
      <c r="A158" s="86">
        <f t="shared" si="2"/>
        <v>154</v>
      </c>
      <c r="B158" s="103"/>
      <c r="C158" s="189"/>
      <c r="D158" s="164"/>
      <c r="E158" s="103"/>
      <c r="F158" s="104"/>
      <c r="G158" s="103"/>
      <c r="H158" s="104"/>
      <c r="I158" s="103"/>
      <c r="J158" s="103"/>
      <c r="K158" s="103"/>
      <c r="L158" s="112" t="s">
        <v>1669</v>
      </c>
      <c r="M158" s="100"/>
      <c r="N158" s="100"/>
      <c r="O158" s="100"/>
      <c r="P158" s="100"/>
      <c r="Q158" s="100"/>
      <c r="R158" s="93" t="s">
        <v>1240</v>
      </c>
      <c r="S158" s="93"/>
      <c r="T158" s="93" t="s">
        <v>1240</v>
      </c>
      <c r="U158" s="93"/>
    </row>
    <row r="159" spans="1:21" x14ac:dyDescent="0.4">
      <c r="A159" s="86">
        <f t="shared" si="2"/>
        <v>155</v>
      </c>
      <c r="B159" s="103"/>
      <c r="C159" s="189"/>
      <c r="D159" s="164"/>
      <c r="E159" s="103"/>
      <c r="F159" s="104"/>
      <c r="G159" s="103"/>
      <c r="H159" s="104"/>
      <c r="I159" s="103"/>
      <c r="J159" s="103"/>
      <c r="K159" s="103"/>
      <c r="L159" s="191"/>
      <c r="M159" s="100" t="s">
        <v>1670</v>
      </c>
      <c r="N159" s="100"/>
      <c r="O159" s="100"/>
      <c r="P159" s="100"/>
      <c r="Q159" s="100"/>
      <c r="R159" s="93" t="s">
        <v>1240</v>
      </c>
      <c r="S159" s="93"/>
      <c r="T159" s="93" t="s">
        <v>1661</v>
      </c>
      <c r="U159" s="93"/>
    </row>
    <row r="160" spans="1:21" x14ac:dyDescent="0.4">
      <c r="A160" s="86">
        <f t="shared" si="2"/>
        <v>156</v>
      </c>
      <c r="B160" s="103"/>
      <c r="C160" s="189"/>
      <c r="D160" s="164"/>
      <c r="E160" s="103"/>
      <c r="F160" s="104"/>
      <c r="G160" s="103"/>
      <c r="H160" s="104"/>
      <c r="I160" s="103"/>
      <c r="J160" s="103"/>
      <c r="K160" s="103"/>
      <c r="L160" s="191"/>
      <c r="M160" s="88" t="s">
        <v>1671</v>
      </c>
      <c r="N160" s="89"/>
      <c r="O160" s="89"/>
      <c r="P160" s="89"/>
      <c r="Q160" s="89"/>
      <c r="R160" s="98"/>
      <c r="S160" s="98"/>
      <c r="T160" s="98"/>
      <c r="U160" s="98"/>
    </row>
    <row r="161" spans="1:21" x14ac:dyDescent="0.4">
      <c r="A161" s="86">
        <f t="shared" si="2"/>
        <v>157</v>
      </c>
      <c r="B161" s="103"/>
      <c r="C161" s="189"/>
      <c r="D161" s="164"/>
      <c r="E161" s="103"/>
      <c r="F161" s="104"/>
      <c r="G161" s="103"/>
      <c r="H161" s="104"/>
      <c r="I161" s="103"/>
      <c r="J161" s="103"/>
      <c r="K161" s="103"/>
      <c r="L161" s="191"/>
      <c r="M161" s="106"/>
      <c r="N161" s="112" t="s">
        <v>1672</v>
      </c>
      <c r="O161" s="100"/>
      <c r="P161" s="100"/>
      <c r="Q161" s="100"/>
      <c r="R161" s="93" t="s">
        <v>20</v>
      </c>
      <c r="S161" s="93"/>
      <c r="T161" s="93" t="s">
        <v>20</v>
      </c>
      <c r="U161" s="93"/>
    </row>
    <row r="162" spans="1:21" x14ac:dyDescent="0.4">
      <c r="A162" s="86">
        <f t="shared" si="2"/>
        <v>158</v>
      </c>
      <c r="B162" s="103"/>
      <c r="C162" s="189"/>
      <c r="D162" s="164"/>
      <c r="E162" s="103"/>
      <c r="F162" s="104"/>
      <c r="G162" s="103"/>
      <c r="H162" s="104"/>
      <c r="I162" s="103"/>
      <c r="J162" s="103"/>
      <c r="K162" s="103"/>
      <c r="L162" s="142"/>
      <c r="M162" s="128"/>
      <c r="N162" s="142"/>
      <c r="O162" s="100" t="s">
        <v>1671</v>
      </c>
      <c r="P162" s="100"/>
      <c r="Q162" s="100"/>
      <c r="R162" s="93" t="s">
        <v>1240</v>
      </c>
      <c r="S162" s="93"/>
      <c r="T162" s="93" t="s">
        <v>1240</v>
      </c>
      <c r="U162" s="93"/>
    </row>
    <row r="163" spans="1:21" x14ac:dyDescent="0.4">
      <c r="A163" s="86">
        <f t="shared" si="2"/>
        <v>159</v>
      </c>
      <c r="B163" s="103"/>
      <c r="C163" s="189"/>
      <c r="D163" s="164"/>
      <c r="E163" s="103"/>
      <c r="F163" s="104"/>
      <c r="G163" s="103"/>
      <c r="H163" s="104"/>
      <c r="I163" s="103"/>
      <c r="J163" s="103"/>
      <c r="K163" s="112" t="s">
        <v>1673</v>
      </c>
      <c r="L163" s="100"/>
      <c r="M163" s="100"/>
      <c r="N163" s="100"/>
      <c r="O163" s="100"/>
      <c r="P163" s="100"/>
      <c r="Q163" s="100"/>
      <c r="R163" s="93" t="s">
        <v>20</v>
      </c>
      <c r="S163" s="93"/>
      <c r="T163" s="93" t="s">
        <v>20</v>
      </c>
      <c r="U163" s="93"/>
    </row>
    <row r="164" spans="1:21" x14ac:dyDescent="0.4">
      <c r="A164" s="86">
        <f t="shared" si="2"/>
        <v>160</v>
      </c>
      <c r="B164" s="103"/>
      <c r="C164" s="189"/>
      <c r="D164" s="164"/>
      <c r="E164" s="103"/>
      <c r="F164" s="104"/>
      <c r="G164" s="103"/>
      <c r="H164" s="104"/>
      <c r="I164" s="103"/>
      <c r="J164" s="107"/>
      <c r="K164" s="108"/>
      <c r="L164" s="100" t="s">
        <v>1674</v>
      </c>
      <c r="M164" s="100"/>
      <c r="N164" s="100"/>
      <c r="O164" s="100"/>
      <c r="P164" s="100"/>
      <c r="Q164" s="100"/>
      <c r="R164" s="93" t="s">
        <v>1240</v>
      </c>
      <c r="S164" s="93"/>
      <c r="T164" s="93" t="s">
        <v>1240</v>
      </c>
      <c r="U164" s="93"/>
    </row>
    <row r="165" spans="1:21" x14ac:dyDescent="0.4">
      <c r="A165" s="86">
        <f t="shared" si="2"/>
        <v>161</v>
      </c>
      <c r="B165" s="103"/>
      <c r="C165" s="189"/>
      <c r="D165" s="164"/>
      <c r="E165" s="103"/>
      <c r="F165" s="104"/>
      <c r="G165" s="103"/>
      <c r="H165" s="104"/>
      <c r="I165" s="103"/>
      <c r="J165" s="87" t="s">
        <v>1675</v>
      </c>
      <c r="K165" s="89"/>
      <c r="L165" s="89"/>
      <c r="M165" s="89"/>
      <c r="N165" s="89"/>
      <c r="O165" s="89"/>
      <c r="P165" s="89"/>
      <c r="Q165" s="89"/>
      <c r="R165" s="98"/>
      <c r="S165" s="98"/>
      <c r="T165" s="98"/>
      <c r="U165" s="98"/>
    </row>
    <row r="166" spans="1:21" x14ac:dyDescent="0.4">
      <c r="A166" s="86">
        <f t="shared" si="2"/>
        <v>162</v>
      </c>
      <c r="B166" s="103"/>
      <c r="C166" s="189"/>
      <c r="D166" s="164"/>
      <c r="E166" s="103"/>
      <c r="F166" s="104"/>
      <c r="G166" s="103"/>
      <c r="H166" s="104"/>
      <c r="I166" s="103"/>
      <c r="J166" s="103"/>
      <c r="K166" s="88" t="s">
        <v>1676</v>
      </c>
      <c r="L166" s="89"/>
      <c r="M166" s="89"/>
      <c r="N166" s="89"/>
      <c r="O166" s="89"/>
      <c r="P166" s="89"/>
      <c r="Q166" s="89"/>
      <c r="R166" s="98"/>
      <c r="S166" s="98"/>
      <c r="T166" s="98"/>
      <c r="U166" s="98"/>
    </row>
    <row r="167" spans="1:21" x14ac:dyDescent="0.4">
      <c r="A167" s="86">
        <f t="shared" si="2"/>
        <v>163</v>
      </c>
      <c r="B167" s="103"/>
      <c r="C167" s="189"/>
      <c r="D167" s="164"/>
      <c r="E167" s="103"/>
      <c r="F167" s="104"/>
      <c r="G167" s="103"/>
      <c r="H167" s="104"/>
      <c r="I167" s="103"/>
      <c r="J167" s="103"/>
      <c r="K167" s="107"/>
      <c r="L167" s="100"/>
      <c r="M167" s="100"/>
      <c r="N167" s="100"/>
      <c r="O167" s="100"/>
      <c r="P167" s="100"/>
      <c r="Q167" s="100"/>
      <c r="R167" s="93" t="s">
        <v>1666</v>
      </c>
      <c r="S167" s="93"/>
      <c r="T167" s="93" t="s">
        <v>1661</v>
      </c>
      <c r="U167" s="93"/>
    </row>
    <row r="168" spans="1:21" x14ac:dyDescent="0.4">
      <c r="A168" s="86">
        <f t="shared" si="2"/>
        <v>164</v>
      </c>
      <c r="B168" s="103"/>
      <c r="C168" s="189"/>
      <c r="D168" s="164"/>
      <c r="E168" s="103"/>
      <c r="F168" s="104"/>
      <c r="G168" s="103"/>
      <c r="H168" s="104"/>
      <c r="I168" s="103"/>
      <c r="J168" s="103"/>
      <c r="K168" s="112" t="s">
        <v>1677</v>
      </c>
      <c r="L168" s="100"/>
      <c r="M168" s="100"/>
      <c r="N168" s="100"/>
      <c r="O168" s="100"/>
      <c r="P168" s="100"/>
      <c r="Q168" s="100"/>
      <c r="R168" s="93" t="s">
        <v>1232</v>
      </c>
      <c r="S168" s="93"/>
      <c r="T168" s="93" t="s">
        <v>9</v>
      </c>
      <c r="U168" s="93"/>
    </row>
    <row r="169" spans="1:21" x14ac:dyDescent="0.4">
      <c r="A169" s="86">
        <f t="shared" si="2"/>
        <v>165</v>
      </c>
      <c r="B169" s="103"/>
      <c r="C169" s="189"/>
      <c r="D169" s="164"/>
      <c r="E169" s="103"/>
      <c r="F169" s="104"/>
      <c r="G169" s="103"/>
      <c r="H169" s="104"/>
      <c r="I169" s="103"/>
      <c r="J169" s="103"/>
      <c r="K169" s="108"/>
      <c r="L169" s="100" t="s">
        <v>1678</v>
      </c>
      <c r="M169" s="100"/>
      <c r="N169" s="100"/>
      <c r="O169" s="100"/>
      <c r="P169" s="100"/>
      <c r="Q169" s="100"/>
      <c r="R169" s="93" t="s">
        <v>20</v>
      </c>
      <c r="S169" s="93"/>
      <c r="T169" s="93" t="s">
        <v>20</v>
      </c>
      <c r="U169" s="93"/>
    </row>
    <row r="170" spans="1:21" x14ac:dyDescent="0.4">
      <c r="A170" s="86">
        <f t="shared" si="2"/>
        <v>166</v>
      </c>
      <c r="B170" s="103"/>
      <c r="C170" s="189"/>
      <c r="D170" s="164"/>
      <c r="E170" s="103"/>
      <c r="F170" s="104"/>
      <c r="G170" s="103"/>
      <c r="H170" s="104"/>
      <c r="I170" s="103"/>
      <c r="J170" s="103"/>
      <c r="K170" s="112" t="s">
        <v>1679</v>
      </c>
      <c r="L170" s="100"/>
      <c r="M170" s="100"/>
      <c r="N170" s="100"/>
      <c r="O170" s="100"/>
      <c r="P170" s="100"/>
      <c r="Q170" s="100"/>
      <c r="R170" s="93" t="s">
        <v>10</v>
      </c>
      <c r="S170" s="93"/>
      <c r="T170" s="93" t="s">
        <v>10</v>
      </c>
      <c r="U170" s="93"/>
    </row>
    <row r="171" spans="1:21" x14ac:dyDescent="0.4">
      <c r="A171" s="86">
        <f t="shared" si="2"/>
        <v>167</v>
      </c>
      <c r="B171" s="103"/>
      <c r="C171" s="189"/>
      <c r="D171" s="164"/>
      <c r="E171" s="103"/>
      <c r="F171" s="104"/>
      <c r="G171" s="103"/>
      <c r="H171" s="104"/>
      <c r="I171" s="103"/>
      <c r="J171" s="103"/>
      <c r="K171" s="108"/>
      <c r="L171" s="100"/>
      <c r="M171" s="100"/>
      <c r="N171" s="100"/>
      <c r="O171" s="100"/>
      <c r="P171" s="100"/>
      <c r="Q171" s="100"/>
      <c r="R171" s="93" t="s">
        <v>1240</v>
      </c>
      <c r="S171" s="93"/>
      <c r="T171" s="93" t="s">
        <v>1240</v>
      </c>
      <c r="U171" s="93"/>
    </row>
    <row r="172" spans="1:21" x14ac:dyDescent="0.4">
      <c r="A172" s="86">
        <f t="shared" si="2"/>
        <v>168</v>
      </c>
      <c r="B172" s="103"/>
      <c r="C172" s="189"/>
      <c r="D172" s="164"/>
      <c r="E172" s="103"/>
      <c r="F172" s="104"/>
      <c r="G172" s="103"/>
      <c r="H172" s="104"/>
      <c r="I172" s="103"/>
      <c r="J172" s="103"/>
      <c r="K172" s="100" t="s">
        <v>1680</v>
      </c>
      <c r="L172" s="100"/>
      <c r="M172" s="100"/>
      <c r="N172" s="100"/>
      <c r="O172" s="100"/>
      <c r="P172" s="100"/>
      <c r="Q172" s="100"/>
      <c r="R172" s="93" t="s">
        <v>1240</v>
      </c>
      <c r="S172" s="93"/>
      <c r="T172" s="93" t="s">
        <v>1240</v>
      </c>
      <c r="U172" s="93"/>
    </row>
    <row r="173" spans="1:21" x14ac:dyDescent="0.4">
      <c r="A173" s="86">
        <f t="shared" si="2"/>
        <v>169</v>
      </c>
      <c r="B173" s="103"/>
      <c r="C173" s="189"/>
      <c r="D173" s="164"/>
      <c r="E173" s="103"/>
      <c r="F173" s="104"/>
      <c r="G173" s="103"/>
      <c r="H173" s="104"/>
      <c r="I173" s="103"/>
      <c r="J173" s="103"/>
      <c r="K173" s="100" t="s">
        <v>1681</v>
      </c>
      <c r="L173" s="100"/>
      <c r="M173" s="100"/>
      <c r="N173" s="100"/>
      <c r="O173" s="100"/>
      <c r="P173" s="100"/>
      <c r="Q173" s="100"/>
      <c r="R173" s="93" t="s">
        <v>20</v>
      </c>
      <c r="S173" s="93"/>
      <c r="T173" s="93" t="s">
        <v>20</v>
      </c>
      <c r="U173" s="93"/>
    </row>
    <row r="174" spans="1:21" x14ac:dyDescent="0.4">
      <c r="A174" s="86">
        <f t="shared" si="2"/>
        <v>170</v>
      </c>
      <c r="B174" s="103"/>
      <c r="C174" s="189"/>
      <c r="D174" s="164"/>
      <c r="E174" s="103"/>
      <c r="F174" s="104"/>
      <c r="G174" s="103"/>
      <c r="H174" s="104"/>
      <c r="I174" s="103"/>
      <c r="J174" s="107"/>
      <c r="K174" s="100" t="s">
        <v>1695</v>
      </c>
      <c r="L174" s="100"/>
      <c r="M174" s="100"/>
      <c r="N174" s="100"/>
      <c r="O174" s="100"/>
      <c r="P174" s="100"/>
      <c r="Q174" s="100"/>
      <c r="R174" s="93" t="s">
        <v>36</v>
      </c>
      <c r="S174" s="93"/>
      <c r="T174" s="93" t="s">
        <v>36</v>
      </c>
      <c r="U174" s="93"/>
    </row>
    <row r="175" spans="1:21" x14ac:dyDescent="0.4">
      <c r="A175" s="86">
        <f t="shared" si="2"/>
        <v>171</v>
      </c>
      <c r="B175" s="103"/>
      <c r="C175" s="189"/>
      <c r="D175" s="164"/>
      <c r="E175" s="103"/>
      <c r="F175" s="104"/>
      <c r="G175" s="103"/>
      <c r="H175" s="104"/>
      <c r="I175" s="103"/>
      <c r="J175" s="87" t="s">
        <v>1682</v>
      </c>
      <c r="K175" s="89"/>
      <c r="L175" s="89"/>
      <c r="M175" s="89"/>
      <c r="N175" s="89"/>
      <c r="O175" s="89"/>
      <c r="P175" s="89"/>
      <c r="Q175" s="89"/>
      <c r="R175" s="98"/>
      <c r="S175" s="98"/>
      <c r="T175" s="98"/>
      <c r="U175" s="98"/>
    </row>
    <row r="176" spans="1:21" x14ac:dyDescent="0.4">
      <c r="A176" s="86">
        <f t="shared" si="2"/>
        <v>172</v>
      </c>
      <c r="B176" s="103"/>
      <c r="C176" s="189"/>
      <c r="D176" s="164"/>
      <c r="E176" s="103"/>
      <c r="F176" s="104"/>
      <c r="G176" s="103"/>
      <c r="H176" s="104"/>
      <c r="I176" s="103"/>
      <c r="J176" s="103"/>
      <c r="K176" s="88" t="s">
        <v>1683</v>
      </c>
      <c r="L176" s="89"/>
      <c r="M176" s="89"/>
      <c r="N176" s="89"/>
      <c r="O176" s="89"/>
      <c r="P176" s="89"/>
      <c r="Q176" s="89"/>
      <c r="R176" s="98"/>
      <c r="S176" s="98"/>
      <c r="T176" s="98"/>
      <c r="U176" s="98"/>
    </row>
    <row r="177" spans="1:21" x14ac:dyDescent="0.4">
      <c r="A177" s="86">
        <f t="shared" si="2"/>
        <v>173</v>
      </c>
      <c r="B177" s="103"/>
      <c r="C177" s="189"/>
      <c r="D177" s="164"/>
      <c r="E177" s="103"/>
      <c r="F177" s="104"/>
      <c r="G177" s="103"/>
      <c r="H177" s="104"/>
      <c r="I177" s="103"/>
      <c r="J177" s="103"/>
      <c r="K177" s="107"/>
      <c r="L177" s="100"/>
      <c r="M177" s="100"/>
      <c r="N177" s="100"/>
      <c r="O177" s="100"/>
      <c r="P177" s="100"/>
      <c r="Q177" s="100"/>
      <c r="R177" s="93" t="s">
        <v>1666</v>
      </c>
      <c r="S177" s="93"/>
      <c r="T177" s="93" t="s">
        <v>1666</v>
      </c>
      <c r="U177" s="93"/>
    </row>
    <row r="178" spans="1:21" x14ac:dyDescent="0.4">
      <c r="A178" s="86">
        <f t="shared" si="2"/>
        <v>174</v>
      </c>
      <c r="B178" s="103"/>
      <c r="C178" s="189"/>
      <c r="D178" s="164"/>
      <c r="E178" s="103"/>
      <c r="F178" s="104"/>
      <c r="G178" s="103"/>
      <c r="H178" s="104"/>
      <c r="I178" s="103"/>
      <c r="J178" s="103"/>
      <c r="K178" s="100" t="s">
        <v>1684</v>
      </c>
      <c r="L178" s="100"/>
      <c r="M178" s="100"/>
      <c r="N178" s="100"/>
      <c r="O178" s="100"/>
      <c r="P178" s="100"/>
      <c r="Q178" s="100"/>
      <c r="R178" s="93" t="s">
        <v>20</v>
      </c>
      <c r="S178" s="93"/>
      <c r="T178" s="93" t="s">
        <v>20</v>
      </c>
      <c r="U178" s="93"/>
    </row>
    <row r="179" spans="1:21" x14ac:dyDescent="0.4">
      <c r="A179" s="86">
        <f t="shared" si="2"/>
        <v>175</v>
      </c>
      <c r="B179" s="103"/>
      <c r="C179" s="189"/>
      <c r="D179" s="164"/>
      <c r="E179" s="103"/>
      <c r="F179" s="104"/>
      <c r="G179" s="103"/>
      <c r="H179" s="104"/>
      <c r="I179" s="103"/>
      <c r="J179" s="103"/>
      <c r="K179" s="88" t="s">
        <v>1685</v>
      </c>
      <c r="L179" s="89"/>
      <c r="M179" s="89"/>
      <c r="N179" s="89"/>
      <c r="O179" s="89"/>
      <c r="P179" s="89"/>
      <c r="Q179" s="89"/>
      <c r="R179" s="98"/>
      <c r="S179" s="98"/>
      <c r="T179" s="98"/>
      <c r="U179" s="98"/>
    </row>
    <row r="180" spans="1:21" x14ac:dyDescent="0.4">
      <c r="A180" s="86">
        <f t="shared" si="2"/>
        <v>176</v>
      </c>
      <c r="B180" s="103"/>
      <c r="C180" s="189"/>
      <c r="D180" s="164"/>
      <c r="E180" s="103"/>
      <c r="F180" s="104"/>
      <c r="G180" s="103"/>
      <c r="H180" s="104"/>
      <c r="I180" s="103"/>
      <c r="J180" s="103"/>
      <c r="K180" s="103"/>
      <c r="L180" s="100" t="s">
        <v>1686</v>
      </c>
      <c r="M180" s="100"/>
      <c r="N180" s="100"/>
      <c r="O180" s="100"/>
      <c r="P180" s="100"/>
      <c r="Q180" s="100"/>
      <c r="R180" s="93" t="s">
        <v>1232</v>
      </c>
      <c r="S180" s="93"/>
      <c r="T180" s="93" t="s">
        <v>9</v>
      </c>
      <c r="U180" s="93"/>
    </row>
    <row r="181" spans="1:21" x14ac:dyDescent="0.4">
      <c r="A181" s="86">
        <f t="shared" si="2"/>
        <v>177</v>
      </c>
      <c r="B181" s="103"/>
      <c r="C181" s="189"/>
      <c r="D181" s="164"/>
      <c r="E181" s="103"/>
      <c r="F181" s="104"/>
      <c r="G181" s="103"/>
      <c r="H181" s="104"/>
      <c r="I181" s="103"/>
      <c r="J181" s="103"/>
      <c r="K181" s="103"/>
      <c r="L181" s="100" t="s">
        <v>1687</v>
      </c>
      <c r="M181" s="100"/>
      <c r="N181" s="100"/>
      <c r="O181" s="100"/>
      <c r="P181" s="100"/>
      <c r="Q181" s="100"/>
      <c r="R181" s="93" t="s">
        <v>10</v>
      </c>
      <c r="S181" s="93"/>
      <c r="T181" s="93" t="s">
        <v>10</v>
      </c>
      <c r="U181" s="93"/>
    </row>
    <row r="182" spans="1:21" x14ac:dyDescent="0.4">
      <c r="A182" s="86">
        <f t="shared" si="2"/>
        <v>178</v>
      </c>
      <c r="B182" s="103"/>
      <c r="C182" s="189"/>
      <c r="D182" s="164"/>
      <c r="E182" s="103"/>
      <c r="F182" s="104"/>
      <c r="G182" s="103"/>
      <c r="H182" s="108"/>
      <c r="I182" s="107"/>
      <c r="J182" s="107"/>
      <c r="K182" s="107"/>
      <c r="L182" s="100" t="s">
        <v>1688</v>
      </c>
      <c r="M182" s="100"/>
      <c r="N182" s="100"/>
      <c r="O182" s="100"/>
      <c r="P182" s="100"/>
      <c r="Q182" s="100"/>
      <c r="R182" s="93" t="s">
        <v>10</v>
      </c>
      <c r="S182" s="93"/>
      <c r="T182" s="93" t="s">
        <v>10</v>
      </c>
      <c r="U182" s="93"/>
    </row>
    <row r="183" spans="1:21" x14ac:dyDescent="0.4">
      <c r="A183" s="86">
        <f t="shared" si="2"/>
        <v>179</v>
      </c>
      <c r="B183" s="103"/>
      <c r="C183" s="189"/>
      <c r="D183" s="164"/>
      <c r="E183" s="103"/>
      <c r="F183" s="104"/>
      <c r="G183" s="103"/>
      <c r="H183" s="99" t="s">
        <v>1648</v>
      </c>
      <c r="I183" s="100"/>
      <c r="J183" s="100"/>
      <c r="K183" s="100"/>
      <c r="L183" s="100"/>
      <c r="M183" s="100"/>
      <c r="N183" s="100"/>
      <c r="O183" s="100"/>
      <c r="P183" s="100"/>
      <c r="Q183" s="100"/>
      <c r="R183" s="93" t="s">
        <v>36</v>
      </c>
      <c r="S183" s="93"/>
      <c r="T183" s="93" t="s">
        <v>36</v>
      </c>
      <c r="U183" s="93"/>
    </row>
    <row r="184" spans="1:21" x14ac:dyDescent="0.4">
      <c r="A184" s="86">
        <f t="shared" si="2"/>
        <v>180</v>
      </c>
      <c r="B184" s="103"/>
      <c r="C184" s="189"/>
      <c r="D184" s="164"/>
      <c r="E184" s="103"/>
      <c r="F184" s="104"/>
      <c r="G184" s="103"/>
      <c r="H184" s="99" t="s">
        <v>1649</v>
      </c>
      <c r="I184" s="100"/>
      <c r="J184" s="100"/>
      <c r="K184" s="100"/>
      <c r="L184" s="100"/>
      <c r="M184" s="100"/>
      <c r="N184" s="100"/>
      <c r="O184" s="100"/>
      <c r="P184" s="100"/>
      <c r="Q184" s="100"/>
      <c r="R184" s="93" t="s">
        <v>20</v>
      </c>
      <c r="S184" s="93"/>
      <c r="T184" s="93" t="s">
        <v>20</v>
      </c>
      <c r="U184" s="93"/>
    </row>
    <row r="185" spans="1:21" x14ac:dyDescent="0.4">
      <c r="A185" s="86">
        <f t="shared" si="2"/>
        <v>181</v>
      </c>
      <c r="B185" s="103"/>
      <c r="C185" s="189"/>
      <c r="D185" s="164"/>
      <c r="E185" s="103"/>
      <c r="F185" s="104"/>
      <c r="G185" s="103"/>
      <c r="H185" s="109" t="s">
        <v>1650</v>
      </c>
      <c r="I185" s="100"/>
      <c r="J185" s="100"/>
      <c r="K185" s="100"/>
      <c r="L185" s="100"/>
      <c r="M185" s="100"/>
      <c r="N185" s="100"/>
      <c r="O185" s="100"/>
      <c r="P185" s="100"/>
      <c r="Q185" s="100"/>
      <c r="R185" s="93" t="s">
        <v>20</v>
      </c>
      <c r="S185" s="93"/>
      <c r="T185" s="93" t="s">
        <v>36</v>
      </c>
      <c r="U185" s="93"/>
    </row>
    <row r="186" spans="1:21" x14ac:dyDescent="0.4">
      <c r="A186" s="86">
        <f t="shared" si="2"/>
        <v>182</v>
      </c>
      <c r="B186" s="103"/>
      <c r="C186" s="189"/>
      <c r="D186" s="164"/>
      <c r="E186" s="103"/>
      <c r="F186" s="104"/>
      <c r="G186" s="103"/>
      <c r="H186" s="104"/>
      <c r="I186" s="87" t="s">
        <v>1656</v>
      </c>
      <c r="J186" s="89"/>
      <c r="K186" s="89"/>
      <c r="L186" s="89"/>
      <c r="M186" s="89"/>
      <c r="N186" s="89"/>
      <c r="O186" s="89"/>
      <c r="P186" s="89"/>
      <c r="Q186" s="89"/>
      <c r="R186" s="98"/>
      <c r="S186" s="98"/>
      <c r="T186" s="98"/>
      <c r="U186" s="98"/>
    </row>
    <row r="187" spans="1:21" x14ac:dyDescent="0.4">
      <c r="A187" s="86">
        <f t="shared" si="2"/>
        <v>183</v>
      </c>
      <c r="B187" s="103"/>
      <c r="C187" s="189"/>
      <c r="D187" s="164"/>
      <c r="E187" s="103"/>
      <c r="F187" s="104"/>
      <c r="G187" s="103"/>
      <c r="H187" s="104"/>
      <c r="I187" s="103"/>
      <c r="J187" s="100" t="s">
        <v>1689</v>
      </c>
      <c r="K187" s="100"/>
      <c r="L187" s="100"/>
      <c r="M187" s="100"/>
      <c r="N187" s="100"/>
      <c r="O187" s="100"/>
      <c r="P187" s="100"/>
      <c r="Q187" s="100"/>
      <c r="R187" s="93" t="s">
        <v>1232</v>
      </c>
      <c r="S187" s="93"/>
      <c r="T187" s="93" t="s">
        <v>9</v>
      </c>
      <c r="U187" s="93"/>
    </row>
    <row r="188" spans="1:21" x14ac:dyDescent="0.4">
      <c r="A188" s="86">
        <f t="shared" si="2"/>
        <v>184</v>
      </c>
      <c r="B188" s="103"/>
      <c r="C188" s="189"/>
      <c r="D188" s="164"/>
      <c r="E188" s="103"/>
      <c r="F188" s="104"/>
      <c r="G188" s="103"/>
      <c r="H188" s="104"/>
      <c r="I188" s="103"/>
      <c r="J188" s="112" t="s">
        <v>1690</v>
      </c>
      <c r="K188" s="100"/>
      <c r="L188" s="100"/>
      <c r="M188" s="100"/>
      <c r="N188" s="100"/>
      <c r="O188" s="100"/>
      <c r="P188" s="100"/>
      <c r="Q188" s="100"/>
      <c r="R188" s="93" t="s">
        <v>10</v>
      </c>
      <c r="S188" s="93"/>
      <c r="T188" s="93" t="s">
        <v>10</v>
      </c>
      <c r="U188" s="93"/>
    </row>
    <row r="189" spans="1:21" x14ac:dyDescent="0.4">
      <c r="A189" s="86">
        <f t="shared" si="2"/>
        <v>185</v>
      </c>
      <c r="B189" s="103"/>
      <c r="C189" s="189"/>
      <c r="D189" s="164"/>
      <c r="E189" s="103"/>
      <c r="F189" s="104"/>
      <c r="G189" s="103"/>
      <c r="H189" s="104"/>
      <c r="I189" s="103"/>
      <c r="J189" s="104"/>
      <c r="K189" s="100" t="s">
        <v>1691</v>
      </c>
      <c r="L189" s="100"/>
      <c r="M189" s="100"/>
      <c r="N189" s="100"/>
      <c r="O189" s="100"/>
      <c r="P189" s="100"/>
      <c r="Q189" s="100"/>
      <c r="R189" s="93" t="s">
        <v>1240</v>
      </c>
      <c r="S189" s="93"/>
      <c r="T189" s="93" t="s">
        <v>1240</v>
      </c>
      <c r="U189" s="93"/>
    </row>
    <row r="190" spans="1:21" x14ac:dyDescent="0.4">
      <c r="A190" s="86">
        <f t="shared" si="2"/>
        <v>186</v>
      </c>
      <c r="B190" s="103"/>
      <c r="C190" s="189"/>
      <c r="D190" s="164"/>
      <c r="E190" s="103"/>
      <c r="F190" s="104"/>
      <c r="G190" s="103"/>
      <c r="H190" s="104"/>
      <c r="I190" s="103"/>
      <c r="J190" s="104"/>
      <c r="K190" s="100" t="s">
        <v>1692</v>
      </c>
      <c r="L190" s="100"/>
      <c r="M190" s="100"/>
      <c r="N190" s="100"/>
      <c r="O190" s="100"/>
      <c r="P190" s="100"/>
      <c r="Q190" s="100"/>
      <c r="R190" s="93" t="s">
        <v>1240</v>
      </c>
      <c r="S190" s="93"/>
      <c r="T190" s="93" t="s">
        <v>1240</v>
      </c>
      <c r="U190" s="93"/>
    </row>
    <row r="191" spans="1:21" x14ac:dyDescent="0.4">
      <c r="A191" s="86">
        <f t="shared" si="2"/>
        <v>187</v>
      </c>
      <c r="B191" s="103"/>
      <c r="C191" s="189"/>
      <c r="D191" s="164"/>
      <c r="E191" s="103"/>
      <c r="F191" s="104"/>
      <c r="G191" s="103"/>
      <c r="H191" s="104"/>
      <c r="I191" s="107"/>
      <c r="J191" s="108"/>
      <c r="K191" s="100" t="s">
        <v>1658</v>
      </c>
      <c r="L191" s="100"/>
      <c r="M191" s="100"/>
      <c r="N191" s="100"/>
      <c r="O191" s="100"/>
      <c r="P191" s="100"/>
      <c r="Q191" s="100"/>
      <c r="R191" s="93" t="s">
        <v>1240</v>
      </c>
      <c r="S191" s="93"/>
      <c r="T191" s="93" t="s">
        <v>1240</v>
      </c>
      <c r="U191" s="93"/>
    </row>
    <row r="192" spans="1:21" x14ac:dyDescent="0.4">
      <c r="A192" s="86">
        <f t="shared" si="2"/>
        <v>188</v>
      </c>
      <c r="B192" s="103"/>
      <c r="C192" s="189"/>
      <c r="D192" s="164"/>
      <c r="E192" s="103"/>
      <c r="F192" s="104"/>
      <c r="G192" s="103"/>
      <c r="H192" s="104"/>
      <c r="I192" s="87" t="s">
        <v>1693</v>
      </c>
      <c r="J192" s="89"/>
      <c r="K192" s="89"/>
      <c r="L192" s="89"/>
      <c r="M192" s="89"/>
      <c r="N192" s="89"/>
      <c r="O192" s="89"/>
      <c r="P192" s="89"/>
      <c r="Q192" s="89"/>
      <c r="R192" s="98"/>
      <c r="S192" s="98"/>
      <c r="T192" s="98"/>
      <c r="U192" s="98"/>
    </row>
    <row r="193" spans="1:21" x14ac:dyDescent="0.4">
      <c r="A193" s="86">
        <f t="shared" si="2"/>
        <v>189</v>
      </c>
      <c r="B193" s="103"/>
      <c r="C193" s="189"/>
      <c r="D193" s="164"/>
      <c r="E193" s="103"/>
      <c r="F193" s="104"/>
      <c r="G193" s="103"/>
      <c r="H193" s="104"/>
      <c r="I193" s="103"/>
      <c r="J193" s="100" t="s">
        <v>1662</v>
      </c>
      <c r="K193" s="100"/>
      <c r="L193" s="100"/>
      <c r="M193" s="100"/>
      <c r="N193" s="100"/>
      <c r="O193" s="100"/>
      <c r="P193" s="100"/>
      <c r="Q193" s="100"/>
      <c r="R193" s="93" t="s">
        <v>1232</v>
      </c>
      <c r="S193" s="93"/>
      <c r="T193" s="93" t="s">
        <v>9</v>
      </c>
      <c r="U193" s="93"/>
    </row>
    <row r="194" spans="1:21" x14ac:dyDescent="0.4">
      <c r="A194" s="86">
        <f t="shared" si="2"/>
        <v>190</v>
      </c>
      <c r="B194" s="103"/>
      <c r="C194" s="189"/>
      <c r="D194" s="164"/>
      <c r="E194" s="103"/>
      <c r="F194" s="104"/>
      <c r="G194" s="103"/>
      <c r="H194" s="104"/>
      <c r="I194" s="103"/>
      <c r="J194" s="112" t="s">
        <v>1663</v>
      </c>
      <c r="K194" s="100"/>
      <c r="L194" s="100"/>
      <c r="M194" s="100"/>
      <c r="N194" s="100"/>
      <c r="O194" s="100"/>
      <c r="P194" s="100"/>
      <c r="Q194" s="100"/>
      <c r="R194" s="93" t="s">
        <v>10</v>
      </c>
      <c r="S194" s="93"/>
      <c r="T194" s="93" t="s">
        <v>10</v>
      </c>
      <c r="U194" s="93"/>
    </row>
    <row r="195" spans="1:21" x14ac:dyDescent="0.4">
      <c r="A195" s="86">
        <f t="shared" si="2"/>
        <v>191</v>
      </c>
      <c r="B195" s="103"/>
      <c r="C195" s="189"/>
      <c r="D195" s="164"/>
      <c r="E195" s="103"/>
      <c r="F195" s="104"/>
      <c r="G195" s="103"/>
      <c r="H195" s="104"/>
      <c r="I195" s="103"/>
      <c r="J195" s="104"/>
      <c r="K195" s="100" t="s">
        <v>1664</v>
      </c>
      <c r="L195" s="100"/>
      <c r="M195" s="100"/>
      <c r="N195" s="100"/>
      <c r="O195" s="100"/>
      <c r="P195" s="100"/>
      <c r="Q195" s="100"/>
      <c r="R195" s="93" t="s">
        <v>1240</v>
      </c>
      <c r="S195" s="93"/>
      <c r="T195" s="93" t="s">
        <v>1240</v>
      </c>
      <c r="U195" s="93"/>
    </row>
    <row r="196" spans="1:21" x14ac:dyDescent="0.4">
      <c r="A196" s="86">
        <f t="shared" si="2"/>
        <v>192</v>
      </c>
      <c r="B196" s="103"/>
      <c r="C196" s="189"/>
      <c r="D196" s="164"/>
      <c r="E196" s="103"/>
      <c r="F196" s="104"/>
      <c r="G196" s="103"/>
      <c r="H196" s="104"/>
      <c r="I196" s="103"/>
      <c r="J196" s="108"/>
      <c r="K196" s="100" t="s">
        <v>1694</v>
      </c>
      <c r="L196" s="100"/>
      <c r="M196" s="100"/>
      <c r="N196" s="100"/>
      <c r="O196" s="100"/>
      <c r="P196" s="100"/>
      <c r="Q196" s="100"/>
      <c r="R196" s="93" t="s">
        <v>1240</v>
      </c>
      <c r="S196" s="93"/>
      <c r="T196" s="93" t="s">
        <v>1240</v>
      </c>
      <c r="U196" s="93"/>
    </row>
    <row r="197" spans="1:21" x14ac:dyDescent="0.4">
      <c r="A197" s="86">
        <f t="shared" si="2"/>
        <v>193</v>
      </c>
      <c r="B197" s="103"/>
      <c r="C197" s="189"/>
      <c r="D197" s="164"/>
      <c r="E197" s="103"/>
      <c r="F197" s="104"/>
      <c r="G197" s="103"/>
      <c r="H197" s="104"/>
      <c r="I197" s="87" t="s">
        <v>31</v>
      </c>
      <c r="J197" s="89"/>
      <c r="K197" s="89"/>
      <c r="L197" s="89"/>
      <c r="M197" s="89"/>
      <c r="N197" s="89"/>
      <c r="O197" s="89"/>
      <c r="P197" s="89"/>
      <c r="Q197" s="89"/>
      <c r="R197" s="98"/>
      <c r="S197" s="98"/>
      <c r="T197" s="98"/>
      <c r="U197" s="98"/>
    </row>
    <row r="198" spans="1:21" x14ac:dyDescent="0.4">
      <c r="A198" s="86">
        <f t="shared" si="2"/>
        <v>194</v>
      </c>
      <c r="B198" s="103"/>
      <c r="C198" s="189"/>
      <c r="D198" s="164"/>
      <c r="E198" s="103"/>
      <c r="F198" s="104"/>
      <c r="G198" s="103"/>
      <c r="H198" s="104"/>
      <c r="I198" s="103"/>
      <c r="J198" s="88" t="s">
        <v>1667</v>
      </c>
      <c r="K198" s="89"/>
      <c r="L198" s="89"/>
      <c r="M198" s="89"/>
      <c r="N198" s="89"/>
      <c r="O198" s="89"/>
      <c r="P198" s="89"/>
      <c r="Q198" s="89"/>
      <c r="R198" s="98"/>
      <c r="S198" s="98"/>
      <c r="T198" s="98"/>
      <c r="U198" s="98"/>
    </row>
    <row r="199" spans="1:21" x14ac:dyDescent="0.4">
      <c r="A199" s="86">
        <f t="shared" ref="A199:A262" si="3">A198+1</f>
        <v>195</v>
      </c>
      <c r="B199" s="103"/>
      <c r="C199" s="189"/>
      <c r="D199" s="164"/>
      <c r="E199" s="103"/>
      <c r="F199" s="104"/>
      <c r="G199" s="103"/>
      <c r="H199" s="104"/>
      <c r="I199" s="103"/>
      <c r="J199" s="105"/>
      <c r="K199" s="87" t="s">
        <v>1656</v>
      </c>
      <c r="L199" s="89"/>
      <c r="M199" s="89"/>
      <c r="N199" s="89"/>
      <c r="O199" s="89"/>
      <c r="P199" s="89"/>
      <c r="Q199" s="89"/>
      <c r="R199" s="98"/>
      <c r="S199" s="98"/>
      <c r="T199" s="98"/>
      <c r="U199" s="98"/>
    </row>
    <row r="200" spans="1:21" x14ac:dyDescent="0.4">
      <c r="A200" s="86">
        <f t="shared" si="3"/>
        <v>196</v>
      </c>
      <c r="B200" s="103"/>
      <c r="C200" s="189"/>
      <c r="D200" s="164"/>
      <c r="E200" s="103"/>
      <c r="F200" s="104"/>
      <c r="G200" s="103"/>
      <c r="H200" s="104"/>
      <c r="I200" s="103"/>
      <c r="J200" s="103"/>
      <c r="K200" s="103"/>
      <c r="L200" s="112" t="s">
        <v>1668</v>
      </c>
      <c r="M200" s="100"/>
      <c r="N200" s="100"/>
      <c r="O200" s="100"/>
      <c r="P200" s="100"/>
      <c r="Q200" s="100"/>
      <c r="R200" s="93" t="s">
        <v>1240</v>
      </c>
      <c r="S200" s="93"/>
      <c r="T200" s="93" t="s">
        <v>1240</v>
      </c>
      <c r="U200" s="93"/>
    </row>
    <row r="201" spans="1:21" x14ac:dyDescent="0.4">
      <c r="A201" s="86">
        <f t="shared" si="3"/>
        <v>197</v>
      </c>
      <c r="B201" s="103"/>
      <c r="C201" s="189"/>
      <c r="D201" s="164"/>
      <c r="E201" s="103"/>
      <c r="F201" s="104"/>
      <c r="G201" s="103"/>
      <c r="H201" s="104"/>
      <c r="I201" s="103"/>
      <c r="J201" s="103"/>
      <c r="K201" s="103"/>
      <c r="L201" s="191"/>
      <c r="M201" s="100" t="s">
        <v>1656</v>
      </c>
      <c r="N201" s="100"/>
      <c r="O201" s="100"/>
      <c r="P201" s="100"/>
      <c r="Q201" s="100"/>
      <c r="R201" s="93" t="s">
        <v>1240</v>
      </c>
      <c r="S201" s="93"/>
      <c r="T201" s="93" t="s">
        <v>1240</v>
      </c>
      <c r="U201" s="93"/>
    </row>
    <row r="202" spans="1:21" x14ac:dyDescent="0.4">
      <c r="A202" s="86">
        <f t="shared" si="3"/>
        <v>198</v>
      </c>
      <c r="B202" s="103"/>
      <c r="C202" s="189"/>
      <c r="D202" s="164"/>
      <c r="E202" s="103"/>
      <c r="F202" s="104"/>
      <c r="G202" s="103"/>
      <c r="H202" s="104"/>
      <c r="I202" s="103"/>
      <c r="J202" s="103"/>
      <c r="K202" s="107"/>
      <c r="L202" s="142"/>
      <c r="M202" s="100" t="s">
        <v>1692</v>
      </c>
      <c r="N202" s="100"/>
      <c r="O202" s="100"/>
      <c r="P202" s="100"/>
      <c r="Q202" s="100"/>
      <c r="R202" s="93" t="s">
        <v>1240</v>
      </c>
      <c r="S202" s="93"/>
      <c r="T202" s="93" t="s">
        <v>1240</v>
      </c>
      <c r="U202" s="93"/>
    </row>
    <row r="203" spans="1:21" x14ac:dyDescent="0.4">
      <c r="A203" s="86">
        <f t="shared" si="3"/>
        <v>199</v>
      </c>
      <c r="B203" s="103"/>
      <c r="C203" s="189"/>
      <c r="D203" s="164"/>
      <c r="E203" s="103"/>
      <c r="F203" s="104"/>
      <c r="G203" s="103"/>
      <c r="H203" s="104"/>
      <c r="I203" s="103"/>
      <c r="J203" s="103"/>
      <c r="K203" s="88" t="s">
        <v>1658</v>
      </c>
      <c r="L203" s="89"/>
      <c r="M203" s="89"/>
      <c r="N203" s="89"/>
      <c r="O203" s="89"/>
      <c r="P203" s="89"/>
      <c r="Q203" s="89"/>
      <c r="R203" s="98"/>
      <c r="S203" s="98"/>
      <c r="T203" s="98"/>
      <c r="U203" s="98"/>
    </row>
    <row r="204" spans="1:21" x14ac:dyDescent="0.4">
      <c r="A204" s="86">
        <f t="shared" si="3"/>
        <v>200</v>
      </c>
      <c r="B204" s="103"/>
      <c r="C204" s="189"/>
      <c r="D204" s="164"/>
      <c r="E204" s="103"/>
      <c r="F204" s="104"/>
      <c r="G204" s="103"/>
      <c r="H204" s="104"/>
      <c r="I204" s="103"/>
      <c r="J204" s="103"/>
      <c r="K204" s="103"/>
      <c r="L204" s="112" t="s">
        <v>1669</v>
      </c>
      <c r="M204" s="100"/>
      <c r="N204" s="100"/>
      <c r="O204" s="100"/>
      <c r="P204" s="100"/>
      <c r="Q204" s="100"/>
      <c r="R204" s="93" t="s">
        <v>1240</v>
      </c>
      <c r="S204" s="93"/>
      <c r="T204" s="93" t="s">
        <v>1240</v>
      </c>
      <c r="U204" s="93"/>
    </row>
    <row r="205" spans="1:21" x14ac:dyDescent="0.4">
      <c r="A205" s="86">
        <f t="shared" si="3"/>
        <v>201</v>
      </c>
      <c r="B205" s="103"/>
      <c r="C205" s="189"/>
      <c r="D205" s="164"/>
      <c r="E205" s="103"/>
      <c r="F205" s="104"/>
      <c r="G205" s="103"/>
      <c r="H205" s="104"/>
      <c r="I205" s="103"/>
      <c r="J205" s="103"/>
      <c r="K205" s="103"/>
      <c r="L205" s="191"/>
      <c r="M205" s="100" t="s">
        <v>1670</v>
      </c>
      <c r="N205" s="100"/>
      <c r="O205" s="100"/>
      <c r="P205" s="100"/>
      <c r="Q205" s="100"/>
      <c r="R205" s="93" t="s">
        <v>1240</v>
      </c>
      <c r="S205" s="93"/>
      <c r="T205" s="93" t="s">
        <v>1240</v>
      </c>
      <c r="U205" s="93"/>
    </row>
    <row r="206" spans="1:21" x14ac:dyDescent="0.4">
      <c r="A206" s="86">
        <f t="shared" si="3"/>
        <v>202</v>
      </c>
      <c r="B206" s="103"/>
      <c r="C206" s="189"/>
      <c r="D206" s="164"/>
      <c r="E206" s="103"/>
      <c r="F206" s="104"/>
      <c r="G206" s="103"/>
      <c r="H206" s="104"/>
      <c r="I206" s="103"/>
      <c r="J206" s="103"/>
      <c r="K206" s="103"/>
      <c r="L206" s="191"/>
      <c r="M206" s="88" t="s">
        <v>1671</v>
      </c>
      <c r="N206" s="89"/>
      <c r="O206" s="89"/>
      <c r="P206" s="89"/>
      <c r="Q206" s="89"/>
      <c r="R206" s="98"/>
      <c r="S206" s="98"/>
      <c r="T206" s="98"/>
      <c r="U206" s="98"/>
    </row>
    <row r="207" spans="1:21" x14ac:dyDescent="0.4">
      <c r="A207" s="86">
        <f t="shared" si="3"/>
        <v>203</v>
      </c>
      <c r="B207" s="103"/>
      <c r="C207" s="189"/>
      <c r="D207" s="164"/>
      <c r="E207" s="103"/>
      <c r="F207" s="104"/>
      <c r="G207" s="103"/>
      <c r="H207" s="104"/>
      <c r="I207" s="103"/>
      <c r="J207" s="103"/>
      <c r="K207" s="103"/>
      <c r="L207" s="191"/>
      <c r="M207" s="106"/>
      <c r="N207" s="112" t="s">
        <v>1672</v>
      </c>
      <c r="O207" s="100"/>
      <c r="P207" s="100"/>
      <c r="Q207" s="100"/>
      <c r="R207" s="93" t="s">
        <v>20</v>
      </c>
      <c r="S207" s="93"/>
      <c r="T207" s="93" t="s">
        <v>20</v>
      </c>
      <c r="U207" s="93"/>
    </row>
    <row r="208" spans="1:21" x14ac:dyDescent="0.4">
      <c r="A208" s="86">
        <f t="shared" si="3"/>
        <v>204</v>
      </c>
      <c r="B208" s="103"/>
      <c r="C208" s="189"/>
      <c r="D208" s="164"/>
      <c r="E208" s="103"/>
      <c r="F208" s="104"/>
      <c r="G208" s="103"/>
      <c r="H208" s="104"/>
      <c r="I208" s="103"/>
      <c r="J208" s="103"/>
      <c r="K208" s="103"/>
      <c r="L208" s="142"/>
      <c r="M208" s="128"/>
      <c r="N208" s="142"/>
      <c r="O208" s="100" t="s">
        <v>1671</v>
      </c>
      <c r="P208" s="100"/>
      <c r="Q208" s="100"/>
      <c r="R208" s="93" t="s">
        <v>1240</v>
      </c>
      <c r="S208" s="93"/>
      <c r="T208" s="93" t="s">
        <v>1240</v>
      </c>
      <c r="U208" s="93"/>
    </row>
    <row r="209" spans="1:21" x14ac:dyDescent="0.4">
      <c r="A209" s="86">
        <f t="shared" si="3"/>
        <v>205</v>
      </c>
      <c r="B209" s="103"/>
      <c r="C209" s="189"/>
      <c r="D209" s="164"/>
      <c r="E209" s="103"/>
      <c r="F209" s="104"/>
      <c r="G209" s="103"/>
      <c r="H209" s="104"/>
      <c r="I209" s="103"/>
      <c r="J209" s="103"/>
      <c r="K209" s="88" t="s">
        <v>1673</v>
      </c>
      <c r="L209" s="89"/>
      <c r="M209" s="89"/>
      <c r="N209" s="89"/>
      <c r="O209" s="89"/>
      <c r="P209" s="89"/>
      <c r="Q209" s="89"/>
      <c r="R209" s="93" t="s">
        <v>20</v>
      </c>
      <c r="S209" s="93"/>
      <c r="T209" s="93" t="s">
        <v>20</v>
      </c>
      <c r="U209" s="93"/>
    </row>
    <row r="210" spans="1:21" x14ac:dyDescent="0.4">
      <c r="A210" s="86">
        <f t="shared" si="3"/>
        <v>206</v>
      </c>
      <c r="B210" s="103"/>
      <c r="C210" s="189"/>
      <c r="D210" s="164"/>
      <c r="E210" s="103"/>
      <c r="F210" s="104"/>
      <c r="G210" s="103"/>
      <c r="H210" s="104"/>
      <c r="I210" s="103"/>
      <c r="J210" s="107"/>
      <c r="K210" s="107"/>
      <c r="L210" s="100" t="s">
        <v>1674</v>
      </c>
      <c r="M210" s="100"/>
      <c r="N210" s="100"/>
      <c r="O210" s="100"/>
      <c r="P210" s="100"/>
      <c r="Q210" s="100"/>
      <c r="R210" s="93" t="s">
        <v>1240</v>
      </c>
      <c r="S210" s="93"/>
      <c r="T210" s="93" t="s">
        <v>1240</v>
      </c>
      <c r="U210" s="93"/>
    </row>
    <row r="211" spans="1:21" x14ac:dyDescent="0.4">
      <c r="A211" s="86">
        <f t="shared" si="3"/>
        <v>207</v>
      </c>
      <c r="B211" s="103"/>
      <c r="C211" s="189"/>
      <c r="D211" s="164"/>
      <c r="E211" s="103"/>
      <c r="F211" s="104"/>
      <c r="G211" s="103"/>
      <c r="H211" s="104"/>
      <c r="I211" s="103"/>
      <c r="J211" s="87" t="s">
        <v>1675</v>
      </c>
      <c r="K211" s="89"/>
      <c r="L211" s="89"/>
      <c r="M211" s="89"/>
      <c r="N211" s="89"/>
      <c r="O211" s="89"/>
      <c r="P211" s="89"/>
      <c r="Q211" s="89"/>
      <c r="R211" s="98"/>
      <c r="S211" s="98"/>
      <c r="T211" s="98"/>
      <c r="U211" s="98"/>
    </row>
    <row r="212" spans="1:21" x14ac:dyDescent="0.4">
      <c r="A212" s="86">
        <f t="shared" si="3"/>
        <v>208</v>
      </c>
      <c r="B212" s="103"/>
      <c r="C212" s="189"/>
      <c r="D212" s="164"/>
      <c r="E212" s="103"/>
      <c r="F212" s="104"/>
      <c r="G212" s="103"/>
      <c r="H212" s="104"/>
      <c r="I212" s="103"/>
      <c r="J212" s="103"/>
      <c r="K212" s="88" t="s">
        <v>1676</v>
      </c>
      <c r="L212" s="89"/>
      <c r="M212" s="89"/>
      <c r="N212" s="89"/>
      <c r="O212" s="89"/>
      <c r="P212" s="89"/>
      <c r="Q212" s="89"/>
      <c r="R212" s="98"/>
      <c r="S212" s="98"/>
      <c r="T212" s="98"/>
      <c r="U212" s="98"/>
    </row>
    <row r="213" spans="1:21" x14ac:dyDescent="0.4">
      <c r="A213" s="86">
        <f t="shared" si="3"/>
        <v>209</v>
      </c>
      <c r="B213" s="103"/>
      <c r="C213" s="189"/>
      <c r="D213" s="164"/>
      <c r="E213" s="103"/>
      <c r="F213" s="104"/>
      <c r="G213" s="103"/>
      <c r="H213" s="104"/>
      <c r="I213" s="103"/>
      <c r="J213" s="103"/>
      <c r="K213" s="107"/>
      <c r="L213" s="100"/>
      <c r="M213" s="100"/>
      <c r="N213" s="100"/>
      <c r="O213" s="100"/>
      <c r="P213" s="100"/>
      <c r="Q213" s="100"/>
      <c r="R213" s="93" t="s">
        <v>1666</v>
      </c>
      <c r="S213" s="93"/>
      <c r="T213" s="93" t="s">
        <v>1666</v>
      </c>
      <c r="U213" s="93"/>
    </row>
    <row r="214" spans="1:21" x14ac:dyDescent="0.4">
      <c r="A214" s="86">
        <f t="shared" si="3"/>
        <v>210</v>
      </c>
      <c r="B214" s="103"/>
      <c r="C214" s="189"/>
      <c r="D214" s="164"/>
      <c r="E214" s="103"/>
      <c r="F214" s="104"/>
      <c r="G214" s="103"/>
      <c r="H214" s="104"/>
      <c r="I214" s="103"/>
      <c r="J214" s="103"/>
      <c r="K214" s="88" t="s">
        <v>1677</v>
      </c>
      <c r="L214" s="89"/>
      <c r="M214" s="89"/>
      <c r="N214" s="89"/>
      <c r="O214" s="89"/>
      <c r="P214" s="89"/>
      <c r="Q214" s="89"/>
      <c r="R214" s="93" t="s">
        <v>1232</v>
      </c>
      <c r="S214" s="93"/>
      <c r="T214" s="93" t="s">
        <v>9</v>
      </c>
      <c r="U214" s="93"/>
    </row>
    <row r="215" spans="1:21" x14ac:dyDescent="0.4">
      <c r="A215" s="86">
        <f t="shared" si="3"/>
        <v>211</v>
      </c>
      <c r="B215" s="103"/>
      <c r="C215" s="189"/>
      <c r="D215" s="164"/>
      <c r="E215" s="103"/>
      <c r="F215" s="104"/>
      <c r="G215" s="103"/>
      <c r="H215" s="104"/>
      <c r="I215" s="103"/>
      <c r="J215" s="103"/>
      <c r="K215" s="107"/>
      <c r="L215" s="100" t="s">
        <v>1678</v>
      </c>
      <c r="M215" s="100"/>
      <c r="N215" s="100"/>
      <c r="O215" s="100"/>
      <c r="P215" s="100"/>
      <c r="Q215" s="100"/>
      <c r="R215" s="93" t="s">
        <v>20</v>
      </c>
      <c r="S215" s="93"/>
      <c r="T215" s="93" t="s">
        <v>20</v>
      </c>
      <c r="U215" s="93"/>
    </row>
    <row r="216" spans="1:21" x14ac:dyDescent="0.4">
      <c r="A216" s="86">
        <f t="shared" si="3"/>
        <v>212</v>
      </c>
      <c r="B216" s="103"/>
      <c r="C216" s="189"/>
      <c r="D216" s="164"/>
      <c r="E216" s="103"/>
      <c r="F216" s="104"/>
      <c r="G216" s="103"/>
      <c r="H216" s="104"/>
      <c r="I216" s="103"/>
      <c r="J216" s="103"/>
      <c r="K216" s="88" t="s">
        <v>1679</v>
      </c>
      <c r="L216" s="89"/>
      <c r="M216" s="89"/>
      <c r="N216" s="89"/>
      <c r="O216" s="89"/>
      <c r="P216" s="89"/>
      <c r="Q216" s="89"/>
      <c r="R216" s="93" t="s">
        <v>1231</v>
      </c>
      <c r="S216" s="93"/>
      <c r="T216" s="93" t="s">
        <v>10</v>
      </c>
      <c r="U216" s="93"/>
    </row>
    <row r="217" spans="1:21" x14ac:dyDescent="0.4">
      <c r="A217" s="86">
        <f t="shared" si="3"/>
        <v>213</v>
      </c>
      <c r="B217" s="103"/>
      <c r="C217" s="189"/>
      <c r="D217" s="164"/>
      <c r="E217" s="103"/>
      <c r="F217" s="104"/>
      <c r="G217" s="103"/>
      <c r="H217" s="104"/>
      <c r="I217" s="103"/>
      <c r="J217" s="103"/>
      <c r="K217" s="107"/>
      <c r="L217" s="100"/>
      <c r="M217" s="100"/>
      <c r="N217" s="100"/>
      <c r="O217" s="100"/>
      <c r="P217" s="100"/>
      <c r="Q217" s="100"/>
      <c r="R217" s="93" t="s">
        <v>1240</v>
      </c>
      <c r="S217" s="93"/>
      <c r="T217" s="93" t="s">
        <v>1240</v>
      </c>
      <c r="U217" s="93"/>
    </row>
    <row r="218" spans="1:21" x14ac:dyDescent="0.4">
      <c r="A218" s="86">
        <f t="shared" si="3"/>
        <v>214</v>
      </c>
      <c r="B218" s="103"/>
      <c r="C218" s="189"/>
      <c r="D218" s="164"/>
      <c r="E218" s="103"/>
      <c r="F218" s="104"/>
      <c r="G218" s="103"/>
      <c r="H218" s="104"/>
      <c r="I218" s="103"/>
      <c r="J218" s="103"/>
      <c r="K218" s="100" t="s">
        <v>1680</v>
      </c>
      <c r="L218" s="100"/>
      <c r="M218" s="100"/>
      <c r="N218" s="100"/>
      <c r="O218" s="100"/>
      <c r="P218" s="100"/>
      <c r="Q218" s="100"/>
      <c r="R218" s="93" t="s">
        <v>1240</v>
      </c>
      <c r="S218" s="93"/>
      <c r="T218" s="93" t="s">
        <v>1240</v>
      </c>
      <c r="U218" s="93"/>
    </row>
    <row r="219" spans="1:21" x14ac:dyDescent="0.4">
      <c r="A219" s="86">
        <f t="shared" si="3"/>
        <v>215</v>
      </c>
      <c r="B219" s="103"/>
      <c r="C219" s="189"/>
      <c r="D219" s="164"/>
      <c r="E219" s="103"/>
      <c r="F219" s="104"/>
      <c r="G219" s="103"/>
      <c r="H219" s="104"/>
      <c r="I219" s="103"/>
      <c r="J219" s="103"/>
      <c r="K219" s="100" t="s">
        <v>1681</v>
      </c>
      <c r="L219" s="100"/>
      <c r="M219" s="100"/>
      <c r="N219" s="100"/>
      <c r="O219" s="100"/>
      <c r="P219" s="100"/>
      <c r="Q219" s="100"/>
      <c r="R219" s="93" t="s">
        <v>20</v>
      </c>
      <c r="S219" s="93"/>
      <c r="T219" s="93" t="s">
        <v>20</v>
      </c>
      <c r="U219" s="93"/>
    </row>
    <row r="220" spans="1:21" x14ac:dyDescent="0.4">
      <c r="A220" s="86">
        <f t="shared" si="3"/>
        <v>216</v>
      </c>
      <c r="B220" s="103"/>
      <c r="C220" s="189"/>
      <c r="D220" s="164"/>
      <c r="E220" s="103"/>
      <c r="F220" s="104"/>
      <c r="G220" s="103"/>
      <c r="H220" s="104"/>
      <c r="I220" s="103"/>
      <c r="J220" s="107"/>
      <c r="K220" s="100" t="s">
        <v>1695</v>
      </c>
      <c r="L220" s="100"/>
      <c r="M220" s="100"/>
      <c r="N220" s="100"/>
      <c r="O220" s="100"/>
      <c r="P220" s="100"/>
      <c r="Q220" s="100"/>
      <c r="R220" s="93" t="s">
        <v>36</v>
      </c>
      <c r="S220" s="93"/>
      <c r="T220" s="93" t="s">
        <v>36</v>
      </c>
      <c r="U220" s="93"/>
    </row>
    <row r="221" spans="1:21" x14ac:dyDescent="0.4">
      <c r="A221" s="86">
        <f t="shared" si="3"/>
        <v>217</v>
      </c>
      <c r="B221" s="103"/>
      <c r="C221" s="189"/>
      <c r="D221" s="164"/>
      <c r="E221" s="103"/>
      <c r="F221" s="104"/>
      <c r="G221" s="103"/>
      <c r="H221" s="99" t="s">
        <v>1651</v>
      </c>
      <c r="I221" s="100"/>
      <c r="J221" s="100"/>
      <c r="K221" s="100"/>
      <c r="L221" s="100"/>
      <c r="M221" s="100"/>
      <c r="N221" s="100"/>
      <c r="O221" s="100"/>
      <c r="P221" s="100"/>
      <c r="Q221" s="100"/>
      <c r="R221" s="93" t="s">
        <v>20</v>
      </c>
      <c r="S221" s="93"/>
      <c r="T221" s="93" t="s">
        <v>20</v>
      </c>
      <c r="U221" s="93"/>
    </row>
    <row r="222" spans="1:21" x14ac:dyDescent="0.4">
      <c r="A222" s="86">
        <f t="shared" si="3"/>
        <v>218</v>
      </c>
      <c r="B222" s="103"/>
      <c r="C222" s="189"/>
      <c r="D222" s="164"/>
      <c r="E222" s="107"/>
      <c r="F222" s="108"/>
      <c r="G222" s="107"/>
      <c r="H222" s="99" t="s">
        <v>1652</v>
      </c>
      <c r="I222" s="100"/>
      <c r="J222" s="100"/>
      <c r="K222" s="100"/>
      <c r="L222" s="100"/>
      <c r="M222" s="100"/>
      <c r="N222" s="100"/>
      <c r="O222" s="100"/>
      <c r="P222" s="100"/>
      <c r="Q222" s="100"/>
      <c r="R222" s="93" t="s">
        <v>20</v>
      </c>
      <c r="S222" s="93"/>
      <c r="T222" s="93" t="s">
        <v>20</v>
      </c>
      <c r="U222" s="93"/>
    </row>
    <row r="223" spans="1:21" x14ac:dyDescent="0.4">
      <c r="A223" s="86">
        <f t="shared" si="3"/>
        <v>219</v>
      </c>
      <c r="B223" s="105"/>
      <c r="C223" s="189"/>
      <c r="D223" s="186" t="s">
        <v>2983</v>
      </c>
      <c r="E223" s="187"/>
      <c r="F223" s="187"/>
      <c r="G223" s="160"/>
      <c r="H223" s="160"/>
      <c r="I223" s="160"/>
      <c r="J223" s="160"/>
      <c r="K223" s="160"/>
      <c r="L223" s="160"/>
      <c r="M223" s="160"/>
      <c r="N223" s="160"/>
      <c r="O223" s="160"/>
      <c r="P223" s="160"/>
      <c r="Q223" s="161"/>
      <c r="R223" s="162"/>
      <c r="S223" s="162"/>
      <c r="T223" s="162"/>
      <c r="U223" s="163"/>
    </row>
    <row r="224" spans="1:21" x14ac:dyDescent="0.4">
      <c r="A224" s="86">
        <f t="shared" si="3"/>
        <v>220</v>
      </c>
      <c r="B224" s="92"/>
      <c r="C224" s="190"/>
      <c r="D224" s="164"/>
      <c r="E224" s="99" t="s">
        <v>2964</v>
      </c>
      <c r="F224" s="112"/>
      <c r="G224" s="100"/>
      <c r="H224" s="100"/>
      <c r="I224" s="100"/>
      <c r="J224" s="100"/>
      <c r="K224" s="100"/>
      <c r="L224" s="100"/>
      <c r="M224" s="100"/>
      <c r="N224" s="100"/>
      <c r="O224" s="100"/>
      <c r="P224" s="100"/>
      <c r="Q224" s="101"/>
      <c r="R224" s="93" t="s">
        <v>9</v>
      </c>
      <c r="S224" s="93"/>
      <c r="T224" s="93"/>
      <c r="U224" s="94"/>
    </row>
    <row r="225" spans="1:21" x14ac:dyDescent="0.4">
      <c r="A225" s="86">
        <f t="shared" si="3"/>
        <v>221</v>
      </c>
      <c r="B225" s="92"/>
      <c r="C225" s="190"/>
      <c r="D225" s="164"/>
      <c r="E225" s="99" t="s">
        <v>2966</v>
      </c>
      <c r="F225" s="112"/>
      <c r="G225" s="112"/>
      <c r="H225" s="112"/>
      <c r="I225" s="112"/>
      <c r="J225" s="112"/>
      <c r="K225" s="112"/>
      <c r="L225" s="112"/>
      <c r="M225" s="112"/>
      <c r="N225" s="112"/>
      <c r="O225" s="112"/>
      <c r="P225" s="112"/>
      <c r="Q225" s="183"/>
      <c r="R225" s="184" t="s">
        <v>10</v>
      </c>
      <c r="S225" s="184"/>
      <c r="T225" s="184"/>
      <c r="U225" s="185"/>
    </row>
    <row r="226" spans="1:21" x14ac:dyDescent="0.4">
      <c r="A226" s="86">
        <f t="shared" si="3"/>
        <v>222</v>
      </c>
      <c r="B226" s="92"/>
      <c r="C226" s="190"/>
      <c r="D226" s="164"/>
      <c r="E226" s="87" t="s">
        <v>2965</v>
      </c>
      <c r="F226" s="89"/>
      <c r="G226" s="89"/>
      <c r="H226" s="89"/>
      <c r="I226" s="151"/>
      <c r="J226" s="89"/>
      <c r="K226" s="89"/>
      <c r="L226" s="89"/>
      <c r="M226" s="89"/>
      <c r="N226" s="89"/>
      <c r="O226" s="89"/>
      <c r="P226" s="89"/>
      <c r="Q226" s="90"/>
      <c r="R226" s="98"/>
      <c r="S226" s="98"/>
      <c r="T226" s="98"/>
      <c r="U226" s="91"/>
    </row>
    <row r="227" spans="1:21" x14ac:dyDescent="0.4">
      <c r="A227" s="86">
        <f t="shared" si="3"/>
        <v>223</v>
      </c>
      <c r="B227" s="92"/>
      <c r="C227" s="190"/>
      <c r="D227" s="164"/>
      <c r="E227" s="92"/>
      <c r="F227" s="87" t="s">
        <v>94</v>
      </c>
      <c r="G227" s="89"/>
      <c r="H227" s="97"/>
      <c r="I227" s="147"/>
      <c r="J227" s="97"/>
      <c r="K227" s="97"/>
      <c r="L227" s="97"/>
      <c r="M227" s="97"/>
      <c r="N227" s="97"/>
      <c r="O227" s="97"/>
      <c r="P227" s="89"/>
      <c r="Q227" s="90"/>
      <c r="R227" s="98"/>
      <c r="S227" s="98"/>
      <c r="T227" s="98"/>
      <c r="U227" s="91"/>
    </row>
    <row r="228" spans="1:21" x14ac:dyDescent="0.4">
      <c r="A228" s="86">
        <f t="shared" si="3"/>
        <v>224</v>
      </c>
      <c r="B228" s="92"/>
      <c r="C228" s="190"/>
      <c r="D228" s="164"/>
      <c r="E228" s="92"/>
      <c r="F228" s="103"/>
      <c r="G228" s="87" t="s">
        <v>1755</v>
      </c>
      <c r="H228" s="97"/>
      <c r="I228" s="147"/>
      <c r="J228" s="97"/>
      <c r="K228" s="97"/>
      <c r="L228" s="97"/>
      <c r="M228" s="97"/>
      <c r="N228" s="97"/>
      <c r="O228" s="97"/>
      <c r="P228" s="89"/>
      <c r="Q228" s="90"/>
      <c r="R228" s="98"/>
      <c r="S228" s="98"/>
      <c r="T228" s="98"/>
      <c r="U228" s="91"/>
    </row>
    <row r="229" spans="1:21" x14ac:dyDescent="0.4">
      <c r="A229" s="86">
        <f t="shared" si="3"/>
        <v>225</v>
      </c>
      <c r="B229" s="92"/>
      <c r="C229" s="190"/>
      <c r="D229" s="164"/>
      <c r="E229" s="92"/>
      <c r="F229" s="103"/>
      <c r="G229" s="103"/>
      <c r="H229" s="105" t="s">
        <v>1756</v>
      </c>
      <c r="I229" s="147"/>
      <c r="J229" s="97"/>
      <c r="K229" s="97"/>
      <c r="L229" s="97"/>
      <c r="M229" s="97"/>
      <c r="N229" s="97"/>
      <c r="O229" s="97"/>
      <c r="P229" s="89"/>
      <c r="Q229" s="90"/>
      <c r="R229" s="93" t="s">
        <v>2927</v>
      </c>
      <c r="S229" s="98"/>
      <c r="T229" s="93"/>
      <c r="U229" s="91"/>
    </row>
    <row r="230" spans="1:21" x14ac:dyDescent="0.4">
      <c r="A230" s="86">
        <f t="shared" si="3"/>
        <v>226</v>
      </c>
      <c r="B230" s="92"/>
      <c r="C230" s="190"/>
      <c r="D230" s="164"/>
      <c r="E230" s="92"/>
      <c r="F230" s="103"/>
      <c r="G230" s="103"/>
      <c r="H230" s="87" t="s">
        <v>1757</v>
      </c>
      <c r="I230" s="147"/>
      <c r="J230" s="97"/>
      <c r="K230" s="97"/>
      <c r="L230" s="97"/>
      <c r="M230" s="97"/>
      <c r="N230" s="97"/>
      <c r="O230" s="97"/>
      <c r="P230" s="89"/>
      <c r="Q230" s="90"/>
      <c r="R230" s="98"/>
      <c r="S230" s="98"/>
      <c r="T230" s="98"/>
      <c r="U230" s="91"/>
    </row>
    <row r="231" spans="1:21" x14ac:dyDescent="0.4">
      <c r="A231" s="86">
        <f t="shared" si="3"/>
        <v>227</v>
      </c>
      <c r="B231" s="92"/>
      <c r="C231" s="190"/>
      <c r="D231" s="164"/>
      <c r="E231" s="92"/>
      <c r="F231" s="103"/>
      <c r="G231" s="103"/>
      <c r="H231" s="106"/>
      <c r="I231" s="146" t="s">
        <v>1758</v>
      </c>
      <c r="J231" s="145"/>
      <c r="K231" s="145"/>
      <c r="L231" s="145"/>
      <c r="M231" s="145"/>
      <c r="N231" s="145"/>
      <c r="O231" s="145"/>
      <c r="P231" s="100"/>
      <c r="Q231" s="101"/>
      <c r="R231" s="152">
        <v>0.33333333333333331</v>
      </c>
      <c r="S231" s="152"/>
      <c r="T231" s="152"/>
      <c r="U231" s="94"/>
    </row>
    <row r="232" spans="1:21" x14ac:dyDescent="0.4">
      <c r="A232" s="86">
        <f t="shared" si="3"/>
        <v>228</v>
      </c>
      <c r="B232" s="92"/>
      <c r="C232" s="190"/>
      <c r="D232" s="164"/>
      <c r="E232" s="92"/>
      <c r="F232" s="103"/>
      <c r="G232" s="107"/>
      <c r="H232" s="128"/>
      <c r="I232" s="146" t="s">
        <v>1759</v>
      </c>
      <c r="J232" s="145"/>
      <c r="K232" s="145"/>
      <c r="L232" s="145"/>
      <c r="M232" s="145"/>
      <c r="N232" s="145"/>
      <c r="O232" s="145"/>
      <c r="P232" s="100"/>
      <c r="Q232" s="101"/>
      <c r="R232" s="152">
        <v>0.70833333333333337</v>
      </c>
      <c r="S232" s="152"/>
      <c r="T232" s="152"/>
      <c r="U232" s="94"/>
    </row>
    <row r="233" spans="1:21" x14ac:dyDescent="0.4">
      <c r="A233" s="86">
        <f t="shared" si="3"/>
        <v>229</v>
      </c>
      <c r="B233" s="92"/>
      <c r="C233" s="190"/>
      <c r="D233" s="164"/>
      <c r="E233" s="92"/>
      <c r="F233" s="103"/>
      <c r="G233" s="87" t="s">
        <v>6</v>
      </c>
      <c r="H233" s="97"/>
      <c r="I233" s="147"/>
      <c r="J233" s="97"/>
      <c r="K233" s="97"/>
      <c r="L233" s="97"/>
      <c r="M233" s="97"/>
      <c r="N233" s="97"/>
      <c r="O233" s="97"/>
      <c r="P233" s="89"/>
      <c r="Q233" s="90"/>
      <c r="R233" s="98"/>
      <c r="S233" s="98"/>
      <c r="T233" s="98"/>
      <c r="U233" s="91"/>
    </row>
    <row r="234" spans="1:21" x14ac:dyDescent="0.4">
      <c r="A234" s="86">
        <f t="shared" si="3"/>
        <v>230</v>
      </c>
      <c r="B234" s="92"/>
      <c r="C234" s="190"/>
      <c r="D234" s="164"/>
      <c r="E234" s="92"/>
      <c r="F234" s="103"/>
      <c r="G234" s="103"/>
      <c r="H234" s="105" t="s">
        <v>1760</v>
      </c>
      <c r="I234" s="147"/>
      <c r="J234" s="97"/>
      <c r="K234" s="97"/>
      <c r="L234" s="97"/>
      <c r="M234" s="97"/>
      <c r="N234" s="97"/>
      <c r="O234" s="97"/>
      <c r="P234" s="89"/>
      <c r="Q234" s="90"/>
      <c r="R234" s="98"/>
      <c r="S234" s="98"/>
      <c r="T234" s="98"/>
      <c r="U234" s="91"/>
    </row>
    <row r="235" spans="1:21" x14ac:dyDescent="0.4">
      <c r="A235" s="86">
        <f t="shared" si="3"/>
        <v>231</v>
      </c>
      <c r="B235" s="92"/>
      <c r="C235" s="190"/>
      <c r="D235" s="164"/>
      <c r="E235" s="92"/>
      <c r="F235" s="103"/>
      <c r="G235" s="103"/>
      <c r="H235" s="103"/>
      <c r="I235" s="195" t="s">
        <v>1761</v>
      </c>
      <c r="J235" s="145"/>
      <c r="K235" s="145"/>
      <c r="L235" s="145"/>
      <c r="M235" s="145"/>
      <c r="N235" s="145"/>
      <c r="O235" s="145"/>
      <c r="P235" s="100"/>
      <c r="Q235" s="101"/>
      <c r="R235" s="93" t="s">
        <v>2927</v>
      </c>
      <c r="S235" s="93"/>
      <c r="T235" s="93"/>
      <c r="U235" s="94"/>
    </row>
    <row r="236" spans="1:21" x14ac:dyDescent="0.4">
      <c r="A236" s="86">
        <f t="shared" si="3"/>
        <v>232</v>
      </c>
      <c r="B236" s="92"/>
      <c r="C236" s="190"/>
      <c r="D236" s="164"/>
      <c r="E236" s="92"/>
      <c r="F236" s="92"/>
      <c r="G236" s="103"/>
      <c r="H236" s="106"/>
      <c r="I236" s="196" t="s">
        <v>1762</v>
      </c>
      <c r="J236" s="145"/>
      <c r="K236" s="145"/>
      <c r="L236" s="145"/>
      <c r="M236" s="145"/>
      <c r="N236" s="145"/>
      <c r="O236" s="145"/>
      <c r="P236" s="100"/>
      <c r="Q236" s="101"/>
      <c r="R236" s="93" t="s">
        <v>2927</v>
      </c>
      <c r="S236" s="93"/>
      <c r="T236" s="93"/>
      <c r="U236" s="94"/>
    </row>
    <row r="237" spans="1:21" x14ac:dyDescent="0.4">
      <c r="A237" s="86">
        <f t="shared" si="3"/>
        <v>233</v>
      </c>
      <c r="B237" s="92"/>
      <c r="C237" s="190"/>
      <c r="D237" s="164"/>
      <c r="E237" s="92"/>
      <c r="F237" s="92"/>
      <c r="G237" s="103"/>
      <c r="H237" s="106"/>
      <c r="I237" s="196" t="s">
        <v>1763</v>
      </c>
      <c r="L237" s="145"/>
      <c r="M237" s="145"/>
      <c r="N237" s="145"/>
      <c r="O237" s="145"/>
      <c r="P237" s="100"/>
      <c r="Q237" s="101"/>
      <c r="R237" s="93" t="s">
        <v>2927</v>
      </c>
      <c r="S237" s="93"/>
      <c r="T237" s="93"/>
      <c r="U237" s="94"/>
    </row>
    <row r="238" spans="1:21" x14ac:dyDescent="0.4">
      <c r="A238" s="86">
        <f t="shared" si="3"/>
        <v>234</v>
      </c>
      <c r="B238" s="92"/>
      <c r="C238" s="190"/>
      <c r="D238" s="164"/>
      <c r="E238" s="92"/>
      <c r="F238" s="92"/>
      <c r="G238" s="103"/>
      <c r="H238" s="88" t="s">
        <v>1764</v>
      </c>
      <c r="I238" s="151"/>
      <c r="J238" s="89"/>
      <c r="K238" s="89"/>
      <c r="L238" s="97"/>
      <c r="M238" s="97"/>
      <c r="N238" s="97"/>
      <c r="O238" s="97"/>
      <c r="P238" s="89"/>
      <c r="Q238" s="90"/>
      <c r="R238" s="98"/>
      <c r="S238" s="98"/>
      <c r="T238" s="98"/>
      <c r="U238" s="91"/>
    </row>
    <row r="239" spans="1:21" x14ac:dyDescent="0.4">
      <c r="A239" s="86">
        <f t="shared" si="3"/>
        <v>235</v>
      </c>
      <c r="B239" s="92"/>
      <c r="C239" s="190"/>
      <c r="D239" s="164"/>
      <c r="E239" s="92"/>
      <c r="F239" s="92"/>
      <c r="G239" s="103"/>
      <c r="H239" s="128"/>
      <c r="I239" s="146" t="s">
        <v>1765</v>
      </c>
      <c r="J239" s="145"/>
      <c r="K239" s="145"/>
      <c r="L239" s="145"/>
      <c r="M239" s="145"/>
      <c r="N239" s="145"/>
      <c r="O239" s="145"/>
      <c r="P239" s="100"/>
      <c r="Q239" s="101"/>
      <c r="R239" s="93" t="s">
        <v>2927</v>
      </c>
      <c r="S239" s="93"/>
      <c r="T239" s="93"/>
      <c r="U239" s="94"/>
    </row>
    <row r="240" spans="1:21" x14ac:dyDescent="0.4">
      <c r="A240" s="86">
        <f t="shared" si="3"/>
        <v>236</v>
      </c>
      <c r="B240" s="92"/>
      <c r="C240" s="190"/>
      <c r="D240" s="164"/>
      <c r="E240" s="92"/>
      <c r="F240" s="92"/>
      <c r="G240" s="103"/>
      <c r="H240" s="105" t="s">
        <v>2967</v>
      </c>
      <c r="I240" s="147"/>
      <c r="J240" s="97"/>
      <c r="K240" s="97"/>
      <c r="L240" s="97"/>
      <c r="M240" s="97"/>
      <c r="N240" s="97"/>
      <c r="O240" s="97"/>
      <c r="P240" s="89"/>
      <c r="Q240" s="90"/>
      <c r="R240" s="93"/>
      <c r="S240" s="98"/>
      <c r="T240" s="98"/>
      <c r="U240" s="91"/>
    </row>
    <row r="241" spans="1:21" x14ac:dyDescent="0.4">
      <c r="A241" s="86">
        <f t="shared" si="3"/>
        <v>237</v>
      </c>
      <c r="B241" s="92"/>
      <c r="C241" s="190"/>
      <c r="D241" s="164"/>
      <c r="E241" s="92"/>
      <c r="F241" s="92"/>
      <c r="G241" s="107"/>
      <c r="H241" s="128"/>
      <c r="I241" s="99" t="s">
        <v>2968</v>
      </c>
      <c r="J241" s="145"/>
      <c r="K241" s="145"/>
      <c r="L241" s="145"/>
      <c r="M241" s="145"/>
      <c r="N241" s="145"/>
      <c r="O241" s="145"/>
      <c r="P241" s="100"/>
      <c r="Q241" s="101"/>
      <c r="R241" s="93"/>
      <c r="S241" s="93"/>
      <c r="T241" s="93"/>
      <c r="U241" s="94"/>
    </row>
    <row r="242" spans="1:21" x14ac:dyDescent="0.4">
      <c r="A242" s="86">
        <f t="shared" si="3"/>
        <v>238</v>
      </c>
      <c r="B242" s="92"/>
      <c r="C242" s="190"/>
      <c r="D242" s="164"/>
      <c r="E242" s="92"/>
      <c r="F242" s="87" t="s">
        <v>2969</v>
      </c>
      <c r="G242" s="89"/>
      <c r="H242" s="97"/>
      <c r="I242" s="147"/>
      <c r="J242" s="97"/>
      <c r="K242" s="97"/>
      <c r="L242" s="97"/>
      <c r="M242" s="97"/>
      <c r="N242" s="97"/>
      <c r="O242" s="97"/>
      <c r="P242" s="97"/>
      <c r="Q242" s="97"/>
      <c r="R242" s="98"/>
      <c r="S242" s="98"/>
      <c r="T242" s="98"/>
      <c r="U242" s="91"/>
    </row>
    <row r="243" spans="1:21" x14ac:dyDescent="0.4">
      <c r="A243" s="86">
        <f t="shared" si="3"/>
        <v>239</v>
      </c>
      <c r="B243" s="92"/>
      <c r="C243" s="190"/>
      <c r="D243" s="164"/>
      <c r="E243" s="92"/>
      <c r="F243" s="103"/>
      <c r="G243" s="87" t="s">
        <v>2970</v>
      </c>
      <c r="H243" s="97"/>
      <c r="I243" s="147"/>
      <c r="J243" s="97"/>
      <c r="K243" s="97"/>
      <c r="L243" s="97"/>
      <c r="M243" s="97"/>
      <c r="N243" s="97"/>
      <c r="O243" s="97"/>
      <c r="P243" s="97"/>
      <c r="Q243" s="97"/>
      <c r="R243" s="98"/>
      <c r="S243" s="98"/>
      <c r="T243" s="98"/>
      <c r="U243" s="91"/>
    </row>
    <row r="244" spans="1:21" x14ac:dyDescent="0.4">
      <c r="A244" s="86">
        <f t="shared" si="3"/>
        <v>240</v>
      </c>
      <c r="B244" s="92"/>
      <c r="C244" s="190"/>
      <c r="D244" s="164"/>
      <c r="E244" s="92"/>
      <c r="F244" s="103"/>
      <c r="G244" s="103"/>
      <c r="H244" s="105" t="s">
        <v>2970</v>
      </c>
      <c r="I244" s="147"/>
      <c r="J244" s="97"/>
      <c r="K244" s="97"/>
      <c r="L244" s="97"/>
      <c r="M244" s="97"/>
      <c r="N244" s="97"/>
      <c r="O244" s="97"/>
      <c r="P244" s="97"/>
      <c r="Q244" s="97"/>
      <c r="R244" s="93" t="s">
        <v>2927</v>
      </c>
      <c r="S244" s="98"/>
      <c r="T244" s="98"/>
      <c r="U244" s="91"/>
    </row>
    <row r="245" spans="1:21" x14ac:dyDescent="0.4">
      <c r="A245" s="86">
        <f t="shared" si="3"/>
        <v>241</v>
      </c>
      <c r="B245" s="92"/>
      <c r="C245" s="190"/>
      <c r="D245" s="164"/>
      <c r="E245" s="92"/>
      <c r="F245" s="103"/>
      <c r="G245" s="103"/>
      <c r="H245" s="103"/>
      <c r="I245" s="146" t="s">
        <v>1229</v>
      </c>
      <c r="J245" s="145"/>
      <c r="K245" s="145"/>
      <c r="L245" s="145"/>
      <c r="M245" s="145"/>
      <c r="N245" s="145"/>
      <c r="O245" s="145"/>
      <c r="P245" s="145"/>
      <c r="Q245" s="145"/>
      <c r="R245" s="93" t="s">
        <v>10</v>
      </c>
      <c r="S245" s="93"/>
      <c r="T245" s="93" t="s">
        <v>10</v>
      </c>
      <c r="U245" s="94"/>
    </row>
    <row r="246" spans="1:21" x14ac:dyDescent="0.4">
      <c r="A246" s="86">
        <f t="shared" si="3"/>
        <v>242</v>
      </c>
      <c r="B246" s="92"/>
      <c r="C246" s="190"/>
      <c r="D246" s="164"/>
      <c r="E246" s="92"/>
      <c r="F246" s="103"/>
      <c r="G246" s="103"/>
      <c r="H246" s="107"/>
      <c r="I246" s="146" t="s">
        <v>99</v>
      </c>
      <c r="J246" s="145"/>
      <c r="K246" s="145"/>
      <c r="L246" s="145"/>
      <c r="M246" s="145"/>
      <c r="N246" s="145"/>
      <c r="O246" s="145"/>
      <c r="P246" s="145"/>
      <c r="Q246" s="145"/>
      <c r="R246" s="93" t="s">
        <v>9</v>
      </c>
      <c r="S246" s="93"/>
      <c r="T246" s="93" t="s">
        <v>9</v>
      </c>
      <c r="U246" s="94"/>
    </row>
    <row r="247" spans="1:21" x14ac:dyDescent="0.4">
      <c r="A247" s="86">
        <f t="shared" si="3"/>
        <v>243</v>
      </c>
      <c r="B247" s="92"/>
      <c r="C247" s="190"/>
      <c r="D247" s="164"/>
      <c r="E247" s="92"/>
      <c r="F247" s="103"/>
      <c r="G247" s="103"/>
      <c r="H247" s="145" t="s">
        <v>2971</v>
      </c>
      <c r="I247" s="146"/>
      <c r="J247" s="145"/>
      <c r="K247" s="145"/>
      <c r="L247" s="145"/>
      <c r="M247" s="145"/>
      <c r="N247" s="145"/>
      <c r="O247" s="145"/>
      <c r="P247" s="145"/>
      <c r="Q247" s="145"/>
      <c r="R247" s="93" t="s">
        <v>9</v>
      </c>
      <c r="S247" s="93"/>
      <c r="T247" s="93" t="s">
        <v>9</v>
      </c>
      <c r="U247" s="94"/>
    </row>
    <row r="248" spans="1:21" x14ac:dyDescent="0.4">
      <c r="A248" s="86">
        <f t="shared" si="3"/>
        <v>244</v>
      </c>
      <c r="B248" s="92"/>
      <c r="C248" s="190"/>
      <c r="D248" s="164"/>
      <c r="E248" s="92"/>
      <c r="F248" s="103"/>
      <c r="G248" s="107"/>
      <c r="H248" s="145" t="s">
        <v>2972</v>
      </c>
      <c r="I248" s="146"/>
      <c r="J248" s="145"/>
      <c r="K248" s="145"/>
      <c r="L248" s="145"/>
      <c r="M248" s="145"/>
      <c r="N248" s="145"/>
      <c r="O248" s="145"/>
      <c r="P248" s="145"/>
      <c r="Q248" s="145"/>
      <c r="R248" s="93" t="s">
        <v>10</v>
      </c>
      <c r="S248" s="93"/>
      <c r="T248" s="93" t="s">
        <v>10</v>
      </c>
      <c r="U248" s="94"/>
    </row>
    <row r="249" spans="1:21" x14ac:dyDescent="0.4">
      <c r="A249" s="86">
        <f t="shared" si="3"/>
        <v>245</v>
      </c>
      <c r="B249" s="92"/>
      <c r="C249" s="190"/>
      <c r="D249" s="164"/>
      <c r="E249" s="92"/>
      <c r="F249" s="103"/>
      <c r="G249" s="87" t="s">
        <v>13</v>
      </c>
      <c r="H249" s="97"/>
      <c r="I249" s="147"/>
      <c r="J249" s="97"/>
      <c r="K249" s="97"/>
      <c r="L249" s="97"/>
      <c r="M249" s="97"/>
      <c r="N249" s="97"/>
      <c r="O249" s="97"/>
      <c r="P249" s="97"/>
      <c r="Q249" s="97"/>
      <c r="R249" s="98"/>
      <c r="S249" s="98"/>
      <c r="T249" s="98"/>
      <c r="U249" s="91"/>
    </row>
    <row r="250" spans="1:21" x14ac:dyDescent="0.4">
      <c r="A250" s="86">
        <f t="shared" si="3"/>
        <v>246</v>
      </c>
      <c r="B250" s="92"/>
      <c r="C250" s="190"/>
      <c r="D250" s="164"/>
      <c r="E250" s="92"/>
      <c r="F250" s="103"/>
      <c r="G250" s="103"/>
      <c r="H250" s="105" t="s">
        <v>2973</v>
      </c>
      <c r="I250" s="147"/>
      <c r="J250" s="97"/>
      <c r="K250" s="97"/>
      <c r="L250" s="97"/>
      <c r="M250" s="97"/>
      <c r="N250" s="97"/>
      <c r="O250" s="97"/>
      <c r="P250" s="97"/>
      <c r="Q250" s="97"/>
      <c r="R250" s="98"/>
      <c r="S250" s="98"/>
      <c r="T250" s="98"/>
      <c r="U250" s="91"/>
    </row>
    <row r="251" spans="1:21" x14ac:dyDescent="0.4">
      <c r="A251" s="86">
        <f t="shared" si="3"/>
        <v>247</v>
      </c>
      <c r="B251" s="92"/>
      <c r="C251" s="190"/>
      <c r="D251" s="164"/>
      <c r="E251" s="92"/>
      <c r="F251" s="103"/>
      <c r="G251" s="103"/>
      <c r="H251" s="106"/>
      <c r="I251" s="195" t="s">
        <v>2974</v>
      </c>
      <c r="J251" s="145"/>
      <c r="K251" s="145"/>
      <c r="L251" s="145"/>
      <c r="M251" s="145"/>
      <c r="N251" s="145"/>
      <c r="O251" s="145"/>
      <c r="P251" s="145"/>
      <c r="Q251" s="145"/>
      <c r="R251" s="93" t="s">
        <v>9</v>
      </c>
      <c r="S251" s="93"/>
      <c r="T251" s="93" t="s">
        <v>9</v>
      </c>
      <c r="U251" s="94"/>
    </row>
    <row r="252" spans="1:21" x14ac:dyDescent="0.4">
      <c r="A252" s="86">
        <f t="shared" si="3"/>
        <v>248</v>
      </c>
      <c r="B252" s="92"/>
      <c r="C252" s="190"/>
      <c r="D252" s="164"/>
      <c r="E252" s="92"/>
      <c r="F252" s="103"/>
      <c r="G252" s="103"/>
      <c r="H252" s="106"/>
      <c r="I252" s="197"/>
      <c r="J252" s="70" t="s">
        <v>2975</v>
      </c>
      <c r="K252" s="145"/>
      <c r="L252" s="145"/>
      <c r="M252" s="145"/>
      <c r="N252" s="145"/>
      <c r="O252" s="145"/>
      <c r="P252" s="145"/>
      <c r="Q252" s="145"/>
      <c r="R252" s="93" t="s">
        <v>36</v>
      </c>
      <c r="S252" s="93"/>
      <c r="T252" s="93" t="s">
        <v>36</v>
      </c>
      <c r="U252" s="94"/>
    </row>
    <row r="253" spans="1:21" x14ac:dyDescent="0.4">
      <c r="A253" s="86">
        <f t="shared" si="3"/>
        <v>249</v>
      </c>
      <c r="B253" s="92"/>
      <c r="C253" s="190"/>
      <c r="D253" s="164"/>
      <c r="E253" s="92"/>
      <c r="F253" s="103"/>
      <c r="G253" s="103"/>
      <c r="H253" s="106"/>
      <c r="I253" s="188"/>
      <c r="J253" s="142"/>
      <c r="K253" s="145"/>
      <c r="L253" s="145"/>
      <c r="M253" s="145"/>
      <c r="N253" s="145"/>
      <c r="O253" s="145"/>
      <c r="P253" s="145"/>
      <c r="Q253" s="145"/>
      <c r="R253" s="198">
        <v>1</v>
      </c>
      <c r="S253" s="198"/>
      <c r="T253" s="198">
        <v>1</v>
      </c>
      <c r="U253" s="94"/>
    </row>
    <row r="254" spans="1:21" x14ac:dyDescent="0.4">
      <c r="A254" s="86">
        <f t="shared" si="3"/>
        <v>250</v>
      </c>
      <c r="B254" s="92"/>
      <c r="C254" s="190"/>
      <c r="D254" s="164"/>
      <c r="E254" s="92"/>
      <c r="F254" s="103"/>
      <c r="G254" s="103"/>
      <c r="H254" s="106"/>
      <c r="I254" s="188"/>
      <c r="J254" s="70" t="s">
        <v>2976</v>
      </c>
      <c r="K254" s="145"/>
      <c r="L254" s="145"/>
      <c r="M254" s="145"/>
      <c r="N254" s="145"/>
      <c r="O254" s="145"/>
      <c r="P254" s="145"/>
      <c r="Q254" s="145"/>
      <c r="R254" s="93" t="s">
        <v>36</v>
      </c>
      <c r="S254" s="93"/>
      <c r="T254" s="93" t="s">
        <v>36</v>
      </c>
      <c r="U254" s="94"/>
    </row>
    <row r="255" spans="1:21" x14ac:dyDescent="0.4">
      <c r="A255" s="86">
        <f t="shared" si="3"/>
        <v>251</v>
      </c>
      <c r="B255" s="92"/>
      <c r="C255" s="190"/>
      <c r="D255" s="164"/>
      <c r="E255" s="92"/>
      <c r="F255" s="103"/>
      <c r="G255" s="103"/>
      <c r="H255" s="106"/>
      <c r="I255" s="199"/>
      <c r="J255" s="142"/>
      <c r="K255" s="145"/>
      <c r="L255" s="145"/>
      <c r="M255" s="145"/>
      <c r="N255" s="145"/>
      <c r="O255" s="145"/>
      <c r="P255" s="145"/>
      <c r="Q255" s="145"/>
      <c r="R255" s="198">
        <v>5</v>
      </c>
      <c r="S255" s="198"/>
      <c r="T255" s="198">
        <v>5</v>
      </c>
      <c r="U255" s="94"/>
    </row>
    <row r="256" spans="1:21" x14ac:dyDescent="0.4">
      <c r="A256" s="86">
        <f t="shared" si="3"/>
        <v>252</v>
      </c>
      <c r="B256" s="92"/>
      <c r="C256" s="190"/>
      <c r="D256" s="164"/>
      <c r="E256" s="92"/>
      <c r="F256" s="103"/>
      <c r="G256" s="103"/>
      <c r="H256" s="106"/>
      <c r="I256" s="195" t="s">
        <v>2977</v>
      </c>
      <c r="J256" s="145"/>
      <c r="K256" s="145"/>
      <c r="L256" s="145"/>
      <c r="M256" s="145"/>
      <c r="N256" s="145"/>
      <c r="O256" s="145"/>
      <c r="P256" s="145"/>
      <c r="Q256" s="145"/>
      <c r="R256" s="93" t="s">
        <v>9</v>
      </c>
      <c r="S256" s="93"/>
      <c r="T256" s="93" t="s">
        <v>9</v>
      </c>
      <c r="U256" s="94"/>
    </row>
    <row r="257" spans="1:21" x14ac:dyDescent="0.4">
      <c r="A257" s="86">
        <f t="shared" si="3"/>
        <v>253</v>
      </c>
      <c r="B257" s="92"/>
      <c r="C257" s="190"/>
      <c r="D257" s="164"/>
      <c r="E257" s="92"/>
      <c r="F257" s="103"/>
      <c r="G257" s="103"/>
      <c r="H257" s="106"/>
      <c r="I257" s="197"/>
      <c r="J257" s="70" t="s">
        <v>2975</v>
      </c>
      <c r="K257" s="145"/>
      <c r="L257" s="145"/>
      <c r="M257" s="145"/>
      <c r="N257" s="145"/>
      <c r="O257" s="145"/>
      <c r="P257" s="145"/>
      <c r="Q257" s="145"/>
      <c r="R257" s="93" t="s">
        <v>36</v>
      </c>
      <c r="S257" s="93"/>
      <c r="T257" s="93" t="s">
        <v>36</v>
      </c>
      <c r="U257" s="94"/>
    </row>
    <row r="258" spans="1:21" x14ac:dyDescent="0.4">
      <c r="A258" s="86">
        <f t="shared" si="3"/>
        <v>254</v>
      </c>
      <c r="B258" s="92"/>
      <c r="C258" s="190"/>
      <c r="D258" s="164"/>
      <c r="E258" s="92"/>
      <c r="F258" s="103"/>
      <c r="G258" s="103"/>
      <c r="H258" s="106"/>
      <c r="I258" s="188"/>
      <c r="J258" s="142"/>
      <c r="K258" s="145"/>
      <c r="L258" s="145"/>
      <c r="M258" s="145"/>
      <c r="N258" s="145"/>
      <c r="O258" s="145"/>
      <c r="P258" s="145"/>
      <c r="Q258" s="145"/>
      <c r="R258" s="200">
        <v>0.45</v>
      </c>
      <c r="S258" s="200"/>
      <c r="T258" s="200">
        <v>0.45</v>
      </c>
      <c r="U258" s="94"/>
    </row>
    <row r="259" spans="1:21" x14ac:dyDescent="0.4">
      <c r="A259" s="86">
        <f t="shared" si="3"/>
        <v>255</v>
      </c>
      <c r="B259" s="92"/>
      <c r="C259" s="190"/>
      <c r="D259" s="164"/>
      <c r="E259" s="92"/>
      <c r="F259" s="103"/>
      <c r="G259" s="103"/>
      <c r="H259" s="106"/>
      <c r="I259" s="188"/>
      <c r="J259" s="70" t="s">
        <v>2976</v>
      </c>
      <c r="K259" s="145"/>
      <c r="L259" s="145"/>
      <c r="M259" s="145"/>
      <c r="N259" s="145"/>
      <c r="O259" s="145"/>
      <c r="P259" s="145"/>
      <c r="Q259" s="145"/>
      <c r="R259" s="93" t="s">
        <v>36</v>
      </c>
      <c r="S259" s="93"/>
      <c r="T259" s="93" t="s">
        <v>36</v>
      </c>
      <c r="U259" s="94"/>
    </row>
    <row r="260" spans="1:21" x14ac:dyDescent="0.4">
      <c r="A260" s="86">
        <f t="shared" si="3"/>
        <v>256</v>
      </c>
      <c r="B260" s="92"/>
      <c r="C260" s="190"/>
      <c r="D260" s="164"/>
      <c r="E260" s="92"/>
      <c r="F260" s="103"/>
      <c r="G260" s="103"/>
      <c r="H260" s="128"/>
      <c r="I260" s="199"/>
      <c r="J260" s="142"/>
      <c r="K260" s="145"/>
      <c r="L260" s="145"/>
      <c r="M260" s="145"/>
      <c r="N260" s="145"/>
      <c r="O260" s="145"/>
      <c r="P260" s="145"/>
      <c r="Q260" s="145"/>
      <c r="R260" s="200">
        <v>0.9</v>
      </c>
      <c r="S260" s="200"/>
      <c r="T260" s="200">
        <v>0.9</v>
      </c>
      <c r="U260" s="94"/>
    </row>
    <row r="261" spans="1:21" x14ac:dyDescent="0.4">
      <c r="A261" s="86">
        <f t="shared" si="3"/>
        <v>257</v>
      </c>
      <c r="B261" s="92"/>
      <c r="C261" s="190"/>
      <c r="D261" s="164"/>
      <c r="E261" s="92"/>
      <c r="F261" s="103"/>
      <c r="G261" s="103"/>
      <c r="H261" s="105" t="s">
        <v>2978</v>
      </c>
      <c r="I261" s="147"/>
      <c r="J261" s="97"/>
      <c r="K261" s="97"/>
      <c r="L261" s="97"/>
      <c r="M261" s="97"/>
      <c r="N261" s="97"/>
      <c r="O261" s="97"/>
      <c r="P261" s="97"/>
      <c r="Q261" s="97"/>
      <c r="R261" s="98"/>
      <c r="S261" s="98"/>
      <c r="T261" s="98"/>
      <c r="U261" s="91"/>
    </row>
    <row r="262" spans="1:21" x14ac:dyDescent="0.4">
      <c r="A262" s="86">
        <f t="shared" si="3"/>
        <v>258</v>
      </c>
      <c r="B262" s="92"/>
      <c r="C262" s="190"/>
      <c r="D262" s="164"/>
      <c r="E262" s="92"/>
      <c r="F262" s="103"/>
      <c r="G262" s="103"/>
      <c r="H262" s="103"/>
      <c r="I262" s="195" t="s">
        <v>2979</v>
      </c>
      <c r="J262" s="145"/>
      <c r="K262" s="145"/>
      <c r="L262" s="145"/>
      <c r="M262" s="145"/>
      <c r="N262" s="145"/>
      <c r="O262" s="145"/>
      <c r="P262" s="145"/>
      <c r="Q262" s="145"/>
      <c r="R262" s="93" t="s">
        <v>36</v>
      </c>
      <c r="S262" s="93"/>
      <c r="T262" s="93" t="s">
        <v>36</v>
      </c>
      <c r="U262" s="94"/>
    </row>
    <row r="263" spans="1:21" x14ac:dyDescent="0.4">
      <c r="A263" s="86">
        <f t="shared" ref="A263:A326" si="4">A262+1</f>
        <v>259</v>
      </c>
      <c r="B263" s="92"/>
      <c r="C263" s="190"/>
      <c r="D263" s="164"/>
      <c r="E263" s="92"/>
      <c r="F263" s="103"/>
      <c r="G263" s="103"/>
      <c r="H263" s="103"/>
      <c r="I263" s="199"/>
      <c r="J263" s="145"/>
      <c r="K263" s="145"/>
      <c r="L263" s="145"/>
      <c r="M263" s="145"/>
      <c r="N263" s="145"/>
      <c r="O263" s="145"/>
      <c r="P263" s="145"/>
      <c r="Q263" s="145"/>
      <c r="R263" s="200">
        <v>0.5</v>
      </c>
      <c r="S263" s="200"/>
      <c r="T263" s="200">
        <v>0.5</v>
      </c>
      <c r="U263" s="94"/>
    </row>
    <row r="264" spans="1:21" x14ac:dyDescent="0.4">
      <c r="A264" s="86">
        <f t="shared" si="4"/>
        <v>260</v>
      </c>
      <c r="B264" s="92"/>
      <c r="C264" s="190"/>
      <c r="D264" s="164"/>
      <c r="E264" s="92"/>
      <c r="F264" s="103"/>
      <c r="G264" s="103"/>
      <c r="H264" s="103"/>
      <c r="I264" s="195" t="s">
        <v>2980</v>
      </c>
      <c r="J264" s="145"/>
      <c r="K264" s="145"/>
      <c r="L264" s="145"/>
      <c r="M264" s="145"/>
      <c r="N264" s="145"/>
      <c r="O264" s="145"/>
      <c r="P264" s="145"/>
      <c r="Q264" s="145"/>
      <c r="R264" s="93" t="s">
        <v>36</v>
      </c>
      <c r="S264" s="93"/>
      <c r="T264" s="93" t="s">
        <v>36</v>
      </c>
      <c r="U264" s="94"/>
    </row>
    <row r="265" spans="1:21" x14ac:dyDescent="0.4">
      <c r="A265" s="86">
        <f t="shared" si="4"/>
        <v>261</v>
      </c>
      <c r="B265" s="92"/>
      <c r="C265" s="190"/>
      <c r="D265" s="164"/>
      <c r="E265" s="92"/>
      <c r="F265" s="103"/>
      <c r="G265" s="107"/>
      <c r="H265" s="107"/>
      <c r="I265" s="199"/>
      <c r="J265" s="145"/>
      <c r="K265" s="145"/>
      <c r="L265" s="145"/>
      <c r="M265" s="145"/>
      <c r="N265" s="145"/>
      <c r="O265" s="145"/>
      <c r="P265" s="145"/>
      <c r="Q265" s="145"/>
      <c r="R265" s="110">
        <v>500</v>
      </c>
      <c r="S265" s="110"/>
      <c r="T265" s="110">
        <v>500</v>
      </c>
      <c r="U265" s="94"/>
    </row>
    <row r="266" spans="1:21" x14ac:dyDescent="0.4">
      <c r="A266" s="86">
        <f t="shared" si="4"/>
        <v>262</v>
      </c>
      <c r="B266" s="105"/>
      <c r="C266" s="189"/>
      <c r="D266" s="186" t="s">
        <v>2984</v>
      </c>
      <c r="E266" s="187"/>
      <c r="F266" s="187"/>
      <c r="G266" s="160"/>
      <c r="H266" s="160"/>
      <c r="I266" s="160"/>
      <c r="J266" s="160"/>
      <c r="K266" s="160"/>
      <c r="L266" s="160"/>
      <c r="M266" s="160"/>
      <c r="N266" s="160"/>
      <c r="O266" s="160"/>
      <c r="P266" s="160"/>
      <c r="Q266" s="161"/>
      <c r="R266" s="162"/>
      <c r="S266" s="162"/>
      <c r="T266" s="162"/>
      <c r="U266" s="163"/>
    </row>
    <row r="267" spans="1:21" x14ac:dyDescent="0.4">
      <c r="A267" s="86">
        <f t="shared" si="4"/>
        <v>263</v>
      </c>
      <c r="B267" s="92"/>
      <c r="C267" s="190"/>
      <c r="D267" s="164"/>
      <c r="E267" s="87" t="s">
        <v>1766</v>
      </c>
      <c r="F267" s="89"/>
      <c r="G267" s="97"/>
      <c r="H267" s="147"/>
      <c r="I267" s="97"/>
      <c r="J267" s="97"/>
      <c r="K267" s="97"/>
      <c r="L267" s="97"/>
      <c r="M267" s="97"/>
      <c r="N267" s="97"/>
      <c r="O267" s="89"/>
      <c r="P267" s="89"/>
      <c r="Q267" s="90"/>
      <c r="R267" s="98"/>
      <c r="S267" s="98"/>
      <c r="T267" s="98"/>
      <c r="U267" s="91"/>
    </row>
    <row r="268" spans="1:21" x14ac:dyDescent="0.4">
      <c r="A268" s="86">
        <f t="shared" si="4"/>
        <v>264</v>
      </c>
      <c r="B268" s="92"/>
      <c r="C268" s="190"/>
      <c r="D268" s="164"/>
      <c r="E268" s="103"/>
      <c r="F268" s="103" t="s">
        <v>1767</v>
      </c>
      <c r="G268" s="97"/>
      <c r="H268" s="147"/>
      <c r="I268" s="97"/>
      <c r="J268" s="97"/>
      <c r="K268" s="97"/>
      <c r="L268" s="97"/>
      <c r="M268" s="97"/>
      <c r="N268" s="97"/>
      <c r="O268" s="89"/>
      <c r="P268" s="89"/>
      <c r="Q268" s="90"/>
      <c r="R268" s="98"/>
      <c r="S268" s="98"/>
      <c r="T268" s="98"/>
      <c r="U268" s="91"/>
    </row>
    <row r="269" spans="1:21" x14ac:dyDescent="0.4">
      <c r="A269" s="86">
        <f t="shared" si="4"/>
        <v>265</v>
      </c>
      <c r="B269" s="92"/>
      <c r="C269" s="190"/>
      <c r="D269" s="164"/>
      <c r="E269" s="103"/>
      <c r="F269" s="103"/>
      <c r="G269" s="105" t="s">
        <v>1768</v>
      </c>
      <c r="H269" s="147"/>
      <c r="I269" s="97"/>
      <c r="J269" s="97"/>
      <c r="K269" s="97"/>
      <c r="L269" s="97"/>
      <c r="M269" s="97"/>
      <c r="N269" s="97"/>
      <c r="O269" s="89"/>
      <c r="P269" s="89"/>
      <c r="Q269" s="90"/>
      <c r="R269" s="98"/>
      <c r="S269" s="98"/>
      <c r="T269" s="98"/>
      <c r="U269" s="91"/>
    </row>
    <row r="270" spans="1:21" x14ac:dyDescent="0.4">
      <c r="A270" s="86">
        <f t="shared" si="4"/>
        <v>266</v>
      </c>
      <c r="B270" s="92"/>
      <c r="C270" s="190"/>
      <c r="D270" s="164"/>
      <c r="E270" s="103"/>
      <c r="F270" s="103"/>
      <c r="G270" s="103"/>
      <c r="H270" s="195" t="s">
        <v>1769</v>
      </c>
      <c r="I270" s="145"/>
      <c r="J270" s="145"/>
      <c r="K270" s="145"/>
      <c r="L270" s="145"/>
      <c r="M270" s="145"/>
      <c r="N270" s="145"/>
      <c r="O270" s="100"/>
      <c r="P270" s="100"/>
      <c r="Q270" s="101"/>
      <c r="R270" s="93" t="s">
        <v>2927</v>
      </c>
      <c r="S270" s="93"/>
      <c r="T270" s="93"/>
      <c r="U270" s="94"/>
    </row>
    <row r="271" spans="1:21" x14ac:dyDescent="0.4">
      <c r="A271" s="86">
        <f t="shared" si="4"/>
        <v>267</v>
      </c>
      <c r="B271" s="92"/>
      <c r="C271" s="190"/>
      <c r="D271" s="164"/>
      <c r="E271" s="103"/>
      <c r="F271" s="103"/>
      <c r="G271" s="103"/>
      <c r="H271" s="201" t="s">
        <v>1770</v>
      </c>
      <c r="I271" s="145"/>
      <c r="J271" s="145"/>
      <c r="K271" s="145"/>
      <c r="L271" s="145"/>
      <c r="M271" s="145"/>
      <c r="N271" s="145"/>
      <c r="O271" s="100"/>
      <c r="P271" s="100"/>
      <c r="Q271" s="101"/>
      <c r="R271" s="93" t="s">
        <v>2927</v>
      </c>
      <c r="S271" s="93"/>
      <c r="T271" s="93"/>
      <c r="U271" s="94"/>
    </row>
    <row r="272" spans="1:21" x14ac:dyDescent="0.4">
      <c r="A272" s="86">
        <f t="shared" si="4"/>
        <v>268</v>
      </c>
      <c r="B272" s="92"/>
      <c r="C272" s="190"/>
      <c r="D272" s="164"/>
      <c r="E272" s="103"/>
      <c r="F272" s="103"/>
      <c r="G272" s="103"/>
      <c r="H272" s="201" t="s">
        <v>1771</v>
      </c>
      <c r="I272" s="145"/>
      <c r="J272" s="145"/>
      <c r="K272" s="145"/>
      <c r="L272" s="145"/>
      <c r="M272" s="145"/>
      <c r="N272" s="145"/>
      <c r="O272" s="100"/>
      <c r="P272" s="100"/>
      <c r="Q272" s="101"/>
      <c r="R272" s="93" t="s">
        <v>2927</v>
      </c>
      <c r="S272" s="93"/>
      <c r="T272" s="93"/>
      <c r="U272" s="94"/>
    </row>
    <row r="273" spans="1:21" x14ac:dyDescent="0.4">
      <c r="A273" s="86">
        <f t="shared" si="4"/>
        <v>269</v>
      </c>
      <c r="B273" s="92"/>
      <c r="C273" s="190"/>
      <c r="D273" s="164"/>
      <c r="E273" s="103"/>
      <c r="F273" s="103"/>
      <c r="G273" s="103"/>
      <c r="H273" s="201" t="s">
        <v>1772</v>
      </c>
      <c r="I273" s="145"/>
      <c r="J273" s="145"/>
      <c r="K273" s="145"/>
      <c r="L273" s="145"/>
      <c r="M273" s="145"/>
      <c r="N273" s="145"/>
      <c r="O273" s="100"/>
      <c r="P273" s="100"/>
      <c r="Q273" s="101"/>
      <c r="R273" s="93" t="s">
        <v>2927</v>
      </c>
      <c r="S273" s="93"/>
      <c r="T273" s="93"/>
      <c r="U273" s="94"/>
    </row>
    <row r="274" spans="1:21" x14ac:dyDescent="0.4">
      <c r="A274" s="86">
        <f t="shared" si="4"/>
        <v>270</v>
      </c>
      <c r="B274" s="92"/>
      <c r="C274" s="190"/>
      <c r="D274" s="164"/>
      <c r="E274" s="103"/>
      <c r="F274" s="103"/>
      <c r="G274" s="103"/>
      <c r="H274" s="201" t="s">
        <v>1773</v>
      </c>
      <c r="J274" s="145"/>
      <c r="K274" s="145"/>
      <c r="L274" s="145"/>
      <c r="M274" s="145"/>
      <c r="N274" s="145"/>
      <c r="O274" s="100"/>
      <c r="P274" s="100"/>
      <c r="Q274" s="101"/>
      <c r="R274" s="93"/>
      <c r="S274" s="93"/>
      <c r="T274" s="93"/>
      <c r="U274" s="94"/>
    </row>
    <row r="275" spans="1:21" x14ac:dyDescent="0.4">
      <c r="A275" s="86">
        <f t="shared" si="4"/>
        <v>271</v>
      </c>
      <c r="B275" s="92"/>
      <c r="C275" s="190"/>
      <c r="D275" s="164"/>
      <c r="E275" s="103"/>
      <c r="F275" s="103"/>
      <c r="G275" s="103"/>
      <c r="H275" s="153"/>
      <c r="I275" s="87" t="s">
        <v>1774</v>
      </c>
      <c r="J275" s="97"/>
      <c r="K275" s="97"/>
      <c r="L275" s="97"/>
      <c r="M275" s="97"/>
      <c r="N275" s="97"/>
      <c r="O275" s="89"/>
      <c r="P275" s="89"/>
      <c r="Q275" s="90"/>
      <c r="R275" s="98"/>
      <c r="S275" s="98"/>
      <c r="T275" s="98"/>
      <c r="U275" s="91"/>
    </row>
    <row r="276" spans="1:21" x14ac:dyDescent="0.4">
      <c r="A276" s="86">
        <f t="shared" si="4"/>
        <v>272</v>
      </c>
      <c r="B276" s="92"/>
      <c r="C276" s="190"/>
      <c r="D276" s="164"/>
      <c r="E276" s="103"/>
      <c r="F276" s="103"/>
      <c r="G276" s="103"/>
      <c r="H276" s="153"/>
      <c r="I276" s="103"/>
      <c r="J276" s="70" t="s">
        <v>1773</v>
      </c>
      <c r="L276" s="145"/>
      <c r="M276" s="145"/>
      <c r="N276" s="145"/>
      <c r="O276" s="100"/>
      <c r="P276" s="100"/>
      <c r="Q276" s="101"/>
      <c r="R276" s="93" t="s">
        <v>2927</v>
      </c>
      <c r="S276" s="98"/>
      <c r="T276" s="98"/>
      <c r="U276" s="91"/>
    </row>
    <row r="277" spans="1:21" x14ac:dyDescent="0.4">
      <c r="A277" s="86">
        <f t="shared" si="4"/>
        <v>273</v>
      </c>
      <c r="B277" s="92"/>
      <c r="C277" s="190"/>
      <c r="D277" s="164"/>
      <c r="E277" s="103"/>
      <c r="F277" s="103"/>
      <c r="G277" s="103"/>
      <c r="H277" s="148" t="s">
        <v>1775</v>
      </c>
      <c r="I277" s="151"/>
      <c r="J277" s="89"/>
      <c r="K277" s="89"/>
      <c r="L277" s="97"/>
      <c r="M277" s="97"/>
      <c r="N277" s="97"/>
      <c r="O277" s="89"/>
      <c r="P277" s="89"/>
      <c r="Q277" s="90"/>
      <c r="R277" s="98"/>
      <c r="S277" s="98"/>
      <c r="T277" s="98"/>
      <c r="U277" s="91"/>
    </row>
    <row r="278" spans="1:21" x14ac:dyDescent="0.4">
      <c r="A278" s="86">
        <f t="shared" si="4"/>
        <v>274</v>
      </c>
      <c r="B278" s="92"/>
      <c r="C278" s="190"/>
      <c r="D278" s="164"/>
      <c r="E278" s="103"/>
      <c r="F278" s="103"/>
      <c r="G278" s="103"/>
      <c r="H278" s="149"/>
      <c r="I278" s="70" t="s">
        <v>2981</v>
      </c>
      <c r="J278" s="145"/>
      <c r="K278" s="145"/>
      <c r="L278" s="145"/>
      <c r="M278" s="145"/>
      <c r="N278" s="145"/>
      <c r="O278" s="100"/>
      <c r="P278" s="100"/>
      <c r="Q278" s="101"/>
      <c r="R278" s="93" t="s">
        <v>1239</v>
      </c>
      <c r="S278" s="93"/>
      <c r="T278" s="93"/>
      <c r="U278" s="94"/>
    </row>
    <row r="279" spans="1:21" x14ac:dyDescent="0.4">
      <c r="A279" s="86">
        <f t="shared" si="4"/>
        <v>275</v>
      </c>
      <c r="B279" s="92"/>
      <c r="C279" s="190"/>
      <c r="D279" s="164"/>
      <c r="E279" s="103"/>
      <c r="F279" s="103"/>
      <c r="G279" s="103"/>
      <c r="H279" s="150"/>
      <c r="I279" s="108"/>
      <c r="J279" s="145"/>
      <c r="K279" s="145"/>
      <c r="L279" s="145"/>
      <c r="M279" s="145"/>
      <c r="N279" s="145"/>
      <c r="O279" s="100"/>
      <c r="P279" s="100"/>
      <c r="Q279" s="101"/>
      <c r="R279" s="93"/>
      <c r="S279" s="93"/>
      <c r="T279" s="93"/>
      <c r="U279" s="94"/>
    </row>
    <row r="280" spans="1:21" x14ac:dyDescent="0.4">
      <c r="A280" s="86">
        <f t="shared" si="4"/>
        <v>276</v>
      </c>
      <c r="B280" s="92"/>
      <c r="C280" s="190"/>
      <c r="D280" s="164"/>
      <c r="E280" s="103"/>
      <c r="F280" s="103"/>
      <c r="G280" s="103"/>
      <c r="H280" s="148" t="s">
        <v>1776</v>
      </c>
      <c r="I280" s="97"/>
      <c r="J280" s="97"/>
      <c r="K280" s="97"/>
      <c r="L280" s="97"/>
      <c r="M280" s="97"/>
      <c r="N280" s="97"/>
      <c r="O280" s="89"/>
      <c r="P280" s="89"/>
      <c r="Q280" s="90"/>
      <c r="R280" s="98"/>
      <c r="S280" s="98"/>
      <c r="T280" s="98"/>
      <c r="U280" s="91"/>
    </row>
    <row r="281" spans="1:21" x14ac:dyDescent="0.4">
      <c r="A281" s="86">
        <f t="shared" si="4"/>
        <v>277</v>
      </c>
      <c r="B281" s="92"/>
      <c r="C281" s="190"/>
      <c r="D281" s="164"/>
      <c r="E281" s="103"/>
      <c r="F281" s="103"/>
      <c r="G281" s="103"/>
      <c r="H281" s="149"/>
      <c r="I281" s="105" t="s">
        <v>1777</v>
      </c>
      <c r="J281" s="97"/>
      <c r="K281" s="97"/>
      <c r="L281" s="97"/>
      <c r="M281" s="97"/>
      <c r="N281" s="97"/>
      <c r="O281" s="89"/>
      <c r="P281" s="89"/>
      <c r="Q281" s="90"/>
      <c r="R281" s="98"/>
      <c r="S281" s="98"/>
      <c r="T281" s="98"/>
      <c r="U281" s="91"/>
    </row>
    <row r="282" spans="1:21" x14ac:dyDescent="0.4">
      <c r="A282" s="86">
        <f t="shared" si="4"/>
        <v>278</v>
      </c>
      <c r="B282" s="92"/>
      <c r="C282" s="190"/>
      <c r="D282" s="164"/>
      <c r="E282" s="103"/>
      <c r="F282" s="103"/>
      <c r="G282" s="103"/>
      <c r="H282" s="149"/>
      <c r="I282" s="103"/>
      <c r="J282" s="105" t="s">
        <v>1778</v>
      </c>
      <c r="K282" s="97"/>
      <c r="L282" s="97"/>
      <c r="M282" s="97"/>
      <c r="N282" s="97"/>
      <c r="O282" s="89"/>
      <c r="P282" s="89"/>
      <c r="Q282" s="90"/>
      <c r="R282" s="93" t="s">
        <v>2927</v>
      </c>
      <c r="S282" s="98"/>
      <c r="T282" s="93"/>
      <c r="U282" s="91"/>
    </row>
    <row r="283" spans="1:21" x14ac:dyDescent="0.4">
      <c r="A283" s="86">
        <f t="shared" si="4"/>
        <v>279</v>
      </c>
      <c r="B283" s="92"/>
      <c r="C283" s="190"/>
      <c r="D283" s="164"/>
      <c r="E283" s="103"/>
      <c r="F283" s="103"/>
      <c r="G283" s="103"/>
      <c r="H283" s="149"/>
      <c r="I283" s="103"/>
      <c r="J283" s="103"/>
      <c r="K283" s="145" t="s">
        <v>1779</v>
      </c>
      <c r="L283" s="145"/>
      <c r="M283" s="145"/>
      <c r="N283" s="145"/>
      <c r="O283" s="100"/>
      <c r="P283" s="100"/>
      <c r="Q283" s="101"/>
      <c r="R283" s="93" t="s">
        <v>20</v>
      </c>
      <c r="S283" s="93"/>
      <c r="T283" s="93"/>
      <c r="U283" s="94"/>
    </row>
    <row r="284" spans="1:21" x14ac:dyDescent="0.4">
      <c r="A284" s="86">
        <f t="shared" si="4"/>
        <v>280</v>
      </c>
      <c r="B284" s="92"/>
      <c r="C284" s="190"/>
      <c r="D284" s="164"/>
      <c r="E284" s="103"/>
      <c r="F284" s="103"/>
      <c r="G284" s="103"/>
      <c r="H284" s="149"/>
      <c r="I284" s="103"/>
      <c r="J284" s="103"/>
      <c r="K284" s="145" t="s">
        <v>1780</v>
      </c>
      <c r="L284" s="145"/>
      <c r="M284" s="145"/>
      <c r="N284" s="145"/>
      <c r="O284" s="100"/>
      <c r="P284" s="100"/>
      <c r="Q284" s="101"/>
      <c r="R284" s="93" t="s">
        <v>20</v>
      </c>
      <c r="S284" s="93"/>
      <c r="T284" s="93"/>
      <c r="U284" s="94"/>
    </row>
    <row r="285" spans="1:21" x14ac:dyDescent="0.4">
      <c r="A285" s="86">
        <f t="shared" si="4"/>
        <v>281</v>
      </c>
      <c r="B285" s="92"/>
      <c r="C285" s="190"/>
      <c r="D285" s="164"/>
      <c r="E285" s="103"/>
      <c r="F285" s="103"/>
      <c r="G285" s="103"/>
      <c r="H285" s="149"/>
      <c r="I285" s="107"/>
      <c r="J285" s="107"/>
      <c r="K285" s="145" t="s">
        <v>1781</v>
      </c>
      <c r="L285" s="145"/>
      <c r="M285" s="145"/>
      <c r="N285" s="145"/>
      <c r="O285" s="100"/>
      <c r="P285" s="100"/>
      <c r="Q285" s="101"/>
      <c r="R285" s="93" t="s">
        <v>20</v>
      </c>
      <c r="S285" s="93"/>
      <c r="T285" s="93"/>
      <c r="U285" s="94"/>
    </row>
    <row r="286" spans="1:21" x14ac:dyDescent="0.4">
      <c r="A286" s="86">
        <f t="shared" si="4"/>
        <v>282</v>
      </c>
      <c r="B286" s="92"/>
      <c r="C286" s="190"/>
      <c r="D286" s="164"/>
      <c r="E286" s="103"/>
      <c r="F286" s="103"/>
      <c r="G286" s="103"/>
      <c r="H286" s="149"/>
      <c r="I286" s="87" t="s">
        <v>1782</v>
      </c>
      <c r="J286" s="97"/>
      <c r="K286" s="97"/>
      <c r="L286" s="97"/>
      <c r="M286" s="97"/>
      <c r="N286" s="97"/>
      <c r="O286" s="89"/>
      <c r="P286" s="89"/>
      <c r="Q286" s="90"/>
      <c r="R286" s="98"/>
      <c r="S286" s="98"/>
      <c r="T286" s="98"/>
      <c r="U286" s="91"/>
    </row>
    <row r="287" spans="1:21" x14ac:dyDescent="0.4">
      <c r="A287" s="86">
        <f t="shared" si="4"/>
        <v>283</v>
      </c>
      <c r="B287" s="92"/>
      <c r="C287" s="190"/>
      <c r="D287" s="164"/>
      <c r="E287" s="103"/>
      <c r="F287" s="103"/>
      <c r="G287" s="103"/>
      <c r="H287" s="149"/>
      <c r="I287" s="103"/>
      <c r="J287" s="105" t="s">
        <v>1783</v>
      </c>
      <c r="K287" s="97"/>
      <c r="L287" s="97"/>
      <c r="M287" s="97"/>
      <c r="N287" s="97"/>
      <c r="O287" s="89"/>
      <c r="P287" s="89"/>
      <c r="Q287" s="90"/>
      <c r="R287" s="93" t="s">
        <v>2927</v>
      </c>
      <c r="S287" s="98"/>
      <c r="T287" s="93"/>
      <c r="U287" s="91"/>
    </row>
    <row r="288" spans="1:21" x14ac:dyDescent="0.4">
      <c r="A288" s="86">
        <f t="shared" si="4"/>
        <v>284</v>
      </c>
      <c r="B288" s="92"/>
      <c r="C288" s="190"/>
      <c r="D288" s="164"/>
      <c r="E288" s="103"/>
      <c r="F288" s="103"/>
      <c r="G288" s="103"/>
      <c r="H288" s="149"/>
      <c r="I288" s="103"/>
      <c r="J288" s="99" t="s">
        <v>1784</v>
      </c>
      <c r="K288" s="145"/>
      <c r="L288" s="145"/>
      <c r="M288" s="145"/>
      <c r="N288" s="145"/>
      <c r="O288" s="100"/>
      <c r="P288" s="100"/>
      <c r="Q288" s="101"/>
      <c r="R288" s="93" t="s">
        <v>36</v>
      </c>
      <c r="S288" s="93"/>
      <c r="T288" s="93"/>
      <c r="U288" s="94"/>
    </row>
    <row r="289" spans="1:21" x14ac:dyDescent="0.4">
      <c r="A289" s="86">
        <f t="shared" si="4"/>
        <v>285</v>
      </c>
      <c r="B289" s="92"/>
      <c r="C289" s="190"/>
      <c r="D289" s="164"/>
      <c r="E289" s="103"/>
      <c r="F289" s="103"/>
      <c r="G289" s="103"/>
      <c r="H289" s="149"/>
      <c r="I289" s="103"/>
      <c r="J289" s="145" t="s">
        <v>1785</v>
      </c>
      <c r="K289" s="145"/>
      <c r="L289" s="145"/>
      <c r="M289" s="145"/>
      <c r="N289" s="145"/>
      <c r="O289" s="100"/>
      <c r="P289" s="100"/>
      <c r="Q289" s="101"/>
      <c r="R289" s="93" t="s">
        <v>36</v>
      </c>
      <c r="S289" s="93"/>
      <c r="T289" s="93"/>
      <c r="U289" s="94"/>
    </row>
    <row r="290" spans="1:21" x14ac:dyDescent="0.4">
      <c r="A290" s="86">
        <f t="shared" si="4"/>
        <v>286</v>
      </c>
      <c r="B290" s="92"/>
      <c r="C290" s="190"/>
      <c r="D290" s="164"/>
      <c r="E290" s="103"/>
      <c r="F290" s="107"/>
      <c r="G290" s="107"/>
      <c r="H290" s="150"/>
      <c r="I290" s="107"/>
      <c r="J290" s="145" t="s">
        <v>1786</v>
      </c>
      <c r="K290" s="145"/>
      <c r="L290" s="145"/>
      <c r="M290" s="145"/>
      <c r="N290" s="145"/>
      <c r="O290" s="100"/>
      <c r="P290" s="100"/>
      <c r="Q290" s="101"/>
      <c r="R290" s="93" t="s">
        <v>36</v>
      </c>
      <c r="S290" s="93"/>
      <c r="T290" s="93"/>
      <c r="U290" s="94"/>
    </row>
    <row r="291" spans="1:21" x14ac:dyDescent="0.4">
      <c r="A291" s="86">
        <f t="shared" si="4"/>
        <v>287</v>
      </c>
      <c r="B291" s="92"/>
      <c r="C291" s="190"/>
      <c r="D291" s="164"/>
      <c r="E291" s="103"/>
      <c r="F291" s="92" t="s">
        <v>1787</v>
      </c>
      <c r="G291" s="89"/>
      <c r="H291" s="151"/>
      <c r="I291" s="97"/>
      <c r="J291" s="97"/>
      <c r="K291" s="97"/>
      <c r="L291" s="97"/>
      <c r="M291" s="97"/>
      <c r="N291" s="97"/>
      <c r="O291" s="89"/>
      <c r="P291" s="89"/>
      <c r="Q291" s="90"/>
      <c r="R291" s="98"/>
      <c r="S291" s="98"/>
      <c r="T291" s="98"/>
      <c r="U291" s="91"/>
    </row>
    <row r="292" spans="1:21" x14ac:dyDescent="0.4">
      <c r="A292" s="86">
        <f t="shared" si="4"/>
        <v>288</v>
      </c>
      <c r="B292" s="92"/>
      <c r="C292" s="190"/>
      <c r="D292" s="164"/>
      <c r="E292" s="103"/>
      <c r="F292" s="103"/>
      <c r="G292" s="92" t="s">
        <v>1788</v>
      </c>
      <c r="H292" s="151"/>
      <c r="I292" s="97"/>
      <c r="J292" s="97"/>
      <c r="K292" s="97"/>
      <c r="L292" s="97"/>
      <c r="M292" s="97"/>
      <c r="N292" s="97"/>
      <c r="O292" s="89"/>
      <c r="P292" s="89"/>
      <c r="Q292" s="90"/>
      <c r="R292" s="98"/>
      <c r="S292" s="98"/>
      <c r="T292" s="98"/>
      <c r="U292" s="91"/>
    </row>
    <row r="293" spans="1:21" x14ac:dyDescent="0.4">
      <c r="A293" s="86">
        <f t="shared" si="4"/>
        <v>289</v>
      </c>
      <c r="B293" s="92"/>
      <c r="C293" s="190"/>
      <c r="D293" s="164"/>
      <c r="E293" s="103"/>
      <c r="F293" s="103"/>
      <c r="G293" s="103"/>
      <c r="H293" s="148" t="s">
        <v>1789</v>
      </c>
      <c r="I293" s="97"/>
      <c r="J293" s="97"/>
      <c r="K293" s="97"/>
      <c r="L293" s="97"/>
      <c r="M293" s="97"/>
      <c r="N293" s="97"/>
      <c r="O293" s="89"/>
      <c r="P293" s="89"/>
      <c r="Q293" s="90"/>
      <c r="R293" s="93" t="s">
        <v>2927</v>
      </c>
      <c r="S293" s="98"/>
      <c r="T293" s="98"/>
      <c r="U293" s="91"/>
    </row>
    <row r="294" spans="1:21" x14ac:dyDescent="0.4">
      <c r="A294" s="86">
        <f t="shared" si="4"/>
        <v>290</v>
      </c>
      <c r="B294" s="92"/>
      <c r="C294" s="190"/>
      <c r="D294" s="164"/>
      <c r="E294" s="103"/>
      <c r="F294" s="103"/>
      <c r="G294" s="103"/>
      <c r="H294" s="148" t="s">
        <v>1790</v>
      </c>
      <c r="I294" s="97"/>
      <c r="J294" s="97"/>
      <c r="K294" s="97"/>
      <c r="L294" s="97"/>
      <c r="M294" s="97"/>
      <c r="N294" s="97"/>
      <c r="O294" s="89"/>
      <c r="P294" s="89"/>
      <c r="Q294" s="90"/>
      <c r="R294" s="98"/>
      <c r="S294" s="98"/>
      <c r="T294" s="98"/>
      <c r="U294" s="91"/>
    </row>
    <row r="295" spans="1:21" x14ac:dyDescent="0.4">
      <c r="A295" s="86">
        <f t="shared" si="4"/>
        <v>291</v>
      </c>
      <c r="B295" s="92"/>
      <c r="C295" s="190"/>
      <c r="D295" s="164"/>
      <c r="E295" s="103"/>
      <c r="F295" s="103"/>
      <c r="G295" s="107"/>
      <c r="H295" s="150"/>
      <c r="I295" s="145" t="s">
        <v>1791</v>
      </c>
      <c r="J295" s="145"/>
      <c r="K295" s="145"/>
      <c r="L295" s="145"/>
      <c r="M295" s="145"/>
      <c r="N295" s="145"/>
      <c r="O295" s="100"/>
      <c r="P295" s="100"/>
      <c r="Q295" s="101"/>
      <c r="R295" s="93" t="s">
        <v>36</v>
      </c>
      <c r="S295" s="93"/>
      <c r="T295" s="93"/>
      <c r="U295" s="94"/>
    </row>
    <row r="296" spans="1:21" x14ac:dyDescent="0.4">
      <c r="A296" s="86">
        <f t="shared" si="4"/>
        <v>292</v>
      </c>
      <c r="B296" s="92"/>
      <c r="C296" s="190"/>
      <c r="D296" s="164"/>
      <c r="E296" s="103"/>
      <c r="F296" s="103"/>
      <c r="G296" s="92" t="s">
        <v>1792</v>
      </c>
      <c r="H296" s="151"/>
      <c r="I296" s="97"/>
      <c r="J296" s="97"/>
      <c r="K296" s="97"/>
      <c r="L296" s="97"/>
      <c r="M296" s="97"/>
      <c r="N296" s="97"/>
      <c r="O296" s="89"/>
      <c r="P296" s="89"/>
      <c r="Q296" s="90"/>
      <c r="R296" s="98"/>
      <c r="S296" s="98"/>
      <c r="T296" s="98"/>
      <c r="U296" s="91"/>
    </row>
    <row r="297" spans="1:21" x14ac:dyDescent="0.4">
      <c r="A297" s="86">
        <f t="shared" si="4"/>
        <v>293</v>
      </c>
      <c r="B297" s="92"/>
      <c r="C297" s="190"/>
      <c r="D297" s="164"/>
      <c r="E297" s="103"/>
      <c r="F297" s="103"/>
      <c r="G297" s="103"/>
      <c r="H297" s="148" t="s">
        <v>1789</v>
      </c>
      <c r="I297" s="97"/>
      <c r="J297" s="97"/>
      <c r="K297" s="97"/>
      <c r="L297" s="97"/>
      <c r="M297" s="97"/>
      <c r="N297" s="97"/>
      <c r="O297" s="89"/>
      <c r="P297" s="89"/>
      <c r="Q297" s="90"/>
      <c r="R297" s="93" t="s">
        <v>2927</v>
      </c>
      <c r="S297" s="98"/>
      <c r="T297" s="98"/>
      <c r="U297" s="91"/>
    </row>
    <row r="298" spans="1:21" x14ac:dyDescent="0.4">
      <c r="A298" s="86">
        <f t="shared" si="4"/>
        <v>294</v>
      </c>
      <c r="B298" s="92"/>
      <c r="C298" s="190"/>
      <c r="D298" s="164"/>
      <c r="E298" s="103"/>
      <c r="F298" s="103"/>
      <c r="G298" s="103"/>
      <c r="H298" s="148" t="s">
        <v>1790</v>
      </c>
      <c r="I298" s="97"/>
      <c r="J298" s="97"/>
      <c r="K298" s="97"/>
      <c r="L298" s="97"/>
      <c r="M298" s="97"/>
      <c r="N298" s="97"/>
      <c r="O298" s="89"/>
      <c r="P298" s="89"/>
      <c r="Q298" s="90"/>
      <c r="R298" s="98"/>
      <c r="S298" s="98"/>
      <c r="T298" s="98"/>
      <c r="U298" s="91"/>
    </row>
    <row r="299" spans="1:21" x14ac:dyDescent="0.4">
      <c r="A299" s="86">
        <f t="shared" si="4"/>
        <v>295</v>
      </c>
      <c r="B299" s="92"/>
      <c r="C299" s="190"/>
      <c r="D299" s="164"/>
      <c r="E299" s="103"/>
      <c r="F299" s="103"/>
      <c r="G299" s="107"/>
      <c r="H299" s="150"/>
      <c r="I299" s="145" t="s">
        <v>1791</v>
      </c>
      <c r="J299" s="145"/>
      <c r="K299" s="145"/>
      <c r="L299" s="145"/>
      <c r="M299" s="145"/>
      <c r="N299" s="145"/>
      <c r="O299" s="100"/>
      <c r="P299" s="100"/>
      <c r="Q299" s="101"/>
      <c r="R299" s="93" t="s">
        <v>36</v>
      </c>
      <c r="S299" s="93"/>
      <c r="T299" s="93"/>
      <c r="U299" s="94"/>
    </row>
    <row r="300" spans="1:21" x14ac:dyDescent="0.4">
      <c r="A300" s="86">
        <f t="shared" si="4"/>
        <v>296</v>
      </c>
      <c r="B300" s="92"/>
      <c r="C300" s="190"/>
      <c r="D300" s="164"/>
      <c r="E300" s="103"/>
      <c r="F300" s="103"/>
      <c r="G300" s="92" t="s">
        <v>1793</v>
      </c>
      <c r="H300" s="151"/>
      <c r="I300" s="97"/>
      <c r="J300" s="97"/>
      <c r="K300" s="97"/>
      <c r="L300" s="97"/>
      <c r="M300" s="97"/>
      <c r="N300" s="97"/>
      <c r="O300" s="89"/>
      <c r="P300" s="89"/>
      <c r="Q300" s="90"/>
      <c r="R300" s="98"/>
      <c r="S300" s="98"/>
      <c r="T300" s="98"/>
      <c r="U300" s="91"/>
    </row>
    <row r="301" spans="1:21" x14ac:dyDescent="0.4">
      <c r="A301" s="86">
        <f t="shared" si="4"/>
        <v>297</v>
      </c>
      <c r="B301" s="92"/>
      <c r="C301" s="190"/>
      <c r="D301" s="164"/>
      <c r="E301" s="103"/>
      <c r="F301" s="103"/>
      <c r="G301" s="103"/>
      <c r="H301" s="148" t="s">
        <v>1789</v>
      </c>
      <c r="I301" s="97"/>
      <c r="J301" s="97"/>
      <c r="K301" s="97"/>
      <c r="L301" s="97"/>
      <c r="M301" s="97"/>
      <c r="N301" s="97"/>
      <c r="O301" s="89"/>
      <c r="P301" s="89"/>
      <c r="Q301" s="90"/>
      <c r="R301" s="93" t="s">
        <v>2927</v>
      </c>
      <c r="S301" s="98"/>
      <c r="T301" s="98"/>
      <c r="U301" s="91"/>
    </row>
    <row r="302" spans="1:21" x14ac:dyDescent="0.4">
      <c r="A302" s="86">
        <f t="shared" si="4"/>
        <v>298</v>
      </c>
      <c r="B302" s="92"/>
      <c r="C302" s="190"/>
      <c r="D302" s="164"/>
      <c r="E302" s="103"/>
      <c r="F302" s="103"/>
      <c r="G302" s="103"/>
      <c r="H302" s="148" t="s">
        <v>1790</v>
      </c>
      <c r="I302" s="97"/>
      <c r="J302" s="97"/>
      <c r="K302" s="97"/>
      <c r="L302" s="97"/>
      <c r="M302" s="97"/>
      <c r="N302" s="97"/>
      <c r="O302" s="89"/>
      <c r="P302" s="89"/>
      <c r="Q302" s="90"/>
      <c r="R302" s="98"/>
      <c r="S302" s="98"/>
      <c r="T302" s="98"/>
      <c r="U302" s="91"/>
    </row>
    <row r="303" spans="1:21" x14ac:dyDescent="0.4">
      <c r="A303" s="86">
        <f t="shared" si="4"/>
        <v>299</v>
      </c>
      <c r="B303" s="92"/>
      <c r="C303" s="190"/>
      <c r="D303" s="164"/>
      <c r="E303" s="103"/>
      <c r="F303" s="107"/>
      <c r="G303" s="107"/>
      <c r="H303" s="150"/>
      <c r="I303" s="145" t="s">
        <v>1791</v>
      </c>
      <c r="J303" s="145"/>
      <c r="K303" s="145"/>
      <c r="L303" s="145"/>
      <c r="M303" s="145"/>
      <c r="N303" s="145"/>
      <c r="O303" s="100"/>
      <c r="P303" s="100"/>
      <c r="Q303" s="101"/>
      <c r="R303" s="93" t="s">
        <v>36</v>
      </c>
      <c r="S303" s="93"/>
      <c r="T303" s="93"/>
      <c r="U303" s="94"/>
    </row>
    <row r="304" spans="1:21" x14ac:dyDescent="0.4">
      <c r="A304" s="86">
        <f t="shared" si="4"/>
        <v>300</v>
      </c>
      <c r="B304" s="92"/>
      <c r="C304" s="190"/>
      <c r="D304" s="164"/>
      <c r="E304" s="103"/>
      <c r="F304" s="92" t="s">
        <v>1794</v>
      </c>
      <c r="G304" s="97"/>
      <c r="H304" s="147"/>
      <c r="I304" s="97"/>
      <c r="J304" s="97"/>
      <c r="K304" s="97"/>
      <c r="L304" s="97"/>
      <c r="M304" s="97"/>
      <c r="N304" s="97"/>
      <c r="O304" s="89"/>
      <c r="P304" s="89"/>
      <c r="Q304" s="90"/>
      <c r="R304" s="98"/>
      <c r="S304" s="98"/>
      <c r="T304" s="98"/>
      <c r="U304" s="91"/>
    </row>
    <row r="305" spans="1:21" x14ac:dyDescent="0.4">
      <c r="A305" s="86">
        <f t="shared" si="4"/>
        <v>301</v>
      </c>
      <c r="B305" s="92"/>
      <c r="C305" s="190"/>
      <c r="D305" s="164"/>
      <c r="E305" s="103"/>
      <c r="F305" s="103"/>
      <c r="G305" s="105" t="s">
        <v>1795</v>
      </c>
      <c r="H305" s="147"/>
      <c r="I305" s="97"/>
      <c r="J305" s="97"/>
      <c r="K305" s="97"/>
      <c r="L305" s="97"/>
      <c r="M305" s="97"/>
      <c r="N305" s="97"/>
      <c r="O305" s="89"/>
      <c r="P305" s="89"/>
      <c r="Q305" s="90"/>
      <c r="R305" s="98"/>
      <c r="S305" s="98"/>
      <c r="T305" s="98"/>
      <c r="U305" s="91"/>
    </row>
    <row r="306" spans="1:21" x14ac:dyDescent="0.4">
      <c r="A306" s="86">
        <f t="shared" si="4"/>
        <v>302</v>
      </c>
      <c r="B306" s="92"/>
      <c r="C306" s="190"/>
      <c r="D306" s="164"/>
      <c r="E306" s="103"/>
      <c r="F306" s="103"/>
      <c r="G306" s="103"/>
      <c r="H306" s="148" t="s">
        <v>1796</v>
      </c>
      <c r="I306" s="97"/>
      <c r="J306" s="97"/>
      <c r="K306" s="97"/>
      <c r="L306" s="97"/>
      <c r="M306" s="97"/>
      <c r="N306" s="97"/>
      <c r="O306" s="89"/>
      <c r="P306" s="89"/>
      <c r="Q306" s="90"/>
      <c r="R306" s="93" t="s">
        <v>2982</v>
      </c>
      <c r="S306" s="98"/>
      <c r="T306" s="98"/>
      <c r="U306" s="91"/>
    </row>
    <row r="307" spans="1:21" x14ac:dyDescent="0.4">
      <c r="A307" s="86">
        <f t="shared" si="4"/>
        <v>303</v>
      </c>
      <c r="B307" s="92"/>
      <c r="C307" s="190"/>
      <c r="D307" s="164"/>
      <c r="E307" s="103"/>
      <c r="F307" s="103"/>
      <c r="G307" s="103"/>
      <c r="H307" s="194" t="s">
        <v>1797</v>
      </c>
      <c r="I307" s="97"/>
      <c r="J307" s="97"/>
      <c r="K307" s="97"/>
      <c r="L307" s="97"/>
      <c r="M307" s="97"/>
      <c r="N307" s="97"/>
      <c r="O307" s="89"/>
      <c r="P307" s="89"/>
      <c r="Q307" s="90"/>
      <c r="R307" s="93" t="s">
        <v>2982</v>
      </c>
      <c r="S307" s="98"/>
      <c r="T307" s="98"/>
      <c r="U307" s="91"/>
    </row>
    <row r="308" spans="1:21" x14ac:dyDescent="0.4">
      <c r="A308" s="86">
        <f t="shared" si="4"/>
        <v>304</v>
      </c>
      <c r="B308" s="92"/>
      <c r="C308" s="190"/>
      <c r="D308" s="164"/>
      <c r="E308" s="103"/>
      <c r="F308" s="103"/>
      <c r="G308" s="103"/>
      <c r="H308" s="146" t="s">
        <v>1798</v>
      </c>
      <c r="I308" s="145"/>
      <c r="J308" s="145"/>
      <c r="K308" s="145"/>
      <c r="L308" s="145"/>
      <c r="M308" s="145"/>
      <c r="N308" s="145"/>
      <c r="O308" s="100"/>
      <c r="P308" s="100"/>
      <c r="Q308" s="101"/>
      <c r="R308" s="93" t="s">
        <v>36</v>
      </c>
      <c r="S308" s="93"/>
      <c r="T308" s="93"/>
      <c r="U308" s="94"/>
    </row>
    <row r="309" spans="1:21" x14ac:dyDescent="0.4">
      <c r="A309" s="86">
        <f t="shared" si="4"/>
        <v>305</v>
      </c>
      <c r="B309" s="92"/>
      <c r="C309" s="190"/>
      <c r="D309" s="164"/>
      <c r="E309" s="103"/>
      <c r="F309" s="103"/>
      <c r="G309" s="107"/>
      <c r="H309" s="146" t="s">
        <v>1799</v>
      </c>
      <c r="I309" s="145"/>
      <c r="J309" s="145"/>
      <c r="K309" s="145"/>
      <c r="L309" s="145"/>
      <c r="M309" s="145"/>
      <c r="N309" s="145"/>
      <c r="O309" s="100"/>
      <c r="P309" s="100"/>
      <c r="Q309" s="101"/>
      <c r="R309" s="93" t="s">
        <v>36</v>
      </c>
      <c r="S309" s="93"/>
      <c r="T309" s="93"/>
      <c r="U309" s="94"/>
    </row>
    <row r="310" spans="1:21" x14ac:dyDescent="0.4">
      <c r="A310" s="86">
        <f t="shared" si="4"/>
        <v>306</v>
      </c>
      <c r="B310" s="92"/>
      <c r="C310" s="190"/>
      <c r="D310" s="164"/>
      <c r="E310" s="103"/>
      <c r="F310" s="103"/>
      <c r="G310" s="87" t="s">
        <v>1800</v>
      </c>
      <c r="H310" s="147"/>
      <c r="I310" s="97"/>
      <c r="J310" s="97"/>
      <c r="K310" s="97"/>
      <c r="L310" s="97"/>
      <c r="M310" s="97"/>
      <c r="N310" s="97"/>
      <c r="O310" s="89"/>
      <c r="P310" s="89"/>
      <c r="Q310" s="90"/>
      <c r="R310" s="98"/>
      <c r="S310" s="98"/>
      <c r="T310" s="98"/>
      <c r="U310" s="91"/>
    </row>
    <row r="311" spans="1:21" x14ac:dyDescent="0.4">
      <c r="A311" s="86">
        <f t="shared" si="4"/>
        <v>307</v>
      </c>
      <c r="B311" s="92"/>
      <c r="C311" s="190"/>
      <c r="D311" s="164"/>
      <c r="E311" s="103"/>
      <c r="F311" s="103"/>
      <c r="G311" s="103"/>
      <c r="H311" s="153" t="s">
        <v>1230</v>
      </c>
      <c r="I311" s="97"/>
      <c r="J311" s="97"/>
      <c r="K311" s="97"/>
      <c r="L311" s="97"/>
      <c r="M311" s="97"/>
      <c r="N311" s="97"/>
      <c r="O311" s="89"/>
      <c r="P311" s="89"/>
      <c r="Q311" s="90"/>
      <c r="R311" s="98"/>
      <c r="S311" s="98"/>
      <c r="T311" s="98"/>
      <c r="U311" s="91"/>
    </row>
    <row r="312" spans="1:21" x14ac:dyDescent="0.4">
      <c r="A312" s="86">
        <f t="shared" si="4"/>
        <v>308</v>
      </c>
      <c r="B312" s="92"/>
      <c r="C312" s="190"/>
      <c r="D312" s="164"/>
      <c r="E312" s="103"/>
      <c r="F312" s="103"/>
      <c r="G312" s="103"/>
      <c r="H312" s="149"/>
      <c r="I312" s="109" t="s">
        <v>1801</v>
      </c>
      <c r="J312" s="100"/>
      <c r="K312" s="100"/>
      <c r="L312" s="100"/>
      <c r="M312" s="100"/>
      <c r="N312" s="100"/>
      <c r="O312" s="100"/>
      <c r="P312" s="100"/>
      <c r="Q312" s="101"/>
      <c r="R312" s="93"/>
      <c r="S312" s="93"/>
      <c r="T312" s="93"/>
      <c r="U312" s="94"/>
    </row>
    <row r="313" spans="1:21" x14ac:dyDescent="0.4">
      <c r="A313" s="86">
        <f t="shared" si="4"/>
        <v>309</v>
      </c>
      <c r="B313" s="92"/>
      <c r="C313" s="190"/>
      <c r="D313" s="164"/>
      <c r="E313" s="103"/>
      <c r="F313" s="103"/>
      <c r="G313" s="103"/>
      <c r="H313" s="149"/>
      <c r="I313" s="109" t="s">
        <v>1802</v>
      </c>
      <c r="J313" s="145"/>
      <c r="K313" s="145"/>
      <c r="L313" s="145"/>
      <c r="M313" s="145"/>
      <c r="N313" s="145"/>
      <c r="O313" s="100"/>
      <c r="P313" s="100"/>
      <c r="Q313" s="101"/>
      <c r="R313" s="93"/>
      <c r="S313" s="93"/>
      <c r="T313" s="93"/>
      <c r="U313" s="94"/>
    </row>
    <row r="314" spans="1:21" x14ac:dyDescent="0.4">
      <c r="A314" s="86">
        <f t="shared" si="4"/>
        <v>310</v>
      </c>
      <c r="B314" s="92"/>
      <c r="C314" s="190"/>
      <c r="D314" s="164"/>
      <c r="E314" s="103"/>
      <c r="F314" s="103"/>
      <c r="G314" s="103"/>
      <c r="H314" s="149"/>
      <c r="I314" s="109" t="s">
        <v>1803</v>
      </c>
      <c r="J314" s="145"/>
      <c r="K314" s="145"/>
      <c r="L314" s="145"/>
      <c r="M314" s="145"/>
      <c r="N314" s="145"/>
      <c r="O314" s="100"/>
      <c r="P314" s="100"/>
      <c r="Q314" s="101"/>
      <c r="R314" s="93"/>
      <c r="S314" s="93"/>
      <c r="T314" s="93"/>
      <c r="U314" s="94"/>
    </row>
    <row r="315" spans="1:21" x14ac:dyDescent="0.4">
      <c r="A315" s="86">
        <f t="shared" si="4"/>
        <v>311</v>
      </c>
      <c r="B315" s="92"/>
      <c r="C315" s="190"/>
      <c r="D315" s="164"/>
      <c r="E315" s="103"/>
      <c r="F315" s="103"/>
      <c r="G315" s="103"/>
      <c r="H315" s="149"/>
      <c r="I315" s="109" t="s">
        <v>1804</v>
      </c>
      <c r="J315" s="145"/>
      <c r="K315" s="145"/>
      <c r="L315" s="145"/>
      <c r="M315" s="145"/>
      <c r="N315" s="145"/>
      <c r="O315" s="100"/>
      <c r="P315" s="100"/>
      <c r="Q315" s="101"/>
      <c r="R315" s="93"/>
      <c r="S315" s="93"/>
      <c r="T315" s="93"/>
      <c r="U315" s="94"/>
    </row>
    <row r="316" spans="1:21" x14ac:dyDescent="0.4">
      <c r="A316" s="86">
        <f t="shared" si="4"/>
        <v>312</v>
      </c>
      <c r="B316" s="92"/>
      <c r="C316" s="190"/>
      <c r="D316" s="164"/>
      <c r="E316" s="103"/>
      <c r="F316" s="103"/>
      <c r="G316" s="103"/>
      <c r="H316" s="149"/>
      <c r="I316" s="109" t="s">
        <v>1805</v>
      </c>
      <c r="J316" s="145"/>
      <c r="K316" s="145"/>
      <c r="L316" s="145"/>
      <c r="M316" s="145"/>
      <c r="N316" s="145"/>
      <c r="O316" s="100"/>
      <c r="P316" s="100"/>
      <c r="Q316" s="101"/>
      <c r="R316" s="93"/>
      <c r="S316" s="93"/>
      <c r="T316" s="93"/>
      <c r="U316" s="94"/>
    </row>
    <row r="317" spans="1:21" x14ac:dyDescent="0.4">
      <c r="A317" s="86">
        <f t="shared" si="4"/>
        <v>313</v>
      </c>
      <c r="B317" s="92"/>
      <c r="C317" s="190"/>
      <c r="D317" s="164"/>
      <c r="E317" s="103"/>
      <c r="F317" s="103"/>
      <c r="G317" s="103"/>
      <c r="H317" s="149"/>
      <c r="I317" s="109" t="s">
        <v>1806</v>
      </c>
      <c r="J317" s="145"/>
      <c r="K317" s="145"/>
      <c r="L317" s="145"/>
      <c r="M317" s="145"/>
      <c r="N317" s="145"/>
      <c r="O317" s="100"/>
      <c r="P317" s="100"/>
      <c r="Q317" s="101"/>
      <c r="R317" s="93"/>
      <c r="S317" s="93"/>
      <c r="T317" s="93"/>
      <c r="U317" s="94"/>
    </row>
    <row r="318" spans="1:21" x14ac:dyDescent="0.4">
      <c r="A318" s="86">
        <f t="shared" si="4"/>
        <v>314</v>
      </c>
      <c r="B318" s="92"/>
      <c r="C318" s="190"/>
      <c r="D318" s="164"/>
      <c r="E318" s="103"/>
      <c r="F318" s="103"/>
      <c r="G318" s="103"/>
      <c r="H318" s="149"/>
      <c r="I318" s="99" t="s">
        <v>1807</v>
      </c>
      <c r="J318" s="145"/>
      <c r="K318" s="145"/>
      <c r="L318" s="145"/>
      <c r="M318" s="145"/>
      <c r="N318" s="145"/>
      <c r="O318" s="100"/>
      <c r="P318" s="100"/>
      <c r="Q318" s="101"/>
      <c r="R318" s="93"/>
      <c r="S318" s="93"/>
      <c r="T318" s="93"/>
      <c r="U318" s="94"/>
    </row>
    <row r="319" spans="1:21" x14ac:dyDescent="0.4">
      <c r="A319" s="86">
        <f t="shared" si="4"/>
        <v>315</v>
      </c>
      <c r="B319" s="92"/>
      <c r="C319" s="190"/>
      <c r="D319" s="164"/>
      <c r="E319" s="103"/>
      <c r="F319" s="103"/>
      <c r="G319" s="103"/>
      <c r="H319" s="148" t="s">
        <v>1808</v>
      </c>
      <c r="I319" s="97"/>
      <c r="J319" s="97"/>
      <c r="K319" s="97"/>
      <c r="L319" s="97"/>
      <c r="M319" s="97"/>
      <c r="N319" s="97"/>
      <c r="O319" s="97"/>
      <c r="P319" s="89"/>
      <c r="Q319" s="90"/>
      <c r="R319" s="140"/>
      <c r="S319" s="140"/>
      <c r="T319" s="140"/>
      <c r="U319" s="129"/>
    </row>
    <row r="320" spans="1:21" x14ac:dyDescent="0.4">
      <c r="A320" s="86">
        <f t="shared" si="4"/>
        <v>316</v>
      </c>
      <c r="B320" s="92"/>
      <c r="C320" s="190"/>
      <c r="D320" s="164"/>
      <c r="E320" s="103"/>
      <c r="F320" s="103"/>
      <c r="G320" s="103"/>
      <c r="H320" s="149"/>
      <c r="I320" s="70" t="s">
        <v>1809</v>
      </c>
      <c r="J320" s="145"/>
      <c r="K320" s="145"/>
      <c r="L320" s="145"/>
      <c r="M320" s="145"/>
      <c r="N320" s="145"/>
      <c r="O320" s="100"/>
      <c r="P320" s="100"/>
      <c r="Q320" s="101"/>
      <c r="R320" s="93" t="s">
        <v>1239</v>
      </c>
      <c r="S320" s="93"/>
      <c r="T320" s="93"/>
      <c r="U320" s="94"/>
    </row>
    <row r="321" spans="1:21" x14ac:dyDescent="0.4">
      <c r="A321" s="86">
        <f t="shared" si="4"/>
        <v>317</v>
      </c>
      <c r="B321" s="92"/>
      <c r="C321" s="190"/>
      <c r="D321" s="164"/>
      <c r="E321" s="103"/>
      <c r="F321" s="103"/>
      <c r="G321" s="103"/>
      <c r="H321" s="149"/>
      <c r="I321" s="104"/>
      <c r="J321" s="70" t="s">
        <v>1812</v>
      </c>
      <c r="K321" s="145"/>
      <c r="L321" s="145"/>
      <c r="M321" s="145"/>
      <c r="N321" s="145"/>
      <c r="O321" s="100"/>
      <c r="P321" s="100"/>
      <c r="Q321" s="101"/>
      <c r="R321" s="93" t="s">
        <v>1239</v>
      </c>
      <c r="S321" s="93"/>
      <c r="T321" s="93"/>
      <c r="U321" s="94"/>
    </row>
    <row r="322" spans="1:21" x14ac:dyDescent="0.4">
      <c r="A322" s="86">
        <f t="shared" si="4"/>
        <v>318</v>
      </c>
      <c r="B322" s="92"/>
      <c r="C322" s="190"/>
      <c r="D322" s="164"/>
      <c r="E322" s="103"/>
      <c r="F322" s="103"/>
      <c r="G322" s="103"/>
      <c r="H322" s="149"/>
      <c r="I322" s="104"/>
      <c r="J322" s="104"/>
      <c r="K322" s="70" t="s">
        <v>1813</v>
      </c>
      <c r="L322" s="145"/>
      <c r="M322" s="145"/>
      <c r="N322" s="145"/>
      <c r="O322" s="100"/>
      <c r="P322" s="100"/>
      <c r="Q322" s="101"/>
      <c r="R322" s="93" t="s">
        <v>36</v>
      </c>
      <c r="S322" s="93"/>
      <c r="T322" s="93"/>
      <c r="U322" s="94"/>
    </row>
    <row r="323" spans="1:21" x14ac:dyDescent="0.4">
      <c r="A323" s="86">
        <f t="shared" si="4"/>
        <v>319</v>
      </c>
      <c r="B323" s="92"/>
      <c r="C323" s="190"/>
      <c r="D323" s="164"/>
      <c r="E323" s="103"/>
      <c r="F323" s="103"/>
      <c r="G323" s="103"/>
      <c r="H323" s="149"/>
      <c r="I323" s="104"/>
      <c r="J323" s="104"/>
      <c r="K323" s="104"/>
      <c r="L323" s="145" t="s">
        <v>2916</v>
      </c>
      <c r="M323" s="145"/>
      <c r="N323" s="145"/>
      <c r="O323" s="100"/>
      <c r="P323" s="100"/>
      <c r="Q323" s="101"/>
      <c r="R323" s="93" t="s">
        <v>2982</v>
      </c>
      <c r="S323" s="93"/>
      <c r="T323" s="93"/>
      <c r="U323" s="94"/>
    </row>
    <row r="324" spans="1:21" x14ac:dyDescent="0.4">
      <c r="A324" s="86">
        <f t="shared" si="4"/>
        <v>320</v>
      </c>
      <c r="B324" s="92"/>
      <c r="C324" s="190"/>
      <c r="D324" s="164"/>
      <c r="E324" s="103"/>
      <c r="F324" s="103"/>
      <c r="G324" s="103"/>
      <c r="H324" s="149"/>
      <c r="I324" s="104"/>
      <c r="J324" s="104"/>
      <c r="K324" s="104"/>
      <c r="L324" s="145" t="s">
        <v>1814</v>
      </c>
      <c r="M324" s="145"/>
      <c r="N324" s="145"/>
      <c r="O324" s="100"/>
      <c r="P324" s="100"/>
      <c r="Q324" s="101"/>
      <c r="R324" s="93" t="s">
        <v>36</v>
      </c>
      <c r="S324" s="93"/>
      <c r="T324" s="93"/>
      <c r="U324" s="94"/>
    </row>
    <row r="325" spans="1:21" x14ac:dyDescent="0.4">
      <c r="A325" s="86">
        <f t="shared" si="4"/>
        <v>321</v>
      </c>
      <c r="B325" s="92"/>
      <c r="C325" s="190"/>
      <c r="D325" s="164"/>
      <c r="E325" s="103"/>
      <c r="F325" s="103"/>
      <c r="G325" s="103"/>
      <c r="H325" s="149"/>
      <c r="I325" s="104"/>
      <c r="J325" s="104"/>
      <c r="K325" s="108"/>
      <c r="L325" s="145" t="s">
        <v>1815</v>
      </c>
      <c r="M325" s="145"/>
      <c r="N325" s="145"/>
      <c r="O325" s="100"/>
      <c r="P325" s="100"/>
      <c r="Q325" s="101"/>
      <c r="R325" s="93" t="s">
        <v>36</v>
      </c>
      <c r="S325" s="93"/>
      <c r="T325" s="93"/>
      <c r="U325" s="94"/>
    </row>
    <row r="326" spans="1:21" x14ac:dyDescent="0.4">
      <c r="A326" s="86">
        <f t="shared" si="4"/>
        <v>322</v>
      </c>
      <c r="B326" s="92"/>
      <c r="C326" s="190"/>
      <c r="D326" s="164"/>
      <c r="E326" s="103"/>
      <c r="F326" s="103"/>
      <c r="G326" s="103"/>
      <c r="H326" s="149"/>
      <c r="I326" s="104"/>
      <c r="J326" s="109" t="s">
        <v>1816</v>
      </c>
      <c r="K326" s="145"/>
      <c r="L326" s="145"/>
      <c r="M326" s="145"/>
      <c r="N326" s="145"/>
      <c r="O326" s="100"/>
      <c r="P326" s="100"/>
      <c r="Q326" s="101"/>
      <c r="R326" s="93" t="s">
        <v>1239</v>
      </c>
      <c r="S326" s="93"/>
      <c r="T326" s="93"/>
      <c r="U326" s="94"/>
    </row>
    <row r="327" spans="1:21" x14ac:dyDescent="0.4">
      <c r="A327" s="86">
        <f t="shared" ref="A327:A390" si="5">A326+1</f>
        <v>323</v>
      </c>
      <c r="B327" s="92"/>
      <c r="C327" s="190"/>
      <c r="D327" s="164"/>
      <c r="E327" s="103"/>
      <c r="F327" s="103"/>
      <c r="G327" s="103"/>
      <c r="H327" s="149"/>
      <c r="I327" s="104"/>
      <c r="J327" s="104"/>
      <c r="K327" s="70" t="s">
        <v>1813</v>
      </c>
      <c r="L327" s="145"/>
      <c r="M327" s="145"/>
      <c r="N327" s="145"/>
      <c r="O327" s="100"/>
      <c r="P327" s="100"/>
      <c r="Q327" s="101"/>
      <c r="R327" s="93" t="s">
        <v>36</v>
      </c>
      <c r="S327" s="93"/>
      <c r="T327" s="93"/>
      <c r="U327" s="94"/>
    </row>
    <row r="328" spans="1:21" x14ac:dyDescent="0.4">
      <c r="A328" s="86">
        <f t="shared" si="5"/>
        <v>324</v>
      </c>
      <c r="B328" s="92"/>
      <c r="C328" s="190"/>
      <c r="D328" s="164"/>
      <c r="E328" s="103"/>
      <c r="F328" s="103"/>
      <c r="G328" s="103"/>
      <c r="H328" s="149"/>
      <c r="I328" s="104"/>
      <c r="J328" s="104"/>
      <c r="K328" s="104"/>
      <c r="L328" s="145" t="s">
        <v>2916</v>
      </c>
      <c r="M328" s="145"/>
      <c r="N328" s="145"/>
      <c r="O328" s="100"/>
      <c r="P328" s="100"/>
      <c r="Q328" s="101"/>
      <c r="R328" s="93" t="s">
        <v>2982</v>
      </c>
      <c r="S328" s="93"/>
      <c r="T328" s="93"/>
      <c r="U328" s="94"/>
    </row>
    <row r="329" spans="1:21" x14ac:dyDescent="0.4">
      <c r="A329" s="86">
        <f t="shared" si="5"/>
        <v>325</v>
      </c>
      <c r="B329" s="92"/>
      <c r="C329" s="190"/>
      <c r="D329" s="164"/>
      <c r="E329" s="103"/>
      <c r="F329" s="103"/>
      <c r="G329" s="103"/>
      <c r="H329" s="149"/>
      <c r="I329" s="104"/>
      <c r="J329" s="104"/>
      <c r="K329" s="108"/>
      <c r="L329" s="145" t="s">
        <v>1815</v>
      </c>
      <c r="M329" s="145"/>
      <c r="N329" s="145"/>
      <c r="O329" s="100"/>
      <c r="P329" s="100"/>
      <c r="Q329" s="101"/>
      <c r="R329" s="93" t="s">
        <v>36</v>
      </c>
      <c r="S329" s="93"/>
      <c r="T329" s="93"/>
      <c r="U329" s="94"/>
    </row>
    <row r="330" spans="1:21" x14ac:dyDescent="0.4">
      <c r="A330" s="86">
        <f t="shared" si="5"/>
        <v>326</v>
      </c>
      <c r="B330" s="92"/>
      <c r="C330" s="190"/>
      <c r="D330" s="164"/>
      <c r="E330" s="103"/>
      <c r="F330" s="103"/>
      <c r="G330" s="103"/>
      <c r="H330" s="149"/>
      <c r="I330" s="104"/>
      <c r="J330" s="109" t="s">
        <v>1817</v>
      </c>
      <c r="K330" s="145"/>
      <c r="L330" s="145"/>
      <c r="M330" s="145"/>
      <c r="N330" s="145"/>
      <c r="O330" s="100"/>
      <c r="P330" s="100"/>
      <c r="Q330" s="101"/>
      <c r="R330" s="93" t="s">
        <v>1239</v>
      </c>
      <c r="S330" s="93"/>
      <c r="T330" s="93"/>
      <c r="U330" s="94"/>
    </row>
    <row r="331" spans="1:21" x14ac:dyDescent="0.4">
      <c r="A331" s="86">
        <f t="shared" si="5"/>
        <v>327</v>
      </c>
      <c r="B331" s="92"/>
      <c r="C331" s="190"/>
      <c r="D331" s="164"/>
      <c r="E331" s="103"/>
      <c r="F331" s="103"/>
      <c r="G331" s="103"/>
      <c r="H331" s="149"/>
      <c r="I331" s="104"/>
      <c r="J331" s="104"/>
      <c r="K331" s="70" t="s">
        <v>1813</v>
      </c>
      <c r="L331" s="145"/>
      <c r="M331" s="145"/>
      <c r="N331" s="145"/>
      <c r="O331" s="100"/>
      <c r="P331" s="100"/>
      <c r="Q331" s="101"/>
      <c r="R331" s="93" t="s">
        <v>36</v>
      </c>
      <c r="S331" s="93"/>
      <c r="T331" s="93"/>
      <c r="U331" s="94"/>
    </row>
    <row r="332" spans="1:21" x14ac:dyDescent="0.4">
      <c r="A332" s="86">
        <f t="shared" si="5"/>
        <v>328</v>
      </c>
      <c r="B332" s="92"/>
      <c r="C332" s="190"/>
      <c r="D332" s="164"/>
      <c r="E332" s="103"/>
      <c r="F332" s="103"/>
      <c r="G332" s="103"/>
      <c r="H332" s="149"/>
      <c r="I332" s="104"/>
      <c r="J332" s="104"/>
      <c r="K332" s="104"/>
      <c r="L332" s="145" t="s">
        <v>2916</v>
      </c>
      <c r="M332" s="145"/>
      <c r="N332" s="145"/>
      <c r="O332" s="100"/>
      <c r="P332" s="100"/>
      <c r="Q332" s="101"/>
      <c r="R332" s="93" t="s">
        <v>2982</v>
      </c>
      <c r="S332" s="93"/>
      <c r="T332" s="93"/>
      <c r="U332" s="94"/>
    </row>
    <row r="333" spans="1:21" x14ac:dyDescent="0.4">
      <c r="A333" s="86">
        <f t="shared" si="5"/>
        <v>329</v>
      </c>
      <c r="B333" s="92"/>
      <c r="C333" s="190"/>
      <c r="D333" s="164"/>
      <c r="E333" s="103"/>
      <c r="F333" s="103"/>
      <c r="G333" s="103"/>
      <c r="H333" s="149"/>
      <c r="I333" s="104"/>
      <c r="J333" s="104"/>
      <c r="K333" s="108"/>
      <c r="L333" s="145" t="s">
        <v>1815</v>
      </c>
      <c r="M333" s="145"/>
      <c r="N333" s="145"/>
      <c r="O333" s="100"/>
      <c r="P333" s="100"/>
      <c r="Q333" s="101"/>
      <c r="R333" s="93" t="s">
        <v>36</v>
      </c>
      <c r="S333" s="93"/>
      <c r="T333" s="93"/>
      <c r="U333" s="94"/>
    </row>
    <row r="334" spans="1:21" x14ac:dyDescent="0.4">
      <c r="A334" s="86">
        <f t="shared" si="5"/>
        <v>330</v>
      </c>
      <c r="B334" s="92"/>
      <c r="C334" s="190"/>
      <c r="D334" s="164"/>
      <c r="E334" s="103"/>
      <c r="F334" s="103"/>
      <c r="G334" s="103"/>
      <c r="H334" s="149"/>
      <c r="I334" s="104"/>
      <c r="J334" s="109" t="s">
        <v>1818</v>
      </c>
      <c r="K334" s="145"/>
      <c r="L334" s="145"/>
      <c r="M334" s="145"/>
      <c r="N334" s="145"/>
      <c r="O334" s="100"/>
      <c r="P334" s="100"/>
      <c r="Q334" s="101"/>
      <c r="R334" s="93" t="s">
        <v>1239</v>
      </c>
      <c r="S334" s="93"/>
      <c r="T334" s="93"/>
      <c r="U334" s="94"/>
    </row>
    <row r="335" spans="1:21" x14ac:dyDescent="0.4">
      <c r="A335" s="86">
        <f t="shared" si="5"/>
        <v>331</v>
      </c>
      <c r="B335" s="92"/>
      <c r="C335" s="190"/>
      <c r="D335" s="164"/>
      <c r="E335" s="103"/>
      <c r="F335" s="103"/>
      <c r="G335" s="103"/>
      <c r="H335" s="149"/>
      <c r="I335" s="104"/>
      <c r="J335" s="104"/>
      <c r="K335" s="70" t="s">
        <v>1813</v>
      </c>
      <c r="L335" s="145"/>
      <c r="M335" s="145"/>
      <c r="N335" s="145"/>
      <c r="O335" s="100"/>
      <c r="P335" s="100"/>
      <c r="Q335" s="101"/>
      <c r="R335" s="93" t="s">
        <v>36</v>
      </c>
      <c r="S335" s="93"/>
      <c r="T335" s="93"/>
      <c r="U335" s="94"/>
    </row>
    <row r="336" spans="1:21" x14ac:dyDescent="0.4">
      <c r="A336" s="86">
        <f t="shared" si="5"/>
        <v>332</v>
      </c>
      <c r="B336" s="92"/>
      <c r="C336" s="190"/>
      <c r="D336" s="164"/>
      <c r="E336" s="103"/>
      <c r="F336" s="103"/>
      <c r="G336" s="103"/>
      <c r="H336" s="149"/>
      <c r="I336" s="104"/>
      <c r="J336" s="104"/>
      <c r="K336" s="104"/>
      <c r="L336" s="145" t="s">
        <v>2916</v>
      </c>
      <c r="M336" s="145"/>
      <c r="N336" s="145"/>
      <c r="O336" s="100"/>
      <c r="P336" s="100"/>
      <c r="Q336" s="101"/>
      <c r="R336" s="93" t="s">
        <v>2982</v>
      </c>
      <c r="S336" s="93"/>
      <c r="T336" s="93"/>
      <c r="U336" s="94"/>
    </row>
    <row r="337" spans="1:21" x14ac:dyDescent="0.4">
      <c r="A337" s="86">
        <f t="shared" si="5"/>
        <v>333</v>
      </c>
      <c r="B337" s="92"/>
      <c r="C337" s="190"/>
      <c r="D337" s="164"/>
      <c r="E337" s="103"/>
      <c r="F337" s="103"/>
      <c r="G337" s="103"/>
      <c r="H337" s="149"/>
      <c r="I337" s="104"/>
      <c r="J337" s="104"/>
      <c r="K337" s="108"/>
      <c r="L337" s="145" t="s">
        <v>1815</v>
      </c>
      <c r="M337" s="145"/>
      <c r="N337" s="145"/>
      <c r="O337" s="100"/>
      <c r="P337" s="100"/>
      <c r="Q337" s="101"/>
      <c r="R337" s="93" t="s">
        <v>36</v>
      </c>
      <c r="S337" s="93"/>
      <c r="T337" s="93"/>
      <c r="U337" s="94"/>
    </row>
    <row r="338" spans="1:21" x14ac:dyDescent="0.4">
      <c r="A338" s="86">
        <f t="shared" si="5"/>
        <v>334</v>
      </c>
      <c r="B338" s="92"/>
      <c r="C338" s="190"/>
      <c r="D338" s="164"/>
      <c r="E338" s="103"/>
      <c r="F338" s="103"/>
      <c r="G338" s="103"/>
      <c r="H338" s="149"/>
      <c r="I338" s="104"/>
      <c r="J338" s="109" t="s">
        <v>1819</v>
      </c>
      <c r="K338" s="145"/>
      <c r="L338" s="145"/>
      <c r="M338" s="145"/>
      <c r="N338" s="145"/>
      <c r="O338" s="100"/>
      <c r="P338" s="100"/>
      <c r="Q338" s="101"/>
      <c r="R338" s="93" t="s">
        <v>1239</v>
      </c>
      <c r="S338" s="93"/>
      <c r="T338" s="93"/>
      <c r="U338" s="94"/>
    </row>
    <row r="339" spans="1:21" x14ac:dyDescent="0.4">
      <c r="A339" s="86">
        <f t="shared" si="5"/>
        <v>335</v>
      </c>
      <c r="B339" s="92"/>
      <c r="C339" s="190"/>
      <c r="D339" s="164"/>
      <c r="E339" s="103"/>
      <c r="F339" s="103"/>
      <c r="G339" s="103"/>
      <c r="H339" s="149"/>
      <c r="I339" s="104"/>
      <c r="J339" s="104"/>
      <c r="K339" s="70" t="s">
        <v>1813</v>
      </c>
      <c r="L339" s="145"/>
      <c r="M339" s="145"/>
      <c r="N339" s="145"/>
      <c r="O339" s="100"/>
      <c r="P339" s="100"/>
      <c r="Q339" s="101"/>
      <c r="R339" s="93" t="s">
        <v>36</v>
      </c>
      <c r="S339" s="93"/>
      <c r="T339" s="93"/>
      <c r="U339" s="94"/>
    </row>
    <row r="340" spans="1:21" x14ac:dyDescent="0.4">
      <c r="A340" s="86">
        <f t="shared" si="5"/>
        <v>336</v>
      </c>
      <c r="B340" s="92"/>
      <c r="C340" s="190"/>
      <c r="D340" s="164"/>
      <c r="E340" s="103"/>
      <c r="F340" s="103"/>
      <c r="G340" s="103"/>
      <c r="H340" s="149"/>
      <c r="I340" s="104"/>
      <c r="J340" s="104"/>
      <c r="K340" s="104"/>
      <c r="L340" s="145" t="s">
        <v>2916</v>
      </c>
      <c r="M340" s="145"/>
      <c r="N340" s="145"/>
      <c r="O340" s="100"/>
      <c r="P340" s="100"/>
      <c r="Q340" s="101"/>
      <c r="R340" s="93" t="s">
        <v>2982</v>
      </c>
      <c r="S340" s="93"/>
      <c r="T340" s="93"/>
      <c r="U340" s="94"/>
    </row>
    <row r="341" spans="1:21" x14ac:dyDescent="0.4">
      <c r="A341" s="86">
        <f t="shared" si="5"/>
        <v>337</v>
      </c>
      <c r="B341" s="92"/>
      <c r="C341" s="190"/>
      <c r="D341" s="164"/>
      <c r="E341" s="103"/>
      <c r="F341" s="103"/>
      <c r="G341" s="103"/>
      <c r="H341" s="149"/>
      <c r="I341" s="104"/>
      <c r="J341" s="104"/>
      <c r="K341" s="104"/>
      <c r="L341" s="145" t="s">
        <v>1820</v>
      </c>
      <c r="M341" s="145"/>
      <c r="N341" s="145"/>
      <c r="O341" s="100"/>
      <c r="P341" s="100"/>
      <c r="Q341" s="101"/>
      <c r="R341" s="93" t="s">
        <v>36</v>
      </c>
      <c r="S341" s="93"/>
      <c r="T341" s="93"/>
      <c r="U341" s="94"/>
    </row>
    <row r="342" spans="1:21" x14ac:dyDescent="0.4">
      <c r="A342" s="86">
        <f t="shared" si="5"/>
        <v>338</v>
      </c>
      <c r="B342" s="92"/>
      <c r="C342" s="190"/>
      <c r="D342" s="164"/>
      <c r="E342" s="103"/>
      <c r="F342" s="103"/>
      <c r="G342" s="103"/>
      <c r="H342" s="149"/>
      <c r="I342" s="104"/>
      <c r="J342" s="104"/>
      <c r="K342" s="108"/>
      <c r="L342" s="145" t="s">
        <v>1815</v>
      </c>
      <c r="M342" s="145"/>
      <c r="N342" s="145"/>
      <c r="O342" s="100"/>
      <c r="P342" s="100"/>
      <c r="Q342" s="101"/>
      <c r="R342" s="93" t="s">
        <v>36</v>
      </c>
      <c r="S342" s="93"/>
      <c r="T342" s="93"/>
      <c r="U342" s="94"/>
    </row>
    <row r="343" spans="1:21" x14ac:dyDescent="0.4">
      <c r="A343" s="86">
        <f t="shared" si="5"/>
        <v>339</v>
      </c>
      <c r="B343" s="92"/>
      <c r="C343" s="190"/>
      <c r="D343" s="164"/>
      <c r="E343" s="103"/>
      <c r="F343" s="103"/>
      <c r="G343" s="103"/>
      <c r="H343" s="149"/>
      <c r="I343" s="104"/>
      <c r="J343" s="109" t="s">
        <v>1821</v>
      </c>
      <c r="K343" s="145"/>
      <c r="L343" s="145"/>
      <c r="M343" s="145"/>
      <c r="N343" s="145"/>
      <c r="O343" s="100"/>
      <c r="P343" s="100"/>
      <c r="Q343" s="101"/>
      <c r="R343" s="93" t="s">
        <v>1239</v>
      </c>
      <c r="S343" s="93"/>
      <c r="T343" s="93"/>
      <c r="U343" s="94"/>
    </row>
    <row r="344" spans="1:21" x14ac:dyDescent="0.4">
      <c r="A344" s="86">
        <f t="shared" si="5"/>
        <v>340</v>
      </c>
      <c r="B344" s="92"/>
      <c r="C344" s="190"/>
      <c r="D344" s="164"/>
      <c r="E344" s="103"/>
      <c r="F344" s="103"/>
      <c r="G344" s="103"/>
      <c r="H344" s="149"/>
      <c r="I344" s="104"/>
      <c r="J344" s="104"/>
      <c r="K344" s="70" t="s">
        <v>1813</v>
      </c>
      <c r="L344" s="145"/>
      <c r="M344" s="145"/>
      <c r="N344" s="145"/>
      <c r="O344" s="100"/>
      <c r="P344" s="100"/>
      <c r="Q344" s="101"/>
      <c r="R344" s="93" t="s">
        <v>36</v>
      </c>
      <c r="S344" s="93"/>
      <c r="T344" s="93"/>
      <c r="U344" s="94"/>
    </row>
    <row r="345" spans="1:21" x14ac:dyDescent="0.4">
      <c r="A345" s="86">
        <f t="shared" si="5"/>
        <v>341</v>
      </c>
      <c r="B345" s="92"/>
      <c r="C345" s="190"/>
      <c r="D345" s="164"/>
      <c r="E345" s="103"/>
      <c r="F345" s="103"/>
      <c r="G345" s="103"/>
      <c r="H345" s="149"/>
      <c r="I345" s="104"/>
      <c r="J345" s="104"/>
      <c r="K345" s="104"/>
      <c r="L345" s="145" t="s">
        <v>2916</v>
      </c>
      <c r="M345" s="145"/>
      <c r="N345" s="145"/>
      <c r="O345" s="100"/>
      <c r="P345" s="100"/>
      <c r="Q345" s="101"/>
      <c r="R345" s="93" t="s">
        <v>2982</v>
      </c>
      <c r="S345" s="93"/>
      <c r="T345" s="93"/>
      <c r="U345" s="94"/>
    </row>
    <row r="346" spans="1:21" x14ac:dyDescent="0.4">
      <c r="A346" s="86">
        <f t="shared" si="5"/>
        <v>342</v>
      </c>
      <c r="B346" s="92"/>
      <c r="C346" s="190"/>
      <c r="D346" s="164"/>
      <c r="E346" s="103"/>
      <c r="F346" s="103"/>
      <c r="G346" s="103"/>
      <c r="H346" s="149"/>
      <c r="I346" s="104"/>
      <c r="J346" s="104"/>
      <c r="K346" s="108"/>
      <c r="L346" s="145" t="s">
        <v>1822</v>
      </c>
      <c r="M346" s="145"/>
      <c r="N346" s="145"/>
      <c r="O346" s="100"/>
      <c r="P346" s="100"/>
      <c r="Q346" s="101"/>
      <c r="R346" s="93" t="s">
        <v>36</v>
      </c>
      <c r="S346" s="93"/>
      <c r="T346" s="93"/>
      <c r="U346" s="94"/>
    </row>
    <row r="347" spans="1:21" x14ac:dyDescent="0.4">
      <c r="A347" s="86">
        <f t="shared" si="5"/>
        <v>343</v>
      </c>
      <c r="B347" s="92"/>
      <c r="C347" s="190"/>
      <c r="D347" s="164"/>
      <c r="E347" s="103"/>
      <c r="F347" s="103"/>
      <c r="G347" s="103"/>
      <c r="H347" s="149"/>
      <c r="I347" s="104"/>
      <c r="J347" s="109" t="s">
        <v>1823</v>
      </c>
      <c r="K347" s="145"/>
      <c r="L347" s="145"/>
      <c r="M347" s="145"/>
      <c r="N347" s="145"/>
      <c r="O347" s="100"/>
      <c r="P347" s="100"/>
      <c r="Q347" s="101"/>
      <c r="R347" s="93" t="s">
        <v>1239</v>
      </c>
      <c r="S347" s="93"/>
      <c r="T347" s="93"/>
      <c r="U347" s="94"/>
    </row>
    <row r="348" spans="1:21" x14ac:dyDescent="0.4">
      <c r="A348" s="86">
        <f t="shared" si="5"/>
        <v>344</v>
      </c>
      <c r="B348" s="92"/>
      <c r="C348" s="190"/>
      <c r="D348" s="164"/>
      <c r="E348" s="103"/>
      <c r="F348" s="103"/>
      <c r="G348" s="103"/>
      <c r="H348" s="149"/>
      <c r="I348" s="104"/>
      <c r="J348" s="104"/>
      <c r="K348" s="70" t="s">
        <v>1813</v>
      </c>
      <c r="L348" s="145"/>
      <c r="M348" s="145"/>
      <c r="N348" s="145"/>
      <c r="O348" s="100"/>
      <c r="P348" s="100"/>
      <c r="Q348" s="101"/>
      <c r="R348" s="93" t="s">
        <v>36</v>
      </c>
      <c r="S348" s="93"/>
      <c r="T348" s="93"/>
      <c r="U348" s="94"/>
    </row>
    <row r="349" spans="1:21" x14ac:dyDescent="0.4">
      <c r="A349" s="86">
        <f t="shared" si="5"/>
        <v>345</v>
      </c>
      <c r="B349" s="92"/>
      <c r="C349" s="190"/>
      <c r="D349" s="164"/>
      <c r="E349" s="103"/>
      <c r="F349" s="103"/>
      <c r="G349" s="103"/>
      <c r="H349" s="149"/>
      <c r="I349" s="104"/>
      <c r="J349" s="104"/>
      <c r="K349" s="104"/>
      <c r="L349" s="145" t="s">
        <v>2916</v>
      </c>
      <c r="M349" s="145"/>
      <c r="N349" s="145"/>
      <c r="O349" s="100"/>
      <c r="P349" s="100"/>
      <c r="Q349" s="101"/>
      <c r="R349" s="93" t="s">
        <v>2982</v>
      </c>
      <c r="S349" s="93"/>
      <c r="T349" s="93"/>
      <c r="U349" s="94"/>
    </row>
    <row r="350" spans="1:21" x14ac:dyDescent="0.4">
      <c r="A350" s="86">
        <f t="shared" si="5"/>
        <v>346</v>
      </c>
      <c r="B350" s="92"/>
      <c r="C350" s="190"/>
      <c r="D350" s="164"/>
      <c r="E350" s="103"/>
      <c r="F350" s="103"/>
      <c r="G350" s="103"/>
      <c r="H350" s="149"/>
      <c r="I350" s="104"/>
      <c r="J350" s="104"/>
      <c r="K350" s="108"/>
      <c r="L350" s="145" t="s">
        <v>1824</v>
      </c>
      <c r="M350" s="145"/>
      <c r="N350" s="145"/>
      <c r="O350" s="100"/>
      <c r="P350" s="100"/>
      <c r="Q350" s="101"/>
      <c r="R350" s="93" t="s">
        <v>36</v>
      </c>
      <c r="S350" s="93"/>
      <c r="T350" s="93"/>
      <c r="U350" s="94"/>
    </row>
    <row r="351" spans="1:21" x14ac:dyDescent="0.4">
      <c r="A351" s="86">
        <f t="shared" si="5"/>
        <v>347</v>
      </c>
      <c r="B351" s="92"/>
      <c r="C351" s="190"/>
      <c r="D351" s="164"/>
      <c r="E351" s="103"/>
      <c r="F351" s="103"/>
      <c r="G351" s="103"/>
      <c r="H351" s="149"/>
      <c r="I351" s="104"/>
      <c r="J351" s="109" t="s">
        <v>1825</v>
      </c>
      <c r="K351" s="145"/>
      <c r="L351" s="145"/>
      <c r="M351" s="145"/>
      <c r="N351" s="145"/>
      <c r="O351" s="100"/>
      <c r="P351" s="100"/>
      <c r="Q351" s="101"/>
      <c r="R351" s="93" t="s">
        <v>1239</v>
      </c>
      <c r="S351" s="93"/>
      <c r="T351" s="93"/>
      <c r="U351" s="94"/>
    </row>
    <row r="352" spans="1:21" x14ac:dyDescent="0.4">
      <c r="A352" s="86">
        <f t="shared" si="5"/>
        <v>348</v>
      </c>
      <c r="B352" s="92"/>
      <c r="C352" s="190"/>
      <c r="D352" s="164"/>
      <c r="E352" s="103"/>
      <c r="F352" s="103"/>
      <c r="G352" s="103"/>
      <c r="H352" s="149"/>
      <c r="I352" s="104"/>
      <c r="J352" s="104"/>
      <c r="K352" s="70" t="s">
        <v>1813</v>
      </c>
      <c r="L352" s="145"/>
      <c r="M352" s="145"/>
      <c r="N352" s="145"/>
      <c r="O352" s="100"/>
      <c r="P352" s="100"/>
      <c r="Q352" s="101"/>
      <c r="R352" s="93" t="s">
        <v>36</v>
      </c>
      <c r="S352" s="93"/>
      <c r="T352" s="93"/>
      <c r="U352" s="94"/>
    </row>
    <row r="353" spans="1:21" x14ac:dyDescent="0.4">
      <c r="A353" s="86">
        <f t="shared" si="5"/>
        <v>349</v>
      </c>
      <c r="B353" s="92"/>
      <c r="C353" s="190"/>
      <c r="D353" s="164"/>
      <c r="E353" s="103"/>
      <c r="F353" s="103"/>
      <c r="G353" s="103"/>
      <c r="H353" s="149"/>
      <c r="I353" s="104"/>
      <c r="J353" s="104"/>
      <c r="K353" s="104"/>
      <c r="L353" s="145" t="s">
        <v>2916</v>
      </c>
      <c r="M353" s="145"/>
      <c r="N353" s="145"/>
      <c r="O353" s="100"/>
      <c r="P353" s="100"/>
      <c r="Q353" s="101"/>
      <c r="R353" s="93" t="s">
        <v>2982</v>
      </c>
      <c r="S353" s="93"/>
      <c r="T353" s="93"/>
      <c r="U353" s="94"/>
    </row>
    <row r="354" spans="1:21" x14ac:dyDescent="0.4">
      <c r="A354" s="86">
        <f t="shared" si="5"/>
        <v>350</v>
      </c>
      <c r="B354" s="92"/>
      <c r="C354" s="190"/>
      <c r="D354" s="164"/>
      <c r="E354" s="103"/>
      <c r="F354" s="103"/>
      <c r="G354" s="103"/>
      <c r="H354" s="149"/>
      <c r="I354" s="104"/>
      <c r="J354" s="109" t="s">
        <v>1826</v>
      </c>
      <c r="K354" s="100"/>
      <c r="L354" s="145"/>
      <c r="M354" s="145"/>
      <c r="N354" s="145"/>
      <c r="O354" s="100"/>
      <c r="P354" s="100"/>
      <c r="Q354" s="101"/>
      <c r="R354" s="93" t="s">
        <v>1239</v>
      </c>
      <c r="S354" s="93"/>
      <c r="T354" s="93"/>
      <c r="U354" s="94"/>
    </row>
    <row r="355" spans="1:21" x14ac:dyDescent="0.4">
      <c r="A355" s="86">
        <f t="shared" si="5"/>
        <v>351</v>
      </c>
      <c r="B355" s="92"/>
      <c r="C355" s="190"/>
      <c r="D355" s="164"/>
      <c r="E355" s="103"/>
      <c r="F355" s="103"/>
      <c r="G355" s="103"/>
      <c r="H355" s="149"/>
      <c r="I355" s="104"/>
      <c r="J355" s="104"/>
      <c r="K355" s="70" t="s">
        <v>1813</v>
      </c>
      <c r="L355" s="145"/>
      <c r="M355" s="145"/>
      <c r="N355" s="145"/>
      <c r="O355" s="100"/>
      <c r="P355" s="100"/>
      <c r="Q355" s="101"/>
      <c r="R355" s="93" t="s">
        <v>36</v>
      </c>
      <c r="S355" s="93"/>
      <c r="T355" s="93"/>
      <c r="U355" s="94"/>
    </row>
    <row r="356" spans="1:21" x14ac:dyDescent="0.4">
      <c r="A356" s="86">
        <f t="shared" si="5"/>
        <v>352</v>
      </c>
      <c r="B356" s="92"/>
      <c r="C356" s="190"/>
      <c r="D356" s="164"/>
      <c r="E356" s="103"/>
      <c r="F356" s="103"/>
      <c r="G356" s="103"/>
      <c r="H356" s="149"/>
      <c r="I356" s="104"/>
      <c r="J356" s="104"/>
      <c r="K356" s="104"/>
      <c r="L356" s="145" t="s">
        <v>2916</v>
      </c>
      <c r="M356" s="145"/>
      <c r="N356" s="145"/>
      <c r="O356" s="100"/>
      <c r="P356" s="100"/>
      <c r="Q356" s="101"/>
      <c r="R356" s="93" t="s">
        <v>2982</v>
      </c>
      <c r="S356" s="93"/>
      <c r="T356" s="93"/>
      <c r="U356" s="94"/>
    </row>
    <row r="357" spans="1:21" x14ac:dyDescent="0.4">
      <c r="A357" s="86">
        <f t="shared" si="5"/>
        <v>353</v>
      </c>
      <c r="B357" s="92"/>
      <c r="C357" s="190"/>
      <c r="D357" s="164"/>
      <c r="E357" s="103"/>
      <c r="F357" s="103"/>
      <c r="G357" s="103"/>
      <c r="H357" s="149"/>
      <c r="I357" s="104"/>
      <c r="J357" s="104"/>
      <c r="K357" s="108"/>
      <c r="L357" s="145" t="s">
        <v>1815</v>
      </c>
      <c r="M357" s="145"/>
      <c r="N357" s="145"/>
      <c r="O357" s="100"/>
      <c r="P357" s="100"/>
      <c r="Q357" s="101"/>
      <c r="R357" s="93" t="s">
        <v>36</v>
      </c>
      <c r="S357" s="93"/>
      <c r="T357" s="93"/>
      <c r="U357" s="94"/>
    </row>
    <row r="358" spans="1:21" x14ac:dyDescent="0.4">
      <c r="A358" s="86">
        <f t="shared" si="5"/>
        <v>354</v>
      </c>
      <c r="B358" s="92"/>
      <c r="C358" s="190"/>
      <c r="D358" s="164"/>
      <c r="E358" s="103"/>
      <c r="F358" s="103"/>
      <c r="G358" s="103"/>
      <c r="H358" s="149"/>
      <c r="I358" s="104"/>
      <c r="J358" s="109" t="s">
        <v>1827</v>
      </c>
      <c r="K358" s="100"/>
      <c r="L358" s="145"/>
      <c r="M358" s="145"/>
      <c r="N358" s="145"/>
      <c r="O358" s="100"/>
      <c r="P358" s="100"/>
      <c r="Q358" s="101"/>
      <c r="R358" s="93" t="s">
        <v>1239</v>
      </c>
      <c r="S358" s="93"/>
      <c r="T358" s="93"/>
      <c r="U358" s="94"/>
    </row>
    <row r="359" spans="1:21" x14ac:dyDescent="0.4">
      <c r="A359" s="86">
        <f t="shared" si="5"/>
        <v>355</v>
      </c>
      <c r="B359" s="92"/>
      <c r="C359" s="190"/>
      <c r="D359" s="164"/>
      <c r="E359" s="103"/>
      <c r="F359" s="103"/>
      <c r="G359" s="103"/>
      <c r="H359" s="149"/>
      <c r="I359" s="104"/>
      <c r="J359" s="104"/>
      <c r="K359" s="70" t="s">
        <v>1813</v>
      </c>
      <c r="L359" s="145"/>
      <c r="M359" s="145"/>
      <c r="N359" s="145"/>
      <c r="O359" s="100"/>
      <c r="P359" s="100"/>
      <c r="Q359" s="101"/>
      <c r="R359" s="93" t="s">
        <v>36</v>
      </c>
      <c r="S359" s="93"/>
      <c r="T359" s="93"/>
      <c r="U359" s="94"/>
    </row>
    <row r="360" spans="1:21" x14ac:dyDescent="0.4">
      <c r="A360" s="86">
        <f t="shared" si="5"/>
        <v>356</v>
      </c>
      <c r="B360" s="92"/>
      <c r="C360" s="190"/>
      <c r="D360" s="164"/>
      <c r="E360" s="103"/>
      <c r="F360" s="103"/>
      <c r="G360" s="103"/>
      <c r="H360" s="149"/>
      <c r="I360" s="104"/>
      <c r="J360" s="104"/>
      <c r="K360" s="104"/>
      <c r="L360" s="145" t="s">
        <v>2916</v>
      </c>
      <c r="M360" s="145"/>
      <c r="N360" s="145"/>
      <c r="O360" s="100"/>
      <c r="P360" s="100"/>
      <c r="Q360" s="101"/>
      <c r="R360" s="93" t="s">
        <v>2982</v>
      </c>
      <c r="S360" s="93"/>
      <c r="T360" s="93"/>
      <c r="U360" s="94"/>
    </row>
    <row r="361" spans="1:21" x14ac:dyDescent="0.4">
      <c r="A361" s="86">
        <f t="shared" si="5"/>
        <v>357</v>
      </c>
      <c r="B361" s="92"/>
      <c r="C361" s="190"/>
      <c r="D361" s="164"/>
      <c r="E361" s="103"/>
      <c r="F361" s="103"/>
      <c r="G361" s="103"/>
      <c r="H361" s="149"/>
      <c r="I361" s="104"/>
      <c r="J361" s="104"/>
      <c r="K361" s="108"/>
      <c r="L361" s="145" t="s">
        <v>1815</v>
      </c>
      <c r="M361" s="145"/>
      <c r="N361" s="145"/>
      <c r="O361" s="100"/>
      <c r="P361" s="100"/>
      <c r="Q361" s="101"/>
      <c r="R361" s="93" t="s">
        <v>36</v>
      </c>
      <c r="S361" s="93"/>
      <c r="T361" s="93"/>
      <c r="U361" s="94"/>
    </row>
    <row r="362" spans="1:21" x14ac:dyDescent="0.4">
      <c r="A362" s="86">
        <f t="shared" si="5"/>
        <v>358</v>
      </c>
      <c r="B362" s="92"/>
      <c r="C362" s="190"/>
      <c r="D362" s="164"/>
      <c r="E362" s="103"/>
      <c r="F362" s="103"/>
      <c r="G362" s="103"/>
      <c r="H362" s="149"/>
      <c r="I362" s="104"/>
      <c r="J362" s="109" t="s">
        <v>1828</v>
      </c>
      <c r="K362" s="100"/>
      <c r="L362" s="145"/>
      <c r="M362" s="145"/>
      <c r="N362" s="145"/>
      <c r="O362" s="100"/>
      <c r="P362" s="100"/>
      <c r="Q362" s="101"/>
      <c r="R362" s="93" t="s">
        <v>1239</v>
      </c>
      <c r="S362" s="93"/>
      <c r="T362" s="93"/>
      <c r="U362" s="94"/>
    </row>
    <row r="363" spans="1:21" x14ac:dyDescent="0.4">
      <c r="A363" s="86">
        <f t="shared" si="5"/>
        <v>359</v>
      </c>
      <c r="B363" s="92"/>
      <c r="C363" s="190"/>
      <c r="D363" s="164"/>
      <c r="E363" s="103"/>
      <c r="F363" s="103"/>
      <c r="G363" s="103"/>
      <c r="H363" s="149"/>
      <c r="I363" s="104"/>
      <c r="J363" s="104"/>
      <c r="K363" s="70" t="s">
        <v>1813</v>
      </c>
      <c r="L363" s="145"/>
      <c r="M363" s="145"/>
      <c r="N363" s="145"/>
      <c r="O363" s="100"/>
      <c r="P363" s="100"/>
      <c r="Q363" s="101"/>
      <c r="R363" s="93" t="s">
        <v>36</v>
      </c>
      <c r="S363" s="93"/>
      <c r="T363" s="93"/>
      <c r="U363" s="94"/>
    </row>
    <row r="364" spans="1:21" x14ac:dyDescent="0.4">
      <c r="A364" s="86">
        <f t="shared" si="5"/>
        <v>360</v>
      </c>
      <c r="B364" s="92"/>
      <c r="C364" s="190"/>
      <c r="D364" s="164"/>
      <c r="E364" s="103"/>
      <c r="F364" s="103"/>
      <c r="G364" s="103"/>
      <c r="H364" s="149"/>
      <c r="I364" s="104"/>
      <c r="J364" s="104"/>
      <c r="K364" s="104"/>
      <c r="L364" s="145" t="s">
        <v>2916</v>
      </c>
      <c r="M364" s="145"/>
      <c r="N364" s="145"/>
      <c r="O364" s="100"/>
      <c r="P364" s="100"/>
      <c r="Q364" s="101"/>
      <c r="R364" s="93" t="s">
        <v>2982</v>
      </c>
      <c r="S364" s="93"/>
      <c r="T364" s="93"/>
      <c r="U364" s="94"/>
    </row>
    <row r="365" spans="1:21" x14ac:dyDescent="0.4">
      <c r="A365" s="86">
        <f t="shared" si="5"/>
        <v>361</v>
      </c>
      <c r="B365" s="92"/>
      <c r="C365" s="190"/>
      <c r="D365" s="164"/>
      <c r="E365" s="103"/>
      <c r="F365" s="103"/>
      <c r="G365" s="103"/>
      <c r="H365" s="149"/>
      <c r="I365" s="104"/>
      <c r="J365" s="104"/>
      <c r="K365" s="104"/>
      <c r="L365" s="145" t="s">
        <v>1829</v>
      </c>
      <c r="M365" s="145"/>
      <c r="N365" s="145"/>
      <c r="O365" s="100"/>
      <c r="P365" s="100"/>
      <c r="Q365" s="101"/>
      <c r="R365" s="93" t="s">
        <v>36</v>
      </c>
      <c r="S365" s="93"/>
      <c r="T365" s="93"/>
      <c r="U365" s="94"/>
    </row>
    <row r="366" spans="1:21" x14ac:dyDescent="0.4">
      <c r="A366" s="86">
        <f t="shared" si="5"/>
        <v>362</v>
      </c>
      <c r="B366" s="92"/>
      <c r="C366" s="190"/>
      <c r="D366" s="164"/>
      <c r="E366" s="103"/>
      <c r="F366" s="103"/>
      <c r="G366" s="103"/>
      <c r="H366" s="149"/>
      <c r="I366" s="104"/>
      <c r="J366" s="104"/>
      <c r="K366" s="108"/>
      <c r="L366" s="145" t="s">
        <v>1815</v>
      </c>
      <c r="M366" s="145"/>
      <c r="N366" s="145"/>
      <c r="O366" s="100"/>
      <c r="P366" s="100"/>
      <c r="Q366" s="101"/>
      <c r="R366" s="93" t="s">
        <v>36</v>
      </c>
      <c r="S366" s="93"/>
      <c r="T366" s="93"/>
      <c r="U366" s="94"/>
    </row>
    <row r="367" spans="1:21" x14ac:dyDescent="0.4">
      <c r="A367" s="86">
        <f t="shared" si="5"/>
        <v>363</v>
      </c>
      <c r="B367" s="92"/>
      <c r="C367" s="190"/>
      <c r="D367" s="164"/>
      <c r="E367" s="103"/>
      <c r="F367" s="103"/>
      <c r="G367" s="103"/>
      <c r="H367" s="149"/>
      <c r="I367" s="104"/>
      <c r="J367" s="109" t="s">
        <v>1830</v>
      </c>
      <c r="K367" s="100"/>
      <c r="L367" s="145"/>
      <c r="M367" s="145"/>
      <c r="N367" s="145"/>
      <c r="O367" s="100"/>
      <c r="P367" s="100"/>
      <c r="Q367" s="101"/>
      <c r="R367" s="93" t="s">
        <v>1239</v>
      </c>
      <c r="S367" s="93"/>
      <c r="T367" s="93"/>
      <c r="U367" s="94"/>
    </row>
    <row r="368" spans="1:21" x14ac:dyDescent="0.4">
      <c r="A368" s="86">
        <f t="shared" si="5"/>
        <v>364</v>
      </c>
      <c r="B368" s="92"/>
      <c r="C368" s="190"/>
      <c r="D368" s="164"/>
      <c r="E368" s="103"/>
      <c r="F368" s="103"/>
      <c r="G368" s="103"/>
      <c r="H368" s="149"/>
      <c r="I368" s="104"/>
      <c r="J368" s="104"/>
      <c r="K368" s="70" t="s">
        <v>1813</v>
      </c>
      <c r="L368" s="145"/>
      <c r="M368" s="145"/>
      <c r="N368" s="145"/>
      <c r="O368" s="100"/>
      <c r="P368" s="100"/>
      <c r="Q368" s="101"/>
      <c r="R368" s="93" t="s">
        <v>20</v>
      </c>
      <c r="S368" s="93"/>
      <c r="T368" s="93"/>
      <c r="U368" s="94"/>
    </row>
    <row r="369" spans="1:21" x14ac:dyDescent="0.4">
      <c r="A369" s="86">
        <f t="shared" si="5"/>
        <v>365</v>
      </c>
      <c r="B369" s="92"/>
      <c r="C369" s="190"/>
      <c r="D369" s="164"/>
      <c r="E369" s="103"/>
      <c r="F369" s="103"/>
      <c r="G369" s="103"/>
      <c r="H369" s="149"/>
      <c r="I369" s="104"/>
      <c r="J369" s="104"/>
      <c r="K369" s="104"/>
      <c r="L369" s="145" t="s">
        <v>2916</v>
      </c>
      <c r="M369" s="145"/>
      <c r="N369" s="145"/>
      <c r="O369" s="100"/>
      <c r="P369" s="100"/>
      <c r="Q369" s="101"/>
      <c r="R369" s="93" t="s">
        <v>2982</v>
      </c>
      <c r="S369" s="93"/>
      <c r="T369" s="93"/>
      <c r="U369" s="94"/>
    </row>
    <row r="370" spans="1:21" x14ac:dyDescent="0.4">
      <c r="A370" s="86">
        <f t="shared" si="5"/>
        <v>366</v>
      </c>
      <c r="B370" s="92"/>
      <c r="C370" s="190"/>
      <c r="D370" s="164"/>
      <c r="E370" s="103"/>
      <c r="F370" s="103"/>
      <c r="G370" s="103"/>
      <c r="H370" s="149"/>
      <c r="I370" s="104"/>
      <c r="J370" s="104"/>
      <c r="K370" s="108"/>
      <c r="L370" s="145" t="s">
        <v>1831</v>
      </c>
      <c r="M370" s="145"/>
      <c r="N370" s="145"/>
      <c r="O370" s="100"/>
      <c r="P370" s="100"/>
      <c r="Q370" s="101"/>
      <c r="R370" s="93" t="s">
        <v>36</v>
      </c>
      <c r="S370" s="93"/>
      <c r="T370" s="93"/>
      <c r="U370" s="94"/>
    </row>
    <row r="371" spans="1:21" x14ac:dyDescent="0.4">
      <c r="A371" s="86">
        <f t="shared" si="5"/>
        <v>367</v>
      </c>
      <c r="B371" s="92"/>
      <c r="C371" s="190"/>
      <c r="D371" s="164"/>
      <c r="E371" s="103"/>
      <c r="F371" s="103"/>
      <c r="G371" s="103"/>
      <c r="H371" s="149"/>
      <c r="I371" s="104"/>
      <c r="J371" s="109" t="s">
        <v>1832</v>
      </c>
      <c r="K371" s="100"/>
      <c r="L371" s="145"/>
      <c r="M371" s="145"/>
      <c r="N371" s="145"/>
      <c r="O371" s="100"/>
      <c r="P371" s="100"/>
      <c r="Q371" s="101"/>
      <c r="R371" s="93" t="s">
        <v>1239</v>
      </c>
      <c r="S371" s="93"/>
      <c r="T371" s="93"/>
      <c r="U371" s="94"/>
    </row>
    <row r="372" spans="1:21" x14ac:dyDescent="0.4">
      <c r="A372" s="86">
        <f t="shared" si="5"/>
        <v>368</v>
      </c>
      <c r="B372" s="92"/>
      <c r="C372" s="190"/>
      <c r="D372" s="164"/>
      <c r="E372" s="103"/>
      <c r="F372" s="103"/>
      <c r="G372" s="103"/>
      <c r="H372" s="149"/>
      <c r="I372" s="104"/>
      <c r="J372" s="104"/>
      <c r="K372" s="70" t="s">
        <v>1813</v>
      </c>
      <c r="L372" s="145"/>
      <c r="M372" s="145"/>
      <c r="N372" s="145"/>
      <c r="O372" s="100"/>
      <c r="P372" s="100"/>
      <c r="Q372" s="101"/>
      <c r="R372" s="93" t="s">
        <v>36</v>
      </c>
      <c r="S372" s="93"/>
      <c r="T372" s="93"/>
      <c r="U372" s="94"/>
    </row>
    <row r="373" spans="1:21" x14ac:dyDescent="0.4">
      <c r="A373" s="86">
        <f t="shared" si="5"/>
        <v>369</v>
      </c>
      <c r="B373" s="92"/>
      <c r="C373" s="190"/>
      <c r="D373" s="164"/>
      <c r="E373" s="103"/>
      <c r="F373" s="103"/>
      <c r="G373" s="103"/>
      <c r="H373" s="149"/>
      <c r="I373" s="104"/>
      <c r="J373" s="104"/>
      <c r="K373" s="104"/>
      <c r="L373" s="145" t="s">
        <v>2916</v>
      </c>
      <c r="M373" s="145"/>
      <c r="N373" s="145"/>
      <c r="O373" s="100"/>
      <c r="P373" s="100"/>
      <c r="Q373" s="101"/>
      <c r="R373" s="93" t="s">
        <v>2982</v>
      </c>
      <c r="S373" s="93"/>
      <c r="T373" s="93"/>
      <c r="U373" s="94"/>
    </row>
    <row r="374" spans="1:21" x14ac:dyDescent="0.4">
      <c r="A374" s="86">
        <f t="shared" si="5"/>
        <v>370</v>
      </c>
      <c r="B374" s="92"/>
      <c r="C374" s="190"/>
      <c r="D374" s="164"/>
      <c r="E374" s="103"/>
      <c r="F374" s="103"/>
      <c r="G374" s="103"/>
      <c r="H374" s="149"/>
      <c r="I374" s="104"/>
      <c r="J374" s="104"/>
      <c r="K374" s="104"/>
      <c r="L374" s="145" t="s">
        <v>1833</v>
      </c>
      <c r="M374" s="145"/>
      <c r="N374" s="145"/>
      <c r="O374" s="100"/>
      <c r="P374" s="100"/>
      <c r="Q374" s="101"/>
      <c r="R374" s="93" t="s">
        <v>36</v>
      </c>
      <c r="S374" s="93"/>
      <c r="T374" s="93"/>
      <c r="U374" s="94"/>
    </row>
    <row r="375" spans="1:21" x14ac:dyDescent="0.4">
      <c r="A375" s="86">
        <f t="shared" si="5"/>
        <v>371</v>
      </c>
      <c r="B375" s="92"/>
      <c r="C375" s="190"/>
      <c r="D375" s="164"/>
      <c r="E375" s="103"/>
      <c r="F375" s="103"/>
      <c r="G375" s="103"/>
      <c r="H375" s="149"/>
      <c r="I375" s="104"/>
      <c r="J375" s="104"/>
      <c r="K375" s="108"/>
      <c r="L375" s="145" t="s">
        <v>1815</v>
      </c>
      <c r="M375" s="145"/>
      <c r="N375" s="145"/>
      <c r="O375" s="100"/>
      <c r="P375" s="100"/>
      <c r="Q375" s="101"/>
      <c r="R375" s="93" t="s">
        <v>36</v>
      </c>
      <c r="S375" s="93"/>
      <c r="T375" s="93"/>
      <c r="U375" s="94"/>
    </row>
    <row r="376" spans="1:21" x14ac:dyDescent="0.4">
      <c r="A376" s="86">
        <f t="shared" si="5"/>
        <v>372</v>
      </c>
      <c r="B376" s="92"/>
      <c r="C376" s="190"/>
      <c r="D376" s="164"/>
      <c r="E376" s="103"/>
      <c r="F376" s="103"/>
      <c r="G376" s="103"/>
      <c r="H376" s="149"/>
      <c r="I376" s="104"/>
      <c r="J376" s="109" t="s">
        <v>1834</v>
      </c>
      <c r="K376" s="100"/>
      <c r="L376" s="145"/>
      <c r="M376" s="145"/>
      <c r="N376" s="145"/>
      <c r="O376" s="100"/>
      <c r="P376" s="100"/>
      <c r="Q376" s="101"/>
      <c r="R376" s="93" t="s">
        <v>1239</v>
      </c>
      <c r="S376" s="93"/>
      <c r="T376" s="93"/>
      <c r="U376" s="94"/>
    </row>
    <row r="377" spans="1:21" x14ac:dyDescent="0.4">
      <c r="A377" s="86">
        <f t="shared" si="5"/>
        <v>373</v>
      </c>
      <c r="B377" s="92"/>
      <c r="C377" s="190"/>
      <c r="D377" s="164"/>
      <c r="E377" s="103"/>
      <c r="F377" s="103"/>
      <c r="G377" s="103"/>
      <c r="H377" s="149"/>
      <c r="I377" s="104"/>
      <c r="J377" s="104"/>
      <c r="K377" s="70" t="s">
        <v>1813</v>
      </c>
      <c r="L377" s="145"/>
      <c r="M377" s="145"/>
      <c r="N377" s="145"/>
      <c r="O377" s="100"/>
      <c r="P377" s="100"/>
      <c r="Q377" s="101"/>
      <c r="R377" s="93" t="s">
        <v>36</v>
      </c>
      <c r="S377" s="93"/>
      <c r="T377" s="93"/>
      <c r="U377" s="94"/>
    </row>
    <row r="378" spans="1:21" x14ac:dyDescent="0.4">
      <c r="A378" s="86">
        <f t="shared" si="5"/>
        <v>374</v>
      </c>
      <c r="B378" s="92"/>
      <c r="C378" s="190"/>
      <c r="D378" s="164"/>
      <c r="E378" s="103"/>
      <c r="F378" s="103"/>
      <c r="G378" s="103"/>
      <c r="H378" s="149"/>
      <c r="I378" s="104"/>
      <c r="J378" s="104"/>
      <c r="K378" s="104"/>
      <c r="L378" s="145" t="s">
        <v>2916</v>
      </c>
      <c r="M378" s="145"/>
      <c r="N378" s="145"/>
      <c r="O378" s="100"/>
      <c r="P378" s="100"/>
      <c r="Q378" s="101"/>
      <c r="R378" s="93" t="s">
        <v>2982</v>
      </c>
      <c r="S378" s="93"/>
      <c r="T378" s="93"/>
      <c r="U378" s="94"/>
    </row>
    <row r="379" spans="1:21" x14ac:dyDescent="0.4">
      <c r="A379" s="86">
        <f t="shared" si="5"/>
        <v>375</v>
      </c>
      <c r="B379" s="92"/>
      <c r="C379" s="190"/>
      <c r="D379" s="164"/>
      <c r="E379" s="103"/>
      <c r="F379" s="103"/>
      <c r="G379" s="103"/>
      <c r="H379" s="149"/>
      <c r="I379" s="104"/>
      <c r="J379" s="104"/>
      <c r="K379" s="108"/>
      <c r="L379" s="145" t="s">
        <v>1815</v>
      </c>
      <c r="M379" s="145"/>
      <c r="N379" s="145"/>
      <c r="O379" s="100"/>
      <c r="P379" s="100"/>
      <c r="Q379" s="101"/>
      <c r="R379" s="93" t="s">
        <v>36</v>
      </c>
      <c r="S379" s="93"/>
      <c r="T379" s="93"/>
      <c r="U379" s="94"/>
    </row>
    <row r="380" spans="1:21" x14ac:dyDescent="0.4">
      <c r="A380" s="86">
        <f t="shared" si="5"/>
        <v>376</v>
      </c>
      <c r="B380" s="92"/>
      <c r="C380" s="190"/>
      <c r="D380" s="164"/>
      <c r="E380" s="103"/>
      <c r="F380" s="103"/>
      <c r="G380" s="103"/>
      <c r="H380" s="149"/>
      <c r="I380" s="104"/>
      <c r="J380" s="109" t="s">
        <v>1835</v>
      </c>
      <c r="K380" s="100"/>
      <c r="L380" s="145"/>
      <c r="M380" s="145"/>
      <c r="N380" s="145"/>
      <c r="O380" s="100"/>
      <c r="P380" s="100"/>
      <c r="Q380" s="101"/>
      <c r="R380" s="93" t="s">
        <v>1239</v>
      </c>
      <c r="S380" s="93"/>
      <c r="T380" s="93"/>
      <c r="U380" s="94"/>
    </row>
    <row r="381" spans="1:21" x14ac:dyDescent="0.4">
      <c r="A381" s="86">
        <f t="shared" si="5"/>
        <v>377</v>
      </c>
      <c r="B381" s="92"/>
      <c r="C381" s="190"/>
      <c r="D381" s="164"/>
      <c r="E381" s="103"/>
      <c r="F381" s="103"/>
      <c r="G381" s="103"/>
      <c r="H381" s="149"/>
      <c r="I381" s="104"/>
      <c r="J381" s="104"/>
      <c r="K381" s="70" t="s">
        <v>1813</v>
      </c>
      <c r="L381" s="145"/>
      <c r="M381" s="145"/>
      <c r="N381" s="145"/>
      <c r="O381" s="100"/>
      <c r="P381" s="100"/>
      <c r="Q381" s="101"/>
      <c r="R381" s="93" t="s">
        <v>36</v>
      </c>
      <c r="S381" s="93"/>
      <c r="T381" s="93"/>
      <c r="U381" s="94"/>
    </row>
    <row r="382" spans="1:21" x14ac:dyDescent="0.4">
      <c r="A382" s="86">
        <f t="shared" si="5"/>
        <v>378</v>
      </c>
      <c r="B382" s="92"/>
      <c r="C382" s="190"/>
      <c r="D382" s="164"/>
      <c r="E382" s="103"/>
      <c r="F382" s="103"/>
      <c r="G382" s="103"/>
      <c r="H382" s="149"/>
      <c r="I382" s="104"/>
      <c r="J382" s="104"/>
      <c r="K382" s="104"/>
      <c r="L382" s="145" t="s">
        <v>2916</v>
      </c>
      <c r="M382" s="145"/>
      <c r="N382" s="145"/>
      <c r="O382" s="100"/>
      <c r="P382" s="100"/>
      <c r="Q382" s="101"/>
      <c r="R382" s="93" t="s">
        <v>2982</v>
      </c>
      <c r="S382" s="93"/>
      <c r="T382" s="93"/>
      <c r="U382" s="94"/>
    </row>
    <row r="383" spans="1:21" x14ac:dyDescent="0.4">
      <c r="A383" s="86">
        <f t="shared" si="5"/>
        <v>379</v>
      </c>
      <c r="B383" s="92"/>
      <c r="C383" s="190"/>
      <c r="D383" s="164"/>
      <c r="E383" s="103"/>
      <c r="F383" s="103"/>
      <c r="G383" s="103"/>
      <c r="H383" s="149"/>
      <c r="I383" s="104"/>
      <c r="J383" s="104"/>
      <c r="K383" s="108"/>
      <c r="L383" s="145" t="s">
        <v>1836</v>
      </c>
      <c r="M383" s="145"/>
      <c r="N383" s="145"/>
      <c r="O383" s="100"/>
      <c r="P383" s="100"/>
      <c r="Q383" s="101"/>
      <c r="R383" s="93" t="s">
        <v>36</v>
      </c>
      <c r="S383" s="93"/>
      <c r="T383" s="93"/>
      <c r="U383" s="94"/>
    </row>
    <row r="384" spans="1:21" x14ac:dyDescent="0.4">
      <c r="A384" s="86">
        <f t="shared" si="5"/>
        <v>380</v>
      </c>
      <c r="B384" s="92"/>
      <c r="C384" s="190"/>
      <c r="D384" s="164"/>
      <c r="E384" s="103"/>
      <c r="F384" s="103"/>
      <c r="G384" s="103"/>
      <c r="H384" s="149"/>
      <c r="I384" s="104"/>
      <c r="J384" s="109" t="s">
        <v>1837</v>
      </c>
      <c r="K384" s="100"/>
      <c r="L384" s="145"/>
      <c r="M384" s="145"/>
      <c r="N384" s="145"/>
      <c r="O384" s="100"/>
      <c r="P384" s="100"/>
      <c r="Q384" s="101"/>
      <c r="R384" s="93" t="s">
        <v>1239</v>
      </c>
      <c r="S384" s="93"/>
      <c r="T384" s="93"/>
      <c r="U384" s="94"/>
    </row>
    <row r="385" spans="1:21" x14ac:dyDescent="0.4">
      <c r="A385" s="86">
        <f t="shared" si="5"/>
        <v>381</v>
      </c>
      <c r="B385" s="92"/>
      <c r="C385" s="190"/>
      <c r="D385" s="164"/>
      <c r="E385" s="103"/>
      <c r="F385" s="103"/>
      <c r="G385" s="103"/>
      <c r="H385" s="149"/>
      <c r="I385" s="104"/>
      <c r="J385" s="104"/>
      <c r="K385" s="70" t="s">
        <v>1813</v>
      </c>
      <c r="L385" s="145"/>
      <c r="M385" s="145"/>
      <c r="N385" s="145"/>
      <c r="O385" s="100"/>
      <c r="P385" s="100"/>
      <c r="Q385" s="101"/>
      <c r="R385" s="93" t="s">
        <v>36</v>
      </c>
      <c r="S385" s="93"/>
      <c r="T385" s="93"/>
      <c r="U385" s="94"/>
    </row>
    <row r="386" spans="1:21" x14ac:dyDescent="0.4">
      <c r="A386" s="86">
        <f t="shared" si="5"/>
        <v>382</v>
      </c>
      <c r="B386" s="92"/>
      <c r="C386" s="190"/>
      <c r="D386" s="164"/>
      <c r="E386" s="103"/>
      <c r="F386" s="103"/>
      <c r="G386" s="103"/>
      <c r="H386" s="149"/>
      <c r="I386" s="104"/>
      <c r="J386" s="104"/>
      <c r="K386" s="104"/>
      <c r="L386" s="145" t="s">
        <v>2916</v>
      </c>
      <c r="M386" s="145"/>
      <c r="N386" s="145"/>
      <c r="O386" s="100"/>
      <c r="P386" s="100"/>
      <c r="Q386" s="101"/>
      <c r="R386" s="93" t="s">
        <v>2982</v>
      </c>
      <c r="S386" s="93"/>
      <c r="T386" s="93"/>
      <c r="U386" s="94"/>
    </row>
    <row r="387" spans="1:21" x14ac:dyDescent="0.4">
      <c r="A387" s="86">
        <f t="shared" si="5"/>
        <v>383</v>
      </c>
      <c r="B387" s="92"/>
      <c r="C387" s="190"/>
      <c r="D387" s="164"/>
      <c r="E387" s="103"/>
      <c r="F387" s="103"/>
      <c r="G387" s="103"/>
      <c r="H387" s="149"/>
      <c r="I387" s="104"/>
      <c r="J387" s="104"/>
      <c r="K387" s="108"/>
      <c r="L387" s="145" t="s">
        <v>1815</v>
      </c>
      <c r="M387" s="145"/>
      <c r="N387" s="145"/>
      <c r="O387" s="100"/>
      <c r="P387" s="100"/>
      <c r="Q387" s="101"/>
      <c r="R387" s="93" t="s">
        <v>36</v>
      </c>
      <c r="S387" s="93"/>
      <c r="T387" s="93"/>
      <c r="U387" s="94"/>
    </row>
    <row r="388" spans="1:21" x14ac:dyDescent="0.4">
      <c r="A388" s="86">
        <f t="shared" si="5"/>
        <v>384</v>
      </c>
      <c r="B388" s="92"/>
      <c r="C388" s="190"/>
      <c r="D388" s="164"/>
      <c r="E388" s="103"/>
      <c r="F388" s="103"/>
      <c r="G388" s="103"/>
      <c r="H388" s="149"/>
      <c r="I388" s="104"/>
      <c r="J388" s="109" t="s">
        <v>1838</v>
      </c>
      <c r="K388" s="100"/>
      <c r="L388" s="145"/>
      <c r="M388" s="145"/>
      <c r="N388" s="145"/>
      <c r="O388" s="100"/>
      <c r="P388" s="100"/>
      <c r="Q388" s="101"/>
      <c r="R388" s="93" t="s">
        <v>1239</v>
      </c>
      <c r="S388" s="93"/>
      <c r="T388" s="93"/>
      <c r="U388" s="94"/>
    </row>
    <row r="389" spans="1:21" x14ac:dyDescent="0.4">
      <c r="A389" s="86">
        <f t="shared" si="5"/>
        <v>385</v>
      </c>
      <c r="B389" s="92"/>
      <c r="C389" s="190"/>
      <c r="D389" s="164"/>
      <c r="E389" s="103"/>
      <c r="F389" s="103"/>
      <c r="G389" s="103"/>
      <c r="H389" s="149"/>
      <c r="I389" s="104"/>
      <c r="J389" s="104"/>
      <c r="K389" s="70" t="s">
        <v>1813</v>
      </c>
      <c r="L389" s="145"/>
      <c r="M389" s="145"/>
      <c r="N389" s="145"/>
      <c r="O389" s="100"/>
      <c r="P389" s="100"/>
      <c r="Q389" s="101"/>
      <c r="R389" s="93" t="s">
        <v>36</v>
      </c>
      <c r="S389" s="93"/>
      <c r="T389" s="93"/>
      <c r="U389" s="94"/>
    </row>
    <row r="390" spans="1:21" x14ac:dyDescent="0.4">
      <c r="A390" s="86">
        <f t="shared" si="5"/>
        <v>386</v>
      </c>
      <c r="B390" s="92"/>
      <c r="C390" s="190"/>
      <c r="D390" s="164"/>
      <c r="E390" s="103"/>
      <c r="F390" s="103"/>
      <c r="G390" s="103"/>
      <c r="H390" s="149"/>
      <c r="I390" s="104"/>
      <c r="J390" s="104"/>
      <c r="K390" s="104"/>
      <c r="L390" s="145" t="s">
        <v>2916</v>
      </c>
      <c r="M390" s="145"/>
      <c r="N390" s="145"/>
      <c r="O390" s="100"/>
      <c r="P390" s="100"/>
      <c r="Q390" s="101"/>
      <c r="R390" s="93" t="s">
        <v>2982</v>
      </c>
      <c r="S390" s="93"/>
      <c r="T390" s="93"/>
      <c r="U390" s="94"/>
    </row>
    <row r="391" spans="1:21" x14ac:dyDescent="0.4">
      <c r="A391" s="86">
        <f t="shared" ref="A391:A454" si="6">A390+1</f>
        <v>387</v>
      </c>
      <c r="B391" s="92"/>
      <c r="C391" s="190"/>
      <c r="D391" s="164"/>
      <c r="E391" s="103"/>
      <c r="F391" s="103"/>
      <c r="G391" s="103"/>
      <c r="H391" s="149"/>
      <c r="I391" s="104"/>
      <c r="J391" s="104"/>
      <c r="K391" s="108"/>
      <c r="L391" s="145" t="s">
        <v>1815</v>
      </c>
      <c r="M391" s="145"/>
      <c r="N391" s="145"/>
      <c r="O391" s="100"/>
      <c r="P391" s="100"/>
      <c r="Q391" s="101"/>
      <c r="R391" s="93" t="s">
        <v>36</v>
      </c>
      <c r="S391" s="93"/>
      <c r="T391" s="93"/>
      <c r="U391" s="94"/>
    </row>
    <row r="392" spans="1:21" x14ac:dyDescent="0.4">
      <c r="A392" s="86">
        <f t="shared" si="6"/>
        <v>388</v>
      </c>
      <c r="B392" s="92"/>
      <c r="C392" s="190"/>
      <c r="D392" s="164"/>
      <c r="E392" s="103"/>
      <c r="F392" s="103"/>
      <c r="G392" s="103"/>
      <c r="H392" s="149"/>
      <c r="I392" s="104"/>
      <c r="J392" s="109" t="s">
        <v>1839</v>
      </c>
      <c r="K392" s="100"/>
      <c r="L392" s="145"/>
      <c r="M392" s="145"/>
      <c r="N392" s="145"/>
      <c r="O392" s="100"/>
      <c r="P392" s="100"/>
      <c r="Q392" s="101"/>
      <c r="R392" s="93" t="s">
        <v>1239</v>
      </c>
      <c r="S392" s="93"/>
      <c r="T392" s="93"/>
      <c r="U392" s="94"/>
    </row>
    <row r="393" spans="1:21" x14ac:dyDescent="0.4">
      <c r="A393" s="86">
        <f t="shared" si="6"/>
        <v>389</v>
      </c>
      <c r="B393" s="92"/>
      <c r="C393" s="190"/>
      <c r="D393" s="164"/>
      <c r="E393" s="103"/>
      <c r="F393" s="103"/>
      <c r="G393" s="103"/>
      <c r="H393" s="149"/>
      <c r="I393" s="104"/>
      <c r="J393" s="104"/>
      <c r="K393" s="70" t="s">
        <v>1813</v>
      </c>
      <c r="L393" s="145"/>
      <c r="M393" s="145"/>
      <c r="N393" s="145"/>
      <c r="O393" s="100"/>
      <c r="P393" s="100"/>
      <c r="Q393" s="101"/>
      <c r="R393" s="93" t="s">
        <v>36</v>
      </c>
      <c r="S393" s="93"/>
      <c r="T393" s="93"/>
      <c r="U393" s="94"/>
    </row>
    <row r="394" spans="1:21" x14ac:dyDescent="0.4">
      <c r="A394" s="86">
        <f t="shared" si="6"/>
        <v>390</v>
      </c>
      <c r="B394" s="92"/>
      <c r="C394" s="190"/>
      <c r="D394" s="164"/>
      <c r="E394" s="103"/>
      <c r="F394" s="103"/>
      <c r="G394" s="103"/>
      <c r="H394" s="149"/>
      <c r="I394" s="104"/>
      <c r="J394" s="104"/>
      <c r="K394" s="104"/>
      <c r="L394" s="145" t="s">
        <v>2916</v>
      </c>
      <c r="M394" s="145"/>
      <c r="N394" s="145"/>
      <c r="O394" s="100"/>
      <c r="P394" s="100"/>
      <c r="Q394" s="101"/>
      <c r="R394" s="93" t="s">
        <v>2982</v>
      </c>
      <c r="S394" s="93"/>
      <c r="T394" s="93"/>
      <c r="U394" s="94"/>
    </row>
    <row r="395" spans="1:21" x14ac:dyDescent="0.4">
      <c r="A395" s="86">
        <f t="shared" si="6"/>
        <v>391</v>
      </c>
      <c r="B395" s="92"/>
      <c r="C395" s="190"/>
      <c r="D395" s="164"/>
      <c r="E395" s="103"/>
      <c r="F395" s="103"/>
      <c r="G395" s="103"/>
      <c r="H395" s="149"/>
      <c r="I395" s="104"/>
      <c r="J395" s="109" t="s">
        <v>1840</v>
      </c>
      <c r="K395" s="100"/>
      <c r="L395" s="145"/>
      <c r="M395" s="145"/>
      <c r="N395" s="145"/>
      <c r="O395" s="100"/>
      <c r="P395" s="100"/>
      <c r="Q395" s="101"/>
      <c r="R395" s="93" t="s">
        <v>1239</v>
      </c>
      <c r="S395" s="93"/>
      <c r="T395" s="93"/>
      <c r="U395" s="94"/>
    </row>
    <row r="396" spans="1:21" x14ac:dyDescent="0.4">
      <c r="A396" s="86">
        <f t="shared" si="6"/>
        <v>392</v>
      </c>
      <c r="B396" s="92"/>
      <c r="C396" s="190"/>
      <c r="D396" s="164"/>
      <c r="E396" s="103"/>
      <c r="F396" s="103"/>
      <c r="G396" s="103"/>
      <c r="H396" s="149"/>
      <c r="I396" s="104"/>
      <c r="J396" s="104"/>
      <c r="K396" s="70" t="s">
        <v>1813</v>
      </c>
      <c r="L396" s="145"/>
      <c r="M396" s="145"/>
      <c r="N396" s="145"/>
      <c r="O396" s="100"/>
      <c r="P396" s="100"/>
      <c r="Q396" s="101"/>
      <c r="R396" s="93" t="s">
        <v>36</v>
      </c>
      <c r="S396" s="93"/>
      <c r="T396" s="93"/>
      <c r="U396" s="94"/>
    </row>
    <row r="397" spans="1:21" x14ac:dyDescent="0.4">
      <c r="A397" s="86">
        <f t="shared" si="6"/>
        <v>393</v>
      </c>
      <c r="B397" s="92"/>
      <c r="C397" s="190"/>
      <c r="D397" s="164"/>
      <c r="E397" s="103"/>
      <c r="F397" s="103"/>
      <c r="G397" s="103"/>
      <c r="H397" s="149"/>
      <c r="I397" s="104"/>
      <c r="J397" s="104"/>
      <c r="K397" s="104"/>
      <c r="L397" s="145" t="s">
        <v>2916</v>
      </c>
      <c r="M397" s="145"/>
      <c r="N397" s="145"/>
      <c r="O397" s="100"/>
      <c r="P397" s="100"/>
      <c r="Q397" s="101"/>
      <c r="R397" s="93" t="s">
        <v>2982</v>
      </c>
      <c r="S397" s="93"/>
      <c r="T397" s="93"/>
      <c r="U397" s="94"/>
    </row>
    <row r="398" spans="1:21" x14ac:dyDescent="0.4">
      <c r="A398" s="86">
        <f t="shared" si="6"/>
        <v>394</v>
      </c>
      <c r="B398" s="92"/>
      <c r="C398" s="190"/>
      <c r="D398" s="164"/>
      <c r="E398" s="103"/>
      <c r="F398" s="103"/>
      <c r="G398" s="103"/>
      <c r="H398" s="149"/>
      <c r="I398" s="104"/>
      <c r="J398" s="109" t="s">
        <v>1841</v>
      </c>
      <c r="K398" s="100"/>
      <c r="L398" s="145"/>
      <c r="M398" s="145"/>
      <c r="N398" s="145"/>
      <c r="O398" s="100"/>
      <c r="P398" s="100"/>
      <c r="Q398" s="101"/>
      <c r="R398" s="93" t="s">
        <v>1239</v>
      </c>
      <c r="S398" s="93"/>
      <c r="T398" s="93"/>
      <c r="U398" s="94"/>
    </row>
    <row r="399" spans="1:21" x14ac:dyDescent="0.4">
      <c r="A399" s="86">
        <f t="shared" si="6"/>
        <v>395</v>
      </c>
      <c r="B399" s="92"/>
      <c r="C399" s="190"/>
      <c r="D399" s="164"/>
      <c r="E399" s="103"/>
      <c r="F399" s="103"/>
      <c r="G399" s="103"/>
      <c r="H399" s="149"/>
      <c r="I399" s="104"/>
      <c r="J399" s="104"/>
      <c r="K399" s="70" t="s">
        <v>1813</v>
      </c>
      <c r="L399" s="145"/>
      <c r="M399" s="145"/>
      <c r="N399" s="145"/>
      <c r="O399" s="100"/>
      <c r="P399" s="100"/>
      <c r="Q399" s="101"/>
      <c r="R399" s="93" t="s">
        <v>36</v>
      </c>
      <c r="S399" s="93"/>
      <c r="T399" s="93"/>
      <c r="U399" s="94"/>
    </row>
    <row r="400" spans="1:21" x14ac:dyDescent="0.4">
      <c r="A400" s="86">
        <f t="shared" si="6"/>
        <v>396</v>
      </c>
      <c r="B400" s="92"/>
      <c r="C400" s="190"/>
      <c r="D400" s="164"/>
      <c r="E400" s="103"/>
      <c r="F400" s="103"/>
      <c r="G400" s="103"/>
      <c r="H400" s="149"/>
      <c r="I400" s="104"/>
      <c r="J400" s="104"/>
      <c r="K400" s="104"/>
      <c r="L400" s="145" t="s">
        <v>2916</v>
      </c>
      <c r="M400" s="145"/>
      <c r="N400" s="145"/>
      <c r="O400" s="100"/>
      <c r="P400" s="100"/>
      <c r="Q400" s="101"/>
      <c r="R400" s="93" t="s">
        <v>2982</v>
      </c>
      <c r="S400" s="93"/>
      <c r="T400" s="93"/>
      <c r="U400" s="94"/>
    </row>
    <row r="401" spans="1:21" x14ac:dyDescent="0.4">
      <c r="A401" s="86">
        <f t="shared" si="6"/>
        <v>397</v>
      </c>
      <c r="B401" s="92"/>
      <c r="C401" s="190"/>
      <c r="D401" s="164"/>
      <c r="E401" s="103"/>
      <c r="F401" s="103"/>
      <c r="G401" s="103"/>
      <c r="H401" s="149"/>
      <c r="I401" s="104"/>
      <c r="J401" s="109" t="s">
        <v>1842</v>
      </c>
      <c r="K401" s="100"/>
      <c r="L401" s="145"/>
      <c r="M401" s="145"/>
      <c r="N401" s="145"/>
      <c r="O401" s="100"/>
      <c r="P401" s="100"/>
      <c r="Q401" s="101"/>
      <c r="R401" s="93" t="s">
        <v>1239</v>
      </c>
      <c r="S401" s="93"/>
      <c r="T401" s="93"/>
      <c r="U401" s="94"/>
    </row>
    <row r="402" spans="1:21" x14ac:dyDescent="0.4">
      <c r="A402" s="86">
        <f t="shared" si="6"/>
        <v>398</v>
      </c>
      <c r="B402" s="92"/>
      <c r="C402" s="190"/>
      <c r="D402" s="164"/>
      <c r="E402" s="103"/>
      <c r="F402" s="103"/>
      <c r="G402" s="103"/>
      <c r="H402" s="149"/>
      <c r="I402" s="104"/>
      <c r="J402" s="104"/>
      <c r="K402" s="70" t="s">
        <v>1813</v>
      </c>
      <c r="L402" s="145"/>
      <c r="M402" s="145"/>
      <c r="N402" s="145"/>
      <c r="O402" s="100"/>
      <c r="P402" s="100"/>
      <c r="Q402" s="101"/>
      <c r="R402" s="93" t="s">
        <v>36</v>
      </c>
      <c r="S402" s="93"/>
      <c r="T402" s="93"/>
      <c r="U402" s="94"/>
    </row>
    <row r="403" spans="1:21" x14ac:dyDescent="0.4">
      <c r="A403" s="86">
        <f t="shared" si="6"/>
        <v>399</v>
      </c>
      <c r="B403" s="92"/>
      <c r="C403" s="190"/>
      <c r="D403" s="164"/>
      <c r="E403" s="103"/>
      <c r="F403" s="103"/>
      <c r="G403" s="103"/>
      <c r="H403" s="149"/>
      <c r="I403" s="104"/>
      <c r="J403" s="104"/>
      <c r="K403" s="104"/>
      <c r="L403" s="145" t="s">
        <v>2916</v>
      </c>
      <c r="M403" s="145"/>
      <c r="N403" s="145"/>
      <c r="O403" s="100"/>
      <c r="P403" s="100"/>
      <c r="Q403" s="101"/>
      <c r="R403" s="93" t="s">
        <v>2982</v>
      </c>
      <c r="S403" s="93"/>
      <c r="T403" s="93"/>
      <c r="U403" s="94"/>
    </row>
    <row r="404" spans="1:21" x14ac:dyDescent="0.4">
      <c r="A404" s="86">
        <f t="shared" si="6"/>
        <v>400</v>
      </c>
      <c r="B404" s="92"/>
      <c r="C404" s="190"/>
      <c r="D404" s="164"/>
      <c r="E404" s="103"/>
      <c r="F404" s="103"/>
      <c r="G404" s="103"/>
      <c r="H404" s="149"/>
      <c r="I404" s="104"/>
      <c r="J404" s="104"/>
      <c r="K404" s="108"/>
      <c r="L404" s="145" t="s">
        <v>1815</v>
      </c>
      <c r="M404" s="145"/>
      <c r="N404" s="145"/>
      <c r="O404" s="100"/>
      <c r="P404" s="100"/>
      <c r="Q404" s="101"/>
      <c r="R404" s="93" t="s">
        <v>36</v>
      </c>
      <c r="S404" s="93"/>
      <c r="T404" s="93"/>
      <c r="U404" s="94"/>
    </row>
    <row r="405" spans="1:21" x14ac:dyDescent="0.4">
      <c r="A405" s="86">
        <f t="shared" si="6"/>
        <v>401</v>
      </c>
      <c r="B405" s="92"/>
      <c r="C405" s="190"/>
      <c r="D405" s="164"/>
      <c r="E405" s="103"/>
      <c r="F405" s="103"/>
      <c r="G405" s="103"/>
      <c r="H405" s="149"/>
      <c r="I405" s="104"/>
      <c r="J405" s="109" t="s">
        <v>1843</v>
      </c>
      <c r="K405" s="100"/>
      <c r="L405" s="145"/>
      <c r="M405" s="145"/>
      <c r="N405" s="145"/>
      <c r="O405" s="100"/>
      <c r="P405" s="100"/>
      <c r="Q405" s="101"/>
      <c r="R405" s="93" t="s">
        <v>1239</v>
      </c>
      <c r="S405" s="93"/>
      <c r="T405" s="93"/>
      <c r="U405" s="94"/>
    </row>
    <row r="406" spans="1:21" x14ac:dyDescent="0.4">
      <c r="A406" s="86">
        <f t="shared" si="6"/>
        <v>402</v>
      </c>
      <c r="B406" s="92"/>
      <c r="C406" s="190"/>
      <c r="D406" s="164"/>
      <c r="E406" s="103"/>
      <c r="F406" s="103"/>
      <c r="G406" s="103"/>
      <c r="H406" s="149"/>
      <c r="I406" s="104"/>
      <c r="J406" s="104"/>
      <c r="K406" s="70" t="s">
        <v>1813</v>
      </c>
      <c r="L406" s="145"/>
      <c r="M406" s="145"/>
      <c r="N406" s="145"/>
      <c r="O406" s="100"/>
      <c r="P406" s="100"/>
      <c r="Q406" s="101"/>
      <c r="R406" s="93" t="s">
        <v>36</v>
      </c>
      <c r="S406" s="93"/>
      <c r="T406" s="93"/>
      <c r="U406" s="94"/>
    </row>
    <row r="407" spans="1:21" x14ac:dyDescent="0.4">
      <c r="A407" s="86">
        <f t="shared" si="6"/>
        <v>403</v>
      </c>
      <c r="B407" s="92"/>
      <c r="C407" s="190"/>
      <c r="D407" s="164"/>
      <c r="E407" s="103"/>
      <c r="F407" s="103"/>
      <c r="G407" s="103"/>
      <c r="H407" s="149"/>
      <c r="I407" s="104"/>
      <c r="J407" s="104"/>
      <c r="K407" s="104"/>
      <c r="L407" s="145" t="s">
        <v>2916</v>
      </c>
      <c r="M407" s="145"/>
      <c r="N407" s="145"/>
      <c r="O407" s="100"/>
      <c r="P407" s="100"/>
      <c r="Q407" s="101"/>
      <c r="R407" s="93" t="s">
        <v>2982</v>
      </c>
      <c r="S407" s="93"/>
      <c r="T407" s="93"/>
      <c r="U407" s="94"/>
    </row>
    <row r="408" spans="1:21" x14ac:dyDescent="0.4">
      <c r="A408" s="86">
        <f t="shared" si="6"/>
        <v>404</v>
      </c>
      <c r="B408" s="92"/>
      <c r="C408" s="190"/>
      <c r="D408" s="164"/>
      <c r="E408" s="103"/>
      <c r="F408" s="103"/>
      <c r="G408" s="103"/>
      <c r="H408" s="149"/>
      <c r="I408" s="108"/>
      <c r="J408" s="108"/>
      <c r="K408" s="108"/>
      <c r="L408" s="145" t="s">
        <v>1815</v>
      </c>
      <c r="M408" s="145"/>
      <c r="N408" s="145"/>
      <c r="O408" s="100"/>
      <c r="P408" s="100"/>
      <c r="Q408" s="101"/>
      <c r="R408" s="93" t="s">
        <v>36</v>
      </c>
      <c r="S408" s="93"/>
      <c r="T408" s="93"/>
      <c r="U408" s="94"/>
    </row>
    <row r="409" spans="1:21" x14ac:dyDescent="0.4">
      <c r="A409" s="86">
        <f t="shared" si="6"/>
        <v>405</v>
      </c>
      <c r="B409" s="92"/>
      <c r="C409" s="190"/>
      <c r="D409" s="164"/>
      <c r="E409" s="103"/>
      <c r="F409" s="103"/>
      <c r="G409" s="103"/>
      <c r="H409" s="149"/>
      <c r="I409" s="70" t="s">
        <v>1844</v>
      </c>
      <c r="J409" s="145"/>
      <c r="K409" s="145"/>
      <c r="L409" s="145"/>
      <c r="M409" s="145"/>
      <c r="N409" s="145"/>
      <c r="O409" s="100"/>
      <c r="P409" s="100"/>
      <c r="Q409" s="101"/>
      <c r="R409" s="93" t="s">
        <v>1239</v>
      </c>
      <c r="S409" s="93"/>
      <c r="T409" s="93"/>
      <c r="U409" s="94"/>
    </row>
    <row r="410" spans="1:21" x14ac:dyDescent="0.4">
      <c r="A410" s="86">
        <f t="shared" si="6"/>
        <v>406</v>
      </c>
      <c r="B410" s="92"/>
      <c r="C410" s="190"/>
      <c r="D410" s="164"/>
      <c r="E410" s="103"/>
      <c r="F410" s="103"/>
      <c r="G410" s="103"/>
      <c r="H410" s="149"/>
      <c r="I410" s="104"/>
      <c r="J410" s="70" t="s">
        <v>1812</v>
      </c>
      <c r="K410" s="145"/>
      <c r="L410" s="145"/>
      <c r="M410" s="145"/>
      <c r="N410" s="145"/>
      <c r="O410" s="100"/>
      <c r="P410" s="100"/>
      <c r="Q410" s="101"/>
      <c r="R410" s="93" t="s">
        <v>1239</v>
      </c>
      <c r="S410" s="93"/>
      <c r="T410" s="93"/>
      <c r="U410" s="94"/>
    </row>
    <row r="411" spans="1:21" x14ac:dyDescent="0.4">
      <c r="A411" s="86">
        <f t="shared" si="6"/>
        <v>407</v>
      </c>
      <c r="B411" s="92"/>
      <c r="C411" s="190"/>
      <c r="D411" s="164"/>
      <c r="E411" s="103"/>
      <c r="F411" s="103"/>
      <c r="G411" s="103"/>
      <c r="H411" s="149"/>
      <c r="I411" s="104"/>
      <c r="J411" s="104"/>
      <c r="K411" s="70" t="s">
        <v>1813</v>
      </c>
      <c r="L411" s="145"/>
      <c r="M411" s="145"/>
      <c r="N411" s="145"/>
      <c r="O411" s="100"/>
      <c r="P411" s="100"/>
      <c r="Q411" s="101"/>
      <c r="R411" s="93" t="s">
        <v>36</v>
      </c>
      <c r="S411" s="93"/>
      <c r="T411" s="93"/>
      <c r="U411" s="94"/>
    </row>
    <row r="412" spans="1:21" x14ac:dyDescent="0.4">
      <c r="A412" s="86">
        <f t="shared" si="6"/>
        <v>408</v>
      </c>
      <c r="B412" s="92"/>
      <c r="C412" s="190"/>
      <c r="D412" s="164"/>
      <c r="E412" s="103"/>
      <c r="F412" s="103"/>
      <c r="G412" s="103"/>
      <c r="H412" s="149"/>
      <c r="I412" s="104"/>
      <c r="J412" s="104"/>
      <c r="K412" s="104"/>
      <c r="L412" s="145" t="s">
        <v>2916</v>
      </c>
      <c r="M412" s="145"/>
      <c r="N412" s="145"/>
      <c r="O412" s="100"/>
      <c r="P412" s="100"/>
      <c r="Q412" s="101"/>
      <c r="R412" s="93" t="s">
        <v>2982</v>
      </c>
      <c r="S412" s="93"/>
      <c r="T412" s="93"/>
      <c r="U412" s="94"/>
    </row>
    <row r="413" spans="1:21" x14ac:dyDescent="0.4">
      <c r="A413" s="86">
        <f t="shared" si="6"/>
        <v>409</v>
      </c>
      <c r="B413" s="92"/>
      <c r="C413" s="190"/>
      <c r="D413" s="164"/>
      <c r="E413" s="103"/>
      <c r="F413" s="103"/>
      <c r="G413" s="103"/>
      <c r="H413" s="149"/>
      <c r="I413" s="104"/>
      <c r="J413" s="104"/>
      <c r="K413" s="104"/>
      <c r="L413" s="145" t="s">
        <v>1814</v>
      </c>
      <c r="M413" s="145"/>
      <c r="N413" s="145"/>
      <c r="O413" s="100"/>
      <c r="P413" s="100"/>
      <c r="Q413" s="101"/>
      <c r="R413" s="93" t="s">
        <v>36</v>
      </c>
      <c r="S413" s="93"/>
      <c r="T413" s="93"/>
      <c r="U413" s="94"/>
    </row>
    <row r="414" spans="1:21" x14ac:dyDescent="0.4">
      <c r="A414" s="86">
        <f t="shared" si="6"/>
        <v>410</v>
      </c>
      <c r="B414" s="92"/>
      <c r="C414" s="190"/>
      <c r="D414" s="164"/>
      <c r="E414" s="103"/>
      <c r="F414" s="103"/>
      <c r="G414" s="103"/>
      <c r="H414" s="149"/>
      <c r="I414" s="104"/>
      <c r="J414" s="104"/>
      <c r="K414" s="108"/>
      <c r="L414" s="145" t="s">
        <v>1815</v>
      </c>
      <c r="M414" s="145"/>
      <c r="N414" s="145"/>
      <c r="O414" s="100"/>
      <c r="P414" s="100"/>
      <c r="Q414" s="101"/>
      <c r="R414" s="93" t="s">
        <v>36</v>
      </c>
      <c r="S414" s="93"/>
      <c r="T414" s="93"/>
      <c r="U414" s="94"/>
    </row>
    <row r="415" spans="1:21" x14ac:dyDescent="0.4">
      <c r="A415" s="86">
        <f t="shared" si="6"/>
        <v>411</v>
      </c>
      <c r="B415" s="92"/>
      <c r="C415" s="190"/>
      <c r="D415" s="164"/>
      <c r="E415" s="103"/>
      <c r="F415" s="103"/>
      <c r="G415" s="103"/>
      <c r="H415" s="149"/>
      <c r="I415" s="104"/>
      <c r="J415" s="109" t="s">
        <v>1816</v>
      </c>
      <c r="K415" s="145"/>
      <c r="L415" s="145"/>
      <c r="M415" s="145"/>
      <c r="N415" s="145"/>
      <c r="O415" s="100"/>
      <c r="P415" s="100"/>
      <c r="Q415" s="101"/>
      <c r="R415" s="93" t="s">
        <v>1239</v>
      </c>
      <c r="S415" s="93"/>
      <c r="T415" s="93"/>
      <c r="U415" s="94"/>
    </row>
    <row r="416" spans="1:21" x14ac:dyDescent="0.4">
      <c r="A416" s="86">
        <f t="shared" si="6"/>
        <v>412</v>
      </c>
      <c r="B416" s="92"/>
      <c r="C416" s="190"/>
      <c r="D416" s="164"/>
      <c r="E416" s="103"/>
      <c r="F416" s="103"/>
      <c r="G416" s="103"/>
      <c r="H416" s="149"/>
      <c r="I416" s="104"/>
      <c r="J416" s="104"/>
      <c r="K416" s="70" t="s">
        <v>1813</v>
      </c>
      <c r="L416" s="145"/>
      <c r="M416" s="145"/>
      <c r="N416" s="145"/>
      <c r="O416" s="100"/>
      <c r="P416" s="100"/>
      <c r="Q416" s="101"/>
      <c r="R416" s="93" t="s">
        <v>36</v>
      </c>
      <c r="S416" s="93"/>
      <c r="T416" s="93"/>
      <c r="U416" s="94"/>
    </row>
    <row r="417" spans="1:21" x14ac:dyDescent="0.4">
      <c r="A417" s="86">
        <f t="shared" si="6"/>
        <v>413</v>
      </c>
      <c r="B417" s="92"/>
      <c r="C417" s="190"/>
      <c r="D417" s="164"/>
      <c r="E417" s="103"/>
      <c r="F417" s="103"/>
      <c r="G417" s="103"/>
      <c r="H417" s="149"/>
      <c r="I417" s="104"/>
      <c r="J417" s="104"/>
      <c r="K417" s="104"/>
      <c r="L417" s="145" t="s">
        <v>2916</v>
      </c>
      <c r="M417" s="145"/>
      <c r="N417" s="145"/>
      <c r="O417" s="100"/>
      <c r="P417" s="100"/>
      <c r="Q417" s="101"/>
      <c r="R417" s="93" t="s">
        <v>2982</v>
      </c>
      <c r="S417" s="93"/>
      <c r="T417" s="93"/>
      <c r="U417" s="94"/>
    </row>
    <row r="418" spans="1:21" x14ac:dyDescent="0.4">
      <c r="A418" s="86">
        <f t="shared" si="6"/>
        <v>414</v>
      </c>
      <c r="B418" s="92"/>
      <c r="C418" s="190"/>
      <c r="D418" s="164"/>
      <c r="E418" s="103"/>
      <c r="F418" s="103"/>
      <c r="G418" s="103"/>
      <c r="H418" s="149"/>
      <c r="I418" s="104"/>
      <c r="J418" s="104"/>
      <c r="K418" s="108"/>
      <c r="L418" s="145" t="s">
        <v>1815</v>
      </c>
      <c r="M418" s="145"/>
      <c r="N418" s="145"/>
      <c r="O418" s="100"/>
      <c r="P418" s="100"/>
      <c r="Q418" s="101"/>
      <c r="R418" s="93" t="s">
        <v>36</v>
      </c>
      <c r="S418" s="93"/>
      <c r="T418" s="93"/>
      <c r="U418" s="94"/>
    </row>
    <row r="419" spans="1:21" x14ac:dyDescent="0.4">
      <c r="A419" s="86">
        <f t="shared" si="6"/>
        <v>415</v>
      </c>
      <c r="B419" s="92"/>
      <c r="C419" s="190"/>
      <c r="D419" s="164"/>
      <c r="E419" s="103"/>
      <c r="F419" s="103"/>
      <c r="G419" s="103"/>
      <c r="H419" s="149"/>
      <c r="I419" s="104"/>
      <c r="J419" s="109" t="s">
        <v>1817</v>
      </c>
      <c r="K419" s="145"/>
      <c r="L419" s="145"/>
      <c r="M419" s="145"/>
      <c r="N419" s="145"/>
      <c r="O419" s="100"/>
      <c r="P419" s="100"/>
      <c r="Q419" s="101"/>
      <c r="R419" s="93" t="s">
        <v>1239</v>
      </c>
      <c r="S419" s="93"/>
      <c r="T419" s="93"/>
      <c r="U419" s="94"/>
    </row>
    <row r="420" spans="1:21" x14ac:dyDescent="0.4">
      <c r="A420" s="86">
        <f t="shared" si="6"/>
        <v>416</v>
      </c>
      <c r="B420" s="92"/>
      <c r="C420" s="190"/>
      <c r="D420" s="164"/>
      <c r="E420" s="103"/>
      <c r="F420" s="103"/>
      <c r="G420" s="103"/>
      <c r="H420" s="149"/>
      <c r="I420" s="104"/>
      <c r="J420" s="104"/>
      <c r="K420" s="70" t="s">
        <v>1813</v>
      </c>
      <c r="L420" s="145"/>
      <c r="M420" s="145"/>
      <c r="N420" s="145"/>
      <c r="O420" s="100"/>
      <c r="P420" s="100"/>
      <c r="Q420" s="101"/>
      <c r="R420" s="93" t="s">
        <v>36</v>
      </c>
      <c r="S420" s="93"/>
      <c r="T420" s="93"/>
      <c r="U420" s="94"/>
    </row>
    <row r="421" spans="1:21" x14ac:dyDescent="0.4">
      <c r="A421" s="86">
        <f t="shared" si="6"/>
        <v>417</v>
      </c>
      <c r="B421" s="92"/>
      <c r="C421" s="190"/>
      <c r="D421" s="164"/>
      <c r="E421" s="103"/>
      <c r="F421" s="103"/>
      <c r="G421" s="103"/>
      <c r="H421" s="149"/>
      <c r="I421" s="104"/>
      <c r="J421" s="104"/>
      <c r="K421" s="104"/>
      <c r="L421" s="145" t="s">
        <v>2916</v>
      </c>
      <c r="M421" s="145"/>
      <c r="N421" s="145"/>
      <c r="O421" s="100"/>
      <c r="P421" s="100"/>
      <c r="Q421" s="101"/>
      <c r="R421" s="93" t="s">
        <v>2982</v>
      </c>
      <c r="S421" s="93"/>
      <c r="T421" s="93"/>
      <c r="U421" s="94"/>
    </row>
    <row r="422" spans="1:21" x14ac:dyDescent="0.4">
      <c r="A422" s="86">
        <f t="shared" si="6"/>
        <v>418</v>
      </c>
      <c r="B422" s="92"/>
      <c r="C422" s="190"/>
      <c r="D422" s="164"/>
      <c r="E422" s="103"/>
      <c r="F422" s="103"/>
      <c r="G422" s="103"/>
      <c r="H422" s="149"/>
      <c r="I422" s="104"/>
      <c r="J422" s="104"/>
      <c r="K422" s="108"/>
      <c r="L422" s="145" t="s">
        <v>1815</v>
      </c>
      <c r="M422" s="145"/>
      <c r="N422" s="145"/>
      <c r="O422" s="100"/>
      <c r="P422" s="100"/>
      <c r="Q422" s="101"/>
      <c r="R422" s="93" t="s">
        <v>36</v>
      </c>
      <c r="S422" s="93"/>
      <c r="T422" s="93"/>
      <c r="U422" s="94"/>
    </row>
    <row r="423" spans="1:21" x14ac:dyDescent="0.4">
      <c r="A423" s="86">
        <f t="shared" si="6"/>
        <v>419</v>
      </c>
      <c r="B423" s="92"/>
      <c r="C423" s="190"/>
      <c r="D423" s="164"/>
      <c r="E423" s="103"/>
      <c r="F423" s="103"/>
      <c r="G423" s="103"/>
      <c r="H423" s="149"/>
      <c r="I423" s="104"/>
      <c r="J423" s="109" t="s">
        <v>1818</v>
      </c>
      <c r="K423" s="145"/>
      <c r="L423" s="145"/>
      <c r="M423" s="145"/>
      <c r="N423" s="145"/>
      <c r="O423" s="100"/>
      <c r="P423" s="100"/>
      <c r="Q423" s="101"/>
      <c r="R423" s="93" t="s">
        <v>1239</v>
      </c>
      <c r="S423" s="93"/>
      <c r="T423" s="93"/>
      <c r="U423" s="94"/>
    </row>
    <row r="424" spans="1:21" x14ac:dyDescent="0.4">
      <c r="A424" s="86">
        <f t="shared" si="6"/>
        <v>420</v>
      </c>
      <c r="B424" s="92"/>
      <c r="C424" s="190"/>
      <c r="D424" s="164"/>
      <c r="E424" s="103"/>
      <c r="F424" s="103"/>
      <c r="G424" s="103"/>
      <c r="H424" s="149"/>
      <c r="I424" s="104"/>
      <c r="J424" s="104"/>
      <c r="K424" s="70" t="s">
        <v>1813</v>
      </c>
      <c r="L424" s="145"/>
      <c r="M424" s="145"/>
      <c r="N424" s="145"/>
      <c r="O424" s="100"/>
      <c r="P424" s="100"/>
      <c r="Q424" s="101"/>
      <c r="R424" s="93" t="s">
        <v>36</v>
      </c>
      <c r="S424" s="93"/>
      <c r="T424" s="93"/>
      <c r="U424" s="94"/>
    </row>
    <row r="425" spans="1:21" x14ac:dyDescent="0.4">
      <c r="A425" s="86">
        <f t="shared" si="6"/>
        <v>421</v>
      </c>
      <c r="B425" s="92"/>
      <c r="C425" s="190"/>
      <c r="D425" s="164"/>
      <c r="E425" s="103"/>
      <c r="F425" s="103"/>
      <c r="G425" s="103"/>
      <c r="H425" s="149"/>
      <c r="I425" s="104"/>
      <c r="J425" s="104"/>
      <c r="K425" s="104"/>
      <c r="L425" s="145" t="s">
        <v>2916</v>
      </c>
      <c r="M425" s="145"/>
      <c r="N425" s="145"/>
      <c r="O425" s="100"/>
      <c r="P425" s="100"/>
      <c r="Q425" s="101"/>
      <c r="R425" s="93" t="s">
        <v>2982</v>
      </c>
      <c r="S425" s="93"/>
      <c r="T425" s="93"/>
      <c r="U425" s="94"/>
    </row>
    <row r="426" spans="1:21" x14ac:dyDescent="0.4">
      <c r="A426" s="86">
        <f t="shared" si="6"/>
        <v>422</v>
      </c>
      <c r="B426" s="92"/>
      <c r="C426" s="190"/>
      <c r="D426" s="164"/>
      <c r="E426" s="103"/>
      <c r="F426" s="103"/>
      <c r="G426" s="103"/>
      <c r="H426" s="149"/>
      <c r="I426" s="104"/>
      <c r="J426" s="104"/>
      <c r="K426" s="108"/>
      <c r="L426" s="145" t="s">
        <v>1815</v>
      </c>
      <c r="M426" s="145"/>
      <c r="N426" s="145"/>
      <c r="O426" s="100"/>
      <c r="P426" s="100"/>
      <c r="Q426" s="101"/>
      <c r="R426" s="93" t="s">
        <v>36</v>
      </c>
      <c r="S426" s="93"/>
      <c r="T426" s="93"/>
      <c r="U426" s="94"/>
    </row>
    <row r="427" spans="1:21" x14ac:dyDescent="0.4">
      <c r="A427" s="86">
        <f t="shared" si="6"/>
        <v>423</v>
      </c>
      <c r="B427" s="92"/>
      <c r="C427" s="190"/>
      <c r="D427" s="164"/>
      <c r="E427" s="103"/>
      <c r="F427" s="103"/>
      <c r="G427" s="103"/>
      <c r="H427" s="149"/>
      <c r="I427" s="104"/>
      <c r="J427" s="109" t="s">
        <v>1819</v>
      </c>
      <c r="K427" s="145"/>
      <c r="L427" s="145"/>
      <c r="M427" s="145"/>
      <c r="N427" s="145"/>
      <c r="O427" s="100"/>
      <c r="P427" s="100"/>
      <c r="Q427" s="101"/>
      <c r="R427" s="93" t="s">
        <v>1239</v>
      </c>
      <c r="S427" s="93"/>
      <c r="T427" s="93"/>
      <c r="U427" s="94"/>
    </row>
    <row r="428" spans="1:21" x14ac:dyDescent="0.4">
      <c r="A428" s="86">
        <f t="shared" si="6"/>
        <v>424</v>
      </c>
      <c r="B428" s="92"/>
      <c r="C428" s="190"/>
      <c r="D428" s="164"/>
      <c r="E428" s="103"/>
      <c r="F428" s="103"/>
      <c r="G428" s="103"/>
      <c r="H428" s="149"/>
      <c r="I428" s="104"/>
      <c r="J428" s="104"/>
      <c r="K428" s="70" t="s">
        <v>1813</v>
      </c>
      <c r="L428" s="145"/>
      <c r="M428" s="145"/>
      <c r="N428" s="145"/>
      <c r="O428" s="100"/>
      <c r="P428" s="100"/>
      <c r="Q428" s="101"/>
      <c r="R428" s="93" t="s">
        <v>36</v>
      </c>
      <c r="S428" s="93"/>
      <c r="T428" s="93"/>
      <c r="U428" s="94"/>
    </row>
    <row r="429" spans="1:21" x14ac:dyDescent="0.4">
      <c r="A429" s="86">
        <f t="shared" si="6"/>
        <v>425</v>
      </c>
      <c r="B429" s="92"/>
      <c r="C429" s="190"/>
      <c r="D429" s="164"/>
      <c r="E429" s="103"/>
      <c r="F429" s="103"/>
      <c r="G429" s="103"/>
      <c r="H429" s="149"/>
      <c r="I429" s="104"/>
      <c r="J429" s="104"/>
      <c r="K429" s="104"/>
      <c r="L429" s="145" t="s">
        <v>2916</v>
      </c>
      <c r="M429" s="145"/>
      <c r="N429" s="145"/>
      <c r="O429" s="100"/>
      <c r="P429" s="100"/>
      <c r="Q429" s="101"/>
      <c r="R429" s="93" t="s">
        <v>2982</v>
      </c>
      <c r="S429" s="93"/>
      <c r="T429" s="93"/>
      <c r="U429" s="94"/>
    </row>
    <row r="430" spans="1:21" x14ac:dyDescent="0.4">
      <c r="A430" s="86">
        <f t="shared" si="6"/>
        <v>426</v>
      </c>
      <c r="B430" s="92"/>
      <c r="C430" s="190"/>
      <c r="D430" s="164"/>
      <c r="E430" s="103"/>
      <c r="F430" s="103"/>
      <c r="G430" s="103"/>
      <c r="H430" s="149"/>
      <c r="I430" s="104"/>
      <c r="J430" s="104"/>
      <c r="K430" s="104"/>
      <c r="L430" s="145" t="s">
        <v>1820</v>
      </c>
      <c r="M430" s="145"/>
      <c r="N430" s="145"/>
      <c r="O430" s="100"/>
      <c r="P430" s="100"/>
      <c r="Q430" s="101"/>
      <c r="R430" s="93" t="s">
        <v>36</v>
      </c>
      <c r="S430" s="93"/>
      <c r="T430" s="93"/>
      <c r="U430" s="94"/>
    </row>
    <row r="431" spans="1:21" x14ac:dyDescent="0.4">
      <c r="A431" s="86">
        <f t="shared" si="6"/>
        <v>427</v>
      </c>
      <c r="B431" s="92"/>
      <c r="C431" s="190"/>
      <c r="D431" s="164"/>
      <c r="E431" s="103"/>
      <c r="F431" s="103"/>
      <c r="G431" s="103"/>
      <c r="H431" s="149"/>
      <c r="I431" s="104"/>
      <c r="J431" s="104"/>
      <c r="K431" s="108"/>
      <c r="L431" s="145" t="s">
        <v>1815</v>
      </c>
      <c r="M431" s="145"/>
      <c r="N431" s="145"/>
      <c r="O431" s="100"/>
      <c r="P431" s="100"/>
      <c r="Q431" s="101"/>
      <c r="R431" s="93" t="s">
        <v>36</v>
      </c>
      <c r="S431" s="93"/>
      <c r="T431" s="93"/>
      <c r="U431" s="94"/>
    </row>
    <row r="432" spans="1:21" x14ac:dyDescent="0.4">
      <c r="A432" s="86">
        <f t="shared" si="6"/>
        <v>428</v>
      </c>
      <c r="B432" s="92"/>
      <c r="C432" s="190"/>
      <c r="D432" s="164"/>
      <c r="E432" s="103"/>
      <c r="F432" s="103"/>
      <c r="G432" s="103"/>
      <c r="H432" s="149"/>
      <c r="I432" s="104"/>
      <c r="J432" s="109" t="s">
        <v>1821</v>
      </c>
      <c r="K432" s="145"/>
      <c r="L432" s="145"/>
      <c r="M432" s="145"/>
      <c r="N432" s="145"/>
      <c r="O432" s="100"/>
      <c r="P432" s="100"/>
      <c r="Q432" s="101"/>
      <c r="R432" s="93" t="s">
        <v>1239</v>
      </c>
      <c r="S432" s="93"/>
      <c r="T432" s="93"/>
      <c r="U432" s="94"/>
    </row>
    <row r="433" spans="1:21" x14ac:dyDescent="0.4">
      <c r="A433" s="86">
        <f t="shared" si="6"/>
        <v>429</v>
      </c>
      <c r="B433" s="92"/>
      <c r="C433" s="190"/>
      <c r="D433" s="164"/>
      <c r="E433" s="103"/>
      <c r="F433" s="103"/>
      <c r="G433" s="103"/>
      <c r="H433" s="149"/>
      <c r="I433" s="104"/>
      <c r="J433" s="104"/>
      <c r="K433" s="70" t="s">
        <v>1813</v>
      </c>
      <c r="L433" s="145"/>
      <c r="M433" s="145"/>
      <c r="N433" s="145"/>
      <c r="O433" s="100"/>
      <c r="P433" s="100"/>
      <c r="Q433" s="101"/>
      <c r="R433" s="93" t="s">
        <v>36</v>
      </c>
      <c r="S433" s="93"/>
      <c r="T433" s="93"/>
      <c r="U433" s="94"/>
    </row>
    <row r="434" spans="1:21" x14ac:dyDescent="0.4">
      <c r="A434" s="86">
        <f t="shared" si="6"/>
        <v>430</v>
      </c>
      <c r="B434" s="92"/>
      <c r="C434" s="190"/>
      <c r="D434" s="164"/>
      <c r="E434" s="103"/>
      <c r="F434" s="103"/>
      <c r="G434" s="103"/>
      <c r="H434" s="149"/>
      <c r="I434" s="104"/>
      <c r="J434" s="104"/>
      <c r="K434" s="104"/>
      <c r="L434" s="145" t="s">
        <v>2916</v>
      </c>
      <c r="M434" s="145"/>
      <c r="N434" s="145"/>
      <c r="O434" s="100"/>
      <c r="P434" s="100"/>
      <c r="Q434" s="101"/>
      <c r="R434" s="93" t="s">
        <v>2982</v>
      </c>
      <c r="S434" s="93"/>
      <c r="T434" s="93"/>
      <c r="U434" s="94"/>
    </row>
    <row r="435" spans="1:21" x14ac:dyDescent="0.4">
      <c r="A435" s="86">
        <f t="shared" si="6"/>
        <v>431</v>
      </c>
      <c r="B435" s="92"/>
      <c r="C435" s="190"/>
      <c r="D435" s="164"/>
      <c r="E435" s="103"/>
      <c r="F435" s="103"/>
      <c r="G435" s="103"/>
      <c r="H435" s="149"/>
      <c r="I435" s="104"/>
      <c r="J435" s="104"/>
      <c r="K435" s="108"/>
      <c r="L435" s="145" t="s">
        <v>1822</v>
      </c>
      <c r="M435" s="145"/>
      <c r="N435" s="145"/>
      <c r="O435" s="100"/>
      <c r="P435" s="100"/>
      <c r="Q435" s="101"/>
      <c r="R435" s="93" t="s">
        <v>36</v>
      </c>
      <c r="S435" s="93"/>
      <c r="T435" s="93"/>
      <c r="U435" s="94"/>
    </row>
    <row r="436" spans="1:21" x14ac:dyDescent="0.4">
      <c r="A436" s="86">
        <f t="shared" si="6"/>
        <v>432</v>
      </c>
      <c r="B436" s="92"/>
      <c r="C436" s="190"/>
      <c r="D436" s="164"/>
      <c r="E436" s="103"/>
      <c r="F436" s="103"/>
      <c r="G436" s="103"/>
      <c r="H436" s="149"/>
      <c r="I436" s="104"/>
      <c r="J436" s="109" t="s">
        <v>1823</v>
      </c>
      <c r="K436" s="145"/>
      <c r="L436" s="145"/>
      <c r="M436" s="145"/>
      <c r="N436" s="145"/>
      <c r="O436" s="100"/>
      <c r="P436" s="100"/>
      <c r="Q436" s="101"/>
      <c r="R436" s="93" t="s">
        <v>1239</v>
      </c>
      <c r="S436" s="93"/>
      <c r="T436" s="93"/>
      <c r="U436" s="94"/>
    </row>
    <row r="437" spans="1:21" x14ac:dyDescent="0.4">
      <c r="A437" s="86">
        <f t="shared" si="6"/>
        <v>433</v>
      </c>
      <c r="B437" s="92"/>
      <c r="C437" s="190"/>
      <c r="D437" s="164"/>
      <c r="E437" s="103"/>
      <c r="F437" s="103"/>
      <c r="G437" s="103"/>
      <c r="H437" s="149"/>
      <c r="I437" s="104"/>
      <c r="J437" s="104"/>
      <c r="K437" s="70" t="s">
        <v>1813</v>
      </c>
      <c r="L437" s="145"/>
      <c r="M437" s="145"/>
      <c r="N437" s="145"/>
      <c r="O437" s="100"/>
      <c r="P437" s="100"/>
      <c r="Q437" s="101"/>
      <c r="R437" s="93" t="s">
        <v>36</v>
      </c>
      <c r="S437" s="93"/>
      <c r="T437" s="93"/>
      <c r="U437" s="94"/>
    </row>
    <row r="438" spans="1:21" x14ac:dyDescent="0.4">
      <c r="A438" s="86">
        <f t="shared" si="6"/>
        <v>434</v>
      </c>
      <c r="B438" s="92"/>
      <c r="C438" s="190"/>
      <c r="D438" s="164"/>
      <c r="E438" s="103"/>
      <c r="F438" s="103"/>
      <c r="G438" s="103"/>
      <c r="H438" s="149"/>
      <c r="I438" s="104"/>
      <c r="J438" s="104"/>
      <c r="K438" s="104"/>
      <c r="L438" s="145" t="s">
        <v>2916</v>
      </c>
      <c r="M438" s="145"/>
      <c r="N438" s="145"/>
      <c r="O438" s="100"/>
      <c r="P438" s="100"/>
      <c r="Q438" s="101"/>
      <c r="R438" s="93" t="s">
        <v>2982</v>
      </c>
      <c r="S438" s="93"/>
      <c r="T438" s="93"/>
      <c r="U438" s="94"/>
    </row>
    <row r="439" spans="1:21" x14ac:dyDescent="0.4">
      <c r="A439" s="86">
        <f t="shared" si="6"/>
        <v>435</v>
      </c>
      <c r="B439" s="92"/>
      <c r="C439" s="190"/>
      <c r="D439" s="164"/>
      <c r="E439" s="103"/>
      <c r="F439" s="103"/>
      <c r="G439" s="103"/>
      <c r="H439" s="149"/>
      <c r="I439" s="104"/>
      <c r="J439" s="104"/>
      <c r="K439" s="108"/>
      <c r="L439" s="145" t="s">
        <v>1824</v>
      </c>
      <c r="M439" s="145"/>
      <c r="N439" s="145"/>
      <c r="O439" s="100"/>
      <c r="P439" s="100"/>
      <c r="Q439" s="101"/>
      <c r="R439" s="93" t="s">
        <v>36</v>
      </c>
      <c r="S439" s="93"/>
      <c r="T439" s="93"/>
      <c r="U439" s="94"/>
    </row>
    <row r="440" spans="1:21" x14ac:dyDescent="0.4">
      <c r="A440" s="86">
        <f t="shared" si="6"/>
        <v>436</v>
      </c>
      <c r="B440" s="92"/>
      <c r="C440" s="190"/>
      <c r="D440" s="164"/>
      <c r="E440" s="103"/>
      <c r="F440" s="103"/>
      <c r="G440" s="103"/>
      <c r="H440" s="149"/>
      <c r="I440" s="104"/>
      <c r="J440" s="109" t="s">
        <v>1825</v>
      </c>
      <c r="K440" s="145"/>
      <c r="L440" s="145"/>
      <c r="M440" s="145"/>
      <c r="N440" s="145"/>
      <c r="O440" s="100"/>
      <c r="P440" s="100"/>
      <c r="Q440" s="101"/>
      <c r="R440" s="93" t="s">
        <v>1239</v>
      </c>
      <c r="S440" s="93"/>
      <c r="T440" s="93"/>
      <c r="U440" s="94"/>
    </row>
    <row r="441" spans="1:21" x14ac:dyDescent="0.4">
      <c r="A441" s="86">
        <f t="shared" si="6"/>
        <v>437</v>
      </c>
      <c r="B441" s="92"/>
      <c r="C441" s="190"/>
      <c r="D441" s="164"/>
      <c r="E441" s="103"/>
      <c r="F441" s="103"/>
      <c r="G441" s="103"/>
      <c r="H441" s="149"/>
      <c r="I441" s="104"/>
      <c r="J441" s="104"/>
      <c r="K441" s="70" t="s">
        <v>1813</v>
      </c>
      <c r="L441" s="145"/>
      <c r="M441" s="145"/>
      <c r="N441" s="145"/>
      <c r="O441" s="100"/>
      <c r="P441" s="100"/>
      <c r="Q441" s="101"/>
      <c r="R441" s="93" t="s">
        <v>36</v>
      </c>
      <c r="S441" s="93"/>
      <c r="T441" s="93"/>
      <c r="U441" s="94"/>
    </row>
    <row r="442" spans="1:21" x14ac:dyDescent="0.4">
      <c r="A442" s="86">
        <f t="shared" si="6"/>
        <v>438</v>
      </c>
      <c r="B442" s="92"/>
      <c r="C442" s="190"/>
      <c r="D442" s="164"/>
      <c r="E442" s="103"/>
      <c r="F442" s="103"/>
      <c r="G442" s="103"/>
      <c r="H442" s="149"/>
      <c r="I442" s="104"/>
      <c r="J442" s="104"/>
      <c r="K442" s="104"/>
      <c r="L442" s="145" t="s">
        <v>2916</v>
      </c>
      <c r="M442" s="145"/>
      <c r="N442" s="145"/>
      <c r="O442" s="100"/>
      <c r="P442" s="100"/>
      <c r="Q442" s="101"/>
      <c r="R442" s="93" t="s">
        <v>2982</v>
      </c>
      <c r="S442" s="93"/>
      <c r="T442" s="93"/>
      <c r="U442" s="94"/>
    </row>
    <row r="443" spans="1:21" x14ac:dyDescent="0.4">
      <c r="A443" s="86">
        <f t="shared" si="6"/>
        <v>439</v>
      </c>
      <c r="B443" s="92"/>
      <c r="C443" s="190"/>
      <c r="D443" s="164"/>
      <c r="E443" s="103"/>
      <c r="F443" s="103"/>
      <c r="G443" s="103"/>
      <c r="H443" s="149"/>
      <c r="I443" s="104"/>
      <c r="J443" s="109" t="s">
        <v>1826</v>
      </c>
      <c r="K443" s="100"/>
      <c r="L443" s="145"/>
      <c r="M443" s="145"/>
      <c r="N443" s="145"/>
      <c r="O443" s="100"/>
      <c r="P443" s="100"/>
      <c r="Q443" s="101"/>
      <c r="R443" s="93" t="s">
        <v>1239</v>
      </c>
      <c r="S443" s="93"/>
      <c r="T443" s="93"/>
      <c r="U443" s="94"/>
    </row>
    <row r="444" spans="1:21" x14ac:dyDescent="0.4">
      <c r="A444" s="86">
        <f t="shared" si="6"/>
        <v>440</v>
      </c>
      <c r="B444" s="92"/>
      <c r="C444" s="190"/>
      <c r="D444" s="164"/>
      <c r="E444" s="103"/>
      <c r="F444" s="103"/>
      <c r="G444" s="103"/>
      <c r="H444" s="149"/>
      <c r="I444" s="104"/>
      <c r="J444" s="104"/>
      <c r="K444" s="70" t="s">
        <v>1813</v>
      </c>
      <c r="L444" s="145"/>
      <c r="M444" s="145"/>
      <c r="N444" s="145"/>
      <c r="O444" s="100"/>
      <c r="P444" s="100"/>
      <c r="Q444" s="101"/>
      <c r="R444" s="93" t="s">
        <v>36</v>
      </c>
      <c r="S444" s="93"/>
      <c r="T444" s="93"/>
      <c r="U444" s="94"/>
    </row>
    <row r="445" spans="1:21" x14ac:dyDescent="0.4">
      <c r="A445" s="86">
        <f t="shared" si="6"/>
        <v>441</v>
      </c>
      <c r="B445" s="92"/>
      <c r="C445" s="190"/>
      <c r="D445" s="164"/>
      <c r="E445" s="103"/>
      <c r="F445" s="103"/>
      <c r="G445" s="103"/>
      <c r="H445" s="149"/>
      <c r="I445" s="104"/>
      <c r="J445" s="104"/>
      <c r="K445" s="104"/>
      <c r="L445" s="145" t="s">
        <v>2916</v>
      </c>
      <c r="M445" s="145"/>
      <c r="N445" s="145"/>
      <c r="O445" s="100"/>
      <c r="P445" s="100"/>
      <c r="Q445" s="101"/>
      <c r="R445" s="93" t="s">
        <v>2982</v>
      </c>
      <c r="S445" s="93"/>
      <c r="T445" s="93"/>
      <c r="U445" s="94"/>
    </row>
    <row r="446" spans="1:21" x14ac:dyDescent="0.4">
      <c r="A446" s="86">
        <f t="shared" si="6"/>
        <v>442</v>
      </c>
      <c r="B446" s="92"/>
      <c r="C446" s="190"/>
      <c r="D446" s="164"/>
      <c r="E446" s="103"/>
      <c r="F446" s="103"/>
      <c r="G446" s="103"/>
      <c r="H446" s="149"/>
      <c r="I446" s="104"/>
      <c r="J446" s="104"/>
      <c r="K446" s="108"/>
      <c r="L446" s="145" t="s">
        <v>1815</v>
      </c>
      <c r="M446" s="145"/>
      <c r="N446" s="145"/>
      <c r="O446" s="100"/>
      <c r="P446" s="100"/>
      <c r="Q446" s="101"/>
      <c r="R446" s="93" t="s">
        <v>36</v>
      </c>
      <c r="S446" s="93"/>
      <c r="T446" s="93"/>
      <c r="U446" s="94"/>
    </row>
    <row r="447" spans="1:21" x14ac:dyDescent="0.4">
      <c r="A447" s="86">
        <f t="shared" si="6"/>
        <v>443</v>
      </c>
      <c r="B447" s="92"/>
      <c r="C447" s="190"/>
      <c r="D447" s="164"/>
      <c r="E447" s="103"/>
      <c r="F447" s="103"/>
      <c r="G447" s="103"/>
      <c r="H447" s="149"/>
      <c r="I447" s="104"/>
      <c r="J447" s="109" t="s">
        <v>1827</v>
      </c>
      <c r="K447" s="100"/>
      <c r="L447" s="145"/>
      <c r="M447" s="145"/>
      <c r="N447" s="145"/>
      <c r="O447" s="100"/>
      <c r="P447" s="100"/>
      <c r="Q447" s="101"/>
      <c r="R447" s="93" t="s">
        <v>1239</v>
      </c>
      <c r="S447" s="93"/>
      <c r="T447" s="93"/>
      <c r="U447" s="94"/>
    </row>
    <row r="448" spans="1:21" x14ac:dyDescent="0.4">
      <c r="A448" s="86">
        <f t="shared" si="6"/>
        <v>444</v>
      </c>
      <c r="B448" s="92"/>
      <c r="C448" s="190"/>
      <c r="D448" s="164"/>
      <c r="E448" s="103"/>
      <c r="F448" s="103"/>
      <c r="G448" s="103"/>
      <c r="H448" s="149"/>
      <c r="I448" s="104"/>
      <c r="J448" s="104"/>
      <c r="K448" s="70" t="s">
        <v>1813</v>
      </c>
      <c r="L448" s="145"/>
      <c r="M448" s="145"/>
      <c r="N448" s="145"/>
      <c r="O448" s="100"/>
      <c r="P448" s="100"/>
      <c r="Q448" s="101"/>
      <c r="R448" s="93" t="s">
        <v>36</v>
      </c>
      <c r="S448" s="93"/>
      <c r="T448" s="93"/>
      <c r="U448" s="94"/>
    </row>
    <row r="449" spans="1:21" x14ac:dyDescent="0.4">
      <c r="A449" s="86">
        <f t="shared" si="6"/>
        <v>445</v>
      </c>
      <c r="B449" s="92"/>
      <c r="C449" s="190"/>
      <c r="D449" s="164"/>
      <c r="E449" s="103"/>
      <c r="F449" s="103"/>
      <c r="G449" s="103"/>
      <c r="H449" s="149"/>
      <c r="I449" s="104"/>
      <c r="J449" s="104"/>
      <c r="K449" s="104"/>
      <c r="L449" s="145" t="s">
        <v>2916</v>
      </c>
      <c r="M449" s="145"/>
      <c r="N449" s="145"/>
      <c r="O449" s="100"/>
      <c r="P449" s="100"/>
      <c r="Q449" s="101"/>
      <c r="R449" s="93" t="s">
        <v>2982</v>
      </c>
      <c r="S449" s="93"/>
      <c r="T449" s="93"/>
      <c r="U449" s="94"/>
    </row>
    <row r="450" spans="1:21" x14ac:dyDescent="0.4">
      <c r="A450" s="86">
        <f t="shared" si="6"/>
        <v>446</v>
      </c>
      <c r="B450" s="92"/>
      <c r="C450" s="190"/>
      <c r="D450" s="164"/>
      <c r="E450" s="103"/>
      <c r="F450" s="103"/>
      <c r="G450" s="103"/>
      <c r="H450" s="149"/>
      <c r="I450" s="104"/>
      <c r="J450" s="104"/>
      <c r="K450" s="108"/>
      <c r="L450" s="145" t="s">
        <v>1815</v>
      </c>
      <c r="M450" s="145"/>
      <c r="N450" s="145"/>
      <c r="O450" s="100"/>
      <c r="P450" s="100"/>
      <c r="Q450" s="101"/>
      <c r="R450" s="93" t="s">
        <v>36</v>
      </c>
      <c r="S450" s="93"/>
      <c r="T450" s="93"/>
      <c r="U450" s="94"/>
    </row>
    <row r="451" spans="1:21" x14ac:dyDescent="0.4">
      <c r="A451" s="86">
        <f t="shared" si="6"/>
        <v>447</v>
      </c>
      <c r="B451" s="92"/>
      <c r="C451" s="190"/>
      <c r="D451" s="164"/>
      <c r="E451" s="103"/>
      <c r="F451" s="103"/>
      <c r="G451" s="103"/>
      <c r="H451" s="149"/>
      <c r="I451" s="104"/>
      <c r="J451" s="109" t="s">
        <v>1828</v>
      </c>
      <c r="K451" s="100"/>
      <c r="L451" s="145"/>
      <c r="M451" s="145"/>
      <c r="N451" s="145"/>
      <c r="O451" s="100"/>
      <c r="P451" s="100"/>
      <c r="Q451" s="101"/>
      <c r="R451" s="93" t="s">
        <v>1239</v>
      </c>
      <c r="S451" s="93"/>
      <c r="T451" s="93"/>
      <c r="U451" s="94"/>
    </row>
    <row r="452" spans="1:21" x14ac:dyDescent="0.4">
      <c r="A452" s="86">
        <f t="shared" si="6"/>
        <v>448</v>
      </c>
      <c r="B452" s="92"/>
      <c r="C452" s="190"/>
      <c r="D452" s="164"/>
      <c r="E452" s="103"/>
      <c r="F452" s="103"/>
      <c r="G452" s="103"/>
      <c r="H452" s="149"/>
      <c r="I452" s="104"/>
      <c r="J452" s="104"/>
      <c r="K452" s="70" t="s">
        <v>1813</v>
      </c>
      <c r="L452" s="145"/>
      <c r="M452" s="145"/>
      <c r="N452" s="145"/>
      <c r="O452" s="100"/>
      <c r="P452" s="100"/>
      <c r="Q452" s="101"/>
      <c r="R452" s="93" t="s">
        <v>36</v>
      </c>
      <c r="S452" s="93"/>
      <c r="T452" s="93"/>
      <c r="U452" s="94"/>
    </row>
    <row r="453" spans="1:21" ht="17.25" customHeight="1" x14ac:dyDescent="0.4">
      <c r="A453" s="86">
        <f t="shared" si="6"/>
        <v>449</v>
      </c>
      <c r="B453" s="92"/>
      <c r="C453" s="190"/>
      <c r="D453" s="164"/>
      <c r="E453" s="103"/>
      <c r="F453" s="103"/>
      <c r="G453" s="103"/>
      <c r="H453" s="149"/>
      <c r="I453" s="104"/>
      <c r="J453" s="104"/>
      <c r="K453" s="104"/>
      <c r="L453" s="145" t="s">
        <v>2916</v>
      </c>
      <c r="M453" s="145"/>
      <c r="N453" s="145"/>
      <c r="O453" s="100"/>
      <c r="P453" s="100"/>
      <c r="Q453" s="101"/>
      <c r="R453" s="93" t="s">
        <v>2982</v>
      </c>
      <c r="S453" s="93"/>
      <c r="T453" s="93"/>
      <c r="U453" s="94"/>
    </row>
    <row r="454" spans="1:21" x14ac:dyDescent="0.4">
      <c r="A454" s="86">
        <f t="shared" si="6"/>
        <v>450</v>
      </c>
      <c r="B454" s="92"/>
      <c r="C454" s="190"/>
      <c r="D454" s="164"/>
      <c r="E454" s="103"/>
      <c r="F454" s="103"/>
      <c r="G454" s="103"/>
      <c r="H454" s="149"/>
      <c r="I454" s="104"/>
      <c r="J454" s="104"/>
      <c r="K454" s="104"/>
      <c r="L454" s="145" t="s">
        <v>1829</v>
      </c>
      <c r="M454" s="145"/>
      <c r="N454" s="145"/>
      <c r="O454" s="100"/>
      <c r="P454" s="100"/>
      <c r="Q454" s="101"/>
      <c r="R454" s="93" t="s">
        <v>36</v>
      </c>
      <c r="S454" s="93"/>
      <c r="T454" s="93"/>
      <c r="U454" s="94"/>
    </row>
    <row r="455" spans="1:21" x14ac:dyDescent="0.4">
      <c r="A455" s="86">
        <f t="shared" ref="A455:A518" si="7">A454+1</f>
        <v>451</v>
      </c>
      <c r="B455" s="92"/>
      <c r="C455" s="190"/>
      <c r="D455" s="164"/>
      <c r="E455" s="103"/>
      <c r="F455" s="103"/>
      <c r="G455" s="103"/>
      <c r="H455" s="149"/>
      <c r="I455" s="104"/>
      <c r="J455" s="104"/>
      <c r="K455" s="108"/>
      <c r="L455" s="145" t="s">
        <v>1815</v>
      </c>
      <c r="M455" s="145"/>
      <c r="N455" s="145"/>
      <c r="O455" s="100"/>
      <c r="P455" s="100"/>
      <c r="Q455" s="101"/>
      <c r="R455" s="93" t="s">
        <v>36</v>
      </c>
      <c r="S455" s="93"/>
      <c r="T455" s="93"/>
      <c r="U455" s="94"/>
    </row>
    <row r="456" spans="1:21" x14ac:dyDescent="0.4">
      <c r="A456" s="86">
        <f t="shared" si="7"/>
        <v>452</v>
      </c>
      <c r="B456" s="92"/>
      <c r="C456" s="190"/>
      <c r="D456" s="164"/>
      <c r="E456" s="103"/>
      <c r="F456" s="103"/>
      <c r="G456" s="103"/>
      <c r="H456" s="149"/>
      <c r="I456" s="104"/>
      <c r="J456" s="109" t="s">
        <v>1830</v>
      </c>
      <c r="K456" s="100"/>
      <c r="L456" s="145"/>
      <c r="M456" s="145"/>
      <c r="N456" s="145"/>
      <c r="O456" s="100"/>
      <c r="P456" s="100"/>
      <c r="Q456" s="101"/>
      <c r="R456" s="93" t="s">
        <v>1239</v>
      </c>
      <c r="S456" s="93"/>
      <c r="T456" s="93"/>
      <c r="U456" s="94"/>
    </row>
    <row r="457" spans="1:21" x14ac:dyDescent="0.4">
      <c r="A457" s="86">
        <f t="shared" si="7"/>
        <v>453</v>
      </c>
      <c r="B457" s="92"/>
      <c r="C457" s="190"/>
      <c r="D457" s="164"/>
      <c r="E457" s="103"/>
      <c r="F457" s="103"/>
      <c r="G457" s="103"/>
      <c r="H457" s="149"/>
      <c r="I457" s="104"/>
      <c r="J457" s="104"/>
      <c r="K457" s="70" t="s">
        <v>1813</v>
      </c>
      <c r="L457" s="145"/>
      <c r="M457" s="145"/>
      <c r="N457" s="145"/>
      <c r="O457" s="100"/>
      <c r="P457" s="100"/>
      <c r="Q457" s="101"/>
      <c r="R457" s="93" t="s">
        <v>20</v>
      </c>
      <c r="S457" s="93"/>
      <c r="T457" s="93"/>
      <c r="U457" s="94"/>
    </row>
    <row r="458" spans="1:21" x14ac:dyDescent="0.4">
      <c r="A458" s="86">
        <f t="shared" si="7"/>
        <v>454</v>
      </c>
      <c r="B458" s="92"/>
      <c r="C458" s="190"/>
      <c r="D458" s="164"/>
      <c r="E458" s="103"/>
      <c r="F458" s="103"/>
      <c r="G458" s="103"/>
      <c r="H458" s="149"/>
      <c r="I458" s="104"/>
      <c r="J458" s="104"/>
      <c r="K458" s="104"/>
      <c r="L458" s="145" t="s">
        <v>2916</v>
      </c>
      <c r="M458" s="145"/>
      <c r="N458" s="145"/>
      <c r="O458" s="100"/>
      <c r="P458" s="100"/>
      <c r="Q458" s="101"/>
      <c r="R458" s="93" t="s">
        <v>2982</v>
      </c>
      <c r="S458" s="93"/>
      <c r="T458" s="93"/>
      <c r="U458" s="94"/>
    </row>
    <row r="459" spans="1:21" x14ac:dyDescent="0.4">
      <c r="A459" s="86">
        <f t="shared" si="7"/>
        <v>455</v>
      </c>
      <c r="B459" s="92"/>
      <c r="C459" s="190"/>
      <c r="D459" s="164"/>
      <c r="E459" s="103"/>
      <c r="F459" s="103"/>
      <c r="G459" s="103"/>
      <c r="H459" s="149"/>
      <c r="I459" s="104"/>
      <c r="J459" s="104"/>
      <c r="K459" s="108"/>
      <c r="L459" s="145" t="s">
        <v>1831</v>
      </c>
      <c r="M459" s="145"/>
      <c r="N459" s="145"/>
      <c r="O459" s="100"/>
      <c r="P459" s="100"/>
      <c r="Q459" s="101"/>
      <c r="R459" s="93" t="s">
        <v>36</v>
      </c>
      <c r="S459" s="93"/>
      <c r="T459" s="93"/>
      <c r="U459" s="94"/>
    </row>
    <row r="460" spans="1:21" x14ac:dyDescent="0.4">
      <c r="A460" s="86">
        <f t="shared" si="7"/>
        <v>456</v>
      </c>
      <c r="B460" s="92"/>
      <c r="C460" s="190"/>
      <c r="D460" s="164"/>
      <c r="E460" s="103"/>
      <c r="F460" s="103"/>
      <c r="G460" s="103"/>
      <c r="H460" s="149"/>
      <c r="I460" s="104"/>
      <c r="J460" s="109" t="s">
        <v>1832</v>
      </c>
      <c r="K460" s="100"/>
      <c r="L460" s="145"/>
      <c r="M460" s="145"/>
      <c r="N460" s="145"/>
      <c r="O460" s="100"/>
      <c r="P460" s="100"/>
      <c r="Q460" s="101"/>
      <c r="R460" s="93" t="s">
        <v>1239</v>
      </c>
      <c r="S460" s="93"/>
      <c r="T460" s="93"/>
      <c r="U460" s="94"/>
    </row>
    <row r="461" spans="1:21" x14ac:dyDescent="0.4">
      <c r="A461" s="86">
        <f t="shared" si="7"/>
        <v>457</v>
      </c>
      <c r="B461" s="92"/>
      <c r="C461" s="190"/>
      <c r="D461" s="164"/>
      <c r="E461" s="103"/>
      <c r="F461" s="103"/>
      <c r="G461" s="103"/>
      <c r="H461" s="149"/>
      <c r="I461" s="104"/>
      <c r="J461" s="104"/>
      <c r="K461" s="70" t="s">
        <v>1813</v>
      </c>
      <c r="L461" s="145"/>
      <c r="M461" s="145"/>
      <c r="N461" s="145"/>
      <c r="O461" s="100"/>
      <c r="P461" s="100"/>
      <c r="Q461" s="101"/>
      <c r="R461" s="93" t="s">
        <v>36</v>
      </c>
      <c r="S461" s="93"/>
      <c r="T461" s="93"/>
      <c r="U461" s="94"/>
    </row>
    <row r="462" spans="1:21" x14ac:dyDescent="0.4">
      <c r="A462" s="86">
        <f t="shared" si="7"/>
        <v>458</v>
      </c>
      <c r="B462" s="92"/>
      <c r="C462" s="190"/>
      <c r="D462" s="164"/>
      <c r="E462" s="103"/>
      <c r="F462" s="103"/>
      <c r="G462" s="103"/>
      <c r="H462" s="149"/>
      <c r="I462" s="104"/>
      <c r="J462" s="104"/>
      <c r="K462" s="104"/>
      <c r="L462" s="145" t="s">
        <v>2916</v>
      </c>
      <c r="M462" s="145"/>
      <c r="N462" s="145"/>
      <c r="O462" s="100"/>
      <c r="P462" s="100"/>
      <c r="Q462" s="101"/>
      <c r="R462" s="93" t="s">
        <v>2982</v>
      </c>
      <c r="S462" s="93"/>
      <c r="T462" s="93"/>
      <c r="U462" s="94"/>
    </row>
    <row r="463" spans="1:21" x14ac:dyDescent="0.4">
      <c r="A463" s="86">
        <f t="shared" si="7"/>
        <v>459</v>
      </c>
      <c r="B463" s="92"/>
      <c r="C463" s="190"/>
      <c r="D463" s="164"/>
      <c r="E463" s="103"/>
      <c r="F463" s="103"/>
      <c r="G463" s="103"/>
      <c r="H463" s="149"/>
      <c r="I463" s="104"/>
      <c r="J463" s="104"/>
      <c r="K463" s="104"/>
      <c r="L463" s="145" t="s">
        <v>1833</v>
      </c>
      <c r="M463" s="145"/>
      <c r="N463" s="145"/>
      <c r="O463" s="100"/>
      <c r="P463" s="100"/>
      <c r="Q463" s="101"/>
      <c r="R463" s="93" t="s">
        <v>36</v>
      </c>
      <c r="S463" s="93"/>
      <c r="T463" s="93"/>
      <c r="U463" s="94"/>
    </row>
    <row r="464" spans="1:21" x14ac:dyDescent="0.4">
      <c r="A464" s="86">
        <f t="shared" si="7"/>
        <v>460</v>
      </c>
      <c r="B464" s="92"/>
      <c r="C464" s="190"/>
      <c r="D464" s="164"/>
      <c r="E464" s="103"/>
      <c r="F464" s="103"/>
      <c r="G464" s="103"/>
      <c r="H464" s="149"/>
      <c r="I464" s="104"/>
      <c r="J464" s="104"/>
      <c r="K464" s="108"/>
      <c r="L464" s="145" t="s">
        <v>1815</v>
      </c>
      <c r="M464" s="145"/>
      <c r="N464" s="145"/>
      <c r="O464" s="100"/>
      <c r="P464" s="100"/>
      <c r="Q464" s="101"/>
      <c r="R464" s="93" t="s">
        <v>36</v>
      </c>
      <c r="S464" s="93"/>
      <c r="T464" s="93"/>
      <c r="U464" s="94"/>
    </row>
    <row r="465" spans="1:21" x14ac:dyDescent="0.4">
      <c r="A465" s="86">
        <f t="shared" si="7"/>
        <v>461</v>
      </c>
      <c r="B465" s="92"/>
      <c r="C465" s="190"/>
      <c r="D465" s="164"/>
      <c r="E465" s="103"/>
      <c r="F465" s="103"/>
      <c r="G465" s="103"/>
      <c r="H465" s="149"/>
      <c r="I465" s="104"/>
      <c r="J465" s="109" t="s">
        <v>1834</v>
      </c>
      <c r="K465" s="100"/>
      <c r="L465" s="145"/>
      <c r="M465" s="145"/>
      <c r="N465" s="145"/>
      <c r="O465" s="100"/>
      <c r="P465" s="100"/>
      <c r="Q465" s="101"/>
      <c r="R465" s="93" t="s">
        <v>1239</v>
      </c>
      <c r="S465" s="93"/>
      <c r="T465" s="93"/>
      <c r="U465" s="94"/>
    </row>
    <row r="466" spans="1:21" x14ac:dyDescent="0.4">
      <c r="A466" s="86">
        <f t="shared" si="7"/>
        <v>462</v>
      </c>
      <c r="B466" s="92"/>
      <c r="C466" s="190"/>
      <c r="D466" s="164"/>
      <c r="E466" s="103"/>
      <c r="F466" s="103"/>
      <c r="G466" s="103"/>
      <c r="H466" s="149"/>
      <c r="I466" s="104"/>
      <c r="J466" s="104"/>
      <c r="K466" s="70" t="s">
        <v>1813</v>
      </c>
      <c r="L466" s="145"/>
      <c r="M466" s="145"/>
      <c r="N466" s="145"/>
      <c r="O466" s="100"/>
      <c r="P466" s="100"/>
      <c r="Q466" s="101"/>
      <c r="R466" s="93" t="s">
        <v>36</v>
      </c>
      <c r="S466" s="93"/>
      <c r="T466" s="93"/>
      <c r="U466" s="94"/>
    </row>
    <row r="467" spans="1:21" x14ac:dyDescent="0.4">
      <c r="A467" s="86">
        <f t="shared" si="7"/>
        <v>463</v>
      </c>
      <c r="B467" s="92"/>
      <c r="C467" s="190"/>
      <c r="D467" s="164"/>
      <c r="E467" s="103"/>
      <c r="F467" s="103"/>
      <c r="G467" s="103"/>
      <c r="H467" s="149"/>
      <c r="I467" s="104"/>
      <c r="J467" s="104"/>
      <c r="K467" s="104"/>
      <c r="L467" s="145" t="s">
        <v>2916</v>
      </c>
      <c r="M467" s="145"/>
      <c r="N467" s="145"/>
      <c r="O467" s="100"/>
      <c r="P467" s="100"/>
      <c r="Q467" s="101"/>
      <c r="R467" s="93" t="s">
        <v>2982</v>
      </c>
      <c r="S467" s="93"/>
      <c r="T467" s="93"/>
      <c r="U467" s="94"/>
    </row>
    <row r="468" spans="1:21" x14ac:dyDescent="0.4">
      <c r="A468" s="86">
        <f t="shared" si="7"/>
        <v>464</v>
      </c>
      <c r="B468" s="92"/>
      <c r="C468" s="190"/>
      <c r="D468" s="164"/>
      <c r="E468" s="103"/>
      <c r="F468" s="103"/>
      <c r="G468" s="103"/>
      <c r="H468" s="149"/>
      <c r="I468" s="104"/>
      <c r="J468" s="104"/>
      <c r="K468" s="108"/>
      <c r="L468" s="145" t="s">
        <v>1815</v>
      </c>
      <c r="M468" s="145"/>
      <c r="N468" s="145"/>
      <c r="O468" s="100"/>
      <c r="P468" s="100"/>
      <c r="Q468" s="101"/>
      <c r="R468" s="93" t="s">
        <v>36</v>
      </c>
      <c r="S468" s="93"/>
      <c r="T468" s="93"/>
      <c r="U468" s="94"/>
    </row>
    <row r="469" spans="1:21" x14ac:dyDescent="0.4">
      <c r="A469" s="86">
        <f t="shared" si="7"/>
        <v>465</v>
      </c>
      <c r="B469" s="92"/>
      <c r="C469" s="190"/>
      <c r="D469" s="164"/>
      <c r="E469" s="103"/>
      <c r="F469" s="103"/>
      <c r="G469" s="103"/>
      <c r="H469" s="149"/>
      <c r="I469" s="104"/>
      <c r="J469" s="109" t="s">
        <v>1835</v>
      </c>
      <c r="K469" s="100"/>
      <c r="L469" s="145"/>
      <c r="M469" s="145"/>
      <c r="N469" s="145"/>
      <c r="O469" s="100"/>
      <c r="P469" s="100"/>
      <c r="Q469" s="101"/>
      <c r="R469" s="93" t="s">
        <v>1239</v>
      </c>
      <c r="S469" s="93"/>
      <c r="T469" s="93"/>
      <c r="U469" s="94"/>
    </row>
    <row r="470" spans="1:21" x14ac:dyDescent="0.4">
      <c r="A470" s="86">
        <f t="shared" si="7"/>
        <v>466</v>
      </c>
      <c r="B470" s="92"/>
      <c r="C470" s="190"/>
      <c r="D470" s="164"/>
      <c r="E470" s="103"/>
      <c r="F470" s="103"/>
      <c r="G470" s="103"/>
      <c r="H470" s="149"/>
      <c r="I470" s="104"/>
      <c r="J470" s="104"/>
      <c r="K470" s="70" t="s">
        <v>1813</v>
      </c>
      <c r="L470" s="145"/>
      <c r="M470" s="145"/>
      <c r="N470" s="145"/>
      <c r="O470" s="100"/>
      <c r="P470" s="100"/>
      <c r="Q470" s="101"/>
      <c r="R470" s="93" t="s">
        <v>36</v>
      </c>
      <c r="S470" s="93"/>
      <c r="T470" s="93"/>
      <c r="U470" s="94"/>
    </row>
    <row r="471" spans="1:21" x14ac:dyDescent="0.4">
      <c r="A471" s="86">
        <f t="shared" si="7"/>
        <v>467</v>
      </c>
      <c r="B471" s="92"/>
      <c r="C471" s="190"/>
      <c r="D471" s="164"/>
      <c r="E471" s="103"/>
      <c r="F471" s="103"/>
      <c r="G471" s="103"/>
      <c r="H471" s="149"/>
      <c r="I471" s="104"/>
      <c r="J471" s="104"/>
      <c r="K471" s="104"/>
      <c r="L471" s="145" t="s">
        <v>2916</v>
      </c>
      <c r="M471" s="145"/>
      <c r="N471" s="145"/>
      <c r="O471" s="100"/>
      <c r="P471" s="100"/>
      <c r="Q471" s="101"/>
      <c r="R471" s="93" t="s">
        <v>2982</v>
      </c>
      <c r="S471" s="93"/>
      <c r="T471" s="93"/>
      <c r="U471" s="94"/>
    </row>
    <row r="472" spans="1:21" x14ac:dyDescent="0.4">
      <c r="A472" s="86">
        <f t="shared" si="7"/>
        <v>468</v>
      </c>
      <c r="B472" s="92"/>
      <c r="C472" s="190"/>
      <c r="D472" s="164"/>
      <c r="E472" s="103"/>
      <c r="F472" s="103"/>
      <c r="G472" s="103"/>
      <c r="H472" s="149"/>
      <c r="I472" s="104"/>
      <c r="J472" s="104"/>
      <c r="K472" s="108"/>
      <c r="L472" s="145" t="s">
        <v>1836</v>
      </c>
      <c r="M472" s="145"/>
      <c r="N472" s="145"/>
      <c r="O472" s="100"/>
      <c r="P472" s="100"/>
      <c r="Q472" s="101"/>
      <c r="R472" s="93" t="s">
        <v>36</v>
      </c>
      <c r="S472" s="93"/>
      <c r="T472" s="93"/>
      <c r="U472" s="94"/>
    </row>
    <row r="473" spans="1:21" x14ac:dyDescent="0.4">
      <c r="A473" s="86">
        <f t="shared" si="7"/>
        <v>469</v>
      </c>
      <c r="B473" s="92"/>
      <c r="C473" s="190"/>
      <c r="D473" s="164"/>
      <c r="E473" s="103"/>
      <c r="F473" s="103"/>
      <c r="G473" s="103"/>
      <c r="H473" s="149"/>
      <c r="I473" s="104"/>
      <c r="J473" s="109" t="s">
        <v>1837</v>
      </c>
      <c r="K473" s="100"/>
      <c r="L473" s="145"/>
      <c r="M473" s="145"/>
      <c r="N473" s="145"/>
      <c r="O473" s="100"/>
      <c r="P473" s="100"/>
      <c r="Q473" s="101"/>
      <c r="R473" s="93" t="s">
        <v>1239</v>
      </c>
      <c r="S473" s="93"/>
      <c r="T473" s="93"/>
      <c r="U473" s="94"/>
    </row>
    <row r="474" spans="1:21" x14ac:dyDescent="0.4">
      <c r="A474" s="86">
        <f t="shared" si="7"/>
        <v>470</v>
      </c>
      <c r="B474" s="92"/>
      <c r="C474" s="190"/>
      <c r="D474" s="164"/>
      <c r="E474" s="103"/>
      <c r="F474" s="103"/>
      <c r="G474" s="103"/>
      <c r="H474" s="149"/>
      <c r="I474" s="104"/>
      <c r="J474" s="104"/>
      <c r="K474" s="70" t="s">
        <v>1813</v>
      </c>
      <c r="L474" s="145"/>
      <c r="M474" s="145"/>
      <c r="N474" s="145"/>
      <c r="O474" s="100"/>
      <c r="P474" s="100"/>
      <c r="Q474" s="101"/>
      <c r="R474" s="93" t="s">
        <v>36</v>
      </c>
      <c r="S474" s="93"/>
      <c r="T474" s="93"/>
      <c r="U474" s="94"/>
    </row>
    <row r="475" spans="1:21" x14ac:dyDescent="0.4">
      <c r="A475" s="86">
        <f t="shared" si="7"/>
        <v>471</v>
      </c>
      <c r="B475" s="92"/>
      <c r="C475" s="190"/>
      <c r="D475" s="164"/>
      <c r="E475" s="103"/>
      <c r="F475" s="103"/>
      <c r="G475" s="103"/>
      <c r="H475" s="149"/>
      <c r="I475" s="104"/>
      <c r="J475" s="104"/>
      <c r="K475" s="104"/>
      <c r="L475" s="145" t="s">
        <v>2916</v>
      </c>
      <c r="M475" s="145"/>
      <c r="N475" s="145"/>
      <c r="O475" s="100"/>
      <c r="P475" s="100"/>
      <c r="Q475" s="101"/>
      <c r="R475" s="93" t="s">
        <v>2982</v>
      </c>
      <c r="S475" s="93"/>
      <c r="T475" s="93"/>
      <c r="U475" s="94"/>
    </row>
    <row r="476" spans="1:21" x14ac:dyDescent="0.4">
      <c r="A476" s="86">
        <f t="shared" si="7"/>
        <v>472</v>
      </c>
      <c r="B476" s="92"/>
      <c r="C476" s="190"/>
      <c r="D476" s="164"/>
      <c r="E476" s="103"/>
      <c r="F476" s="103"/>
      <c r="G476" s="103"/>
      <c r="H476" s="149"/>
      <c r="I476" s="104"/>
      <c r="J476" s="104"/>
      <c r="K476" s="108"/>
      <c r="L476" s="145" t="s">
        <v>1815</v>
      </c>
      <c r="M476" s="145"/>
      <c r="N476" s="145"/>
      <c r="O476" s="100"/>
      <c r="P476" s="100"/>
      <c r="Q476" s="101"/>
      <c r="R476" s="93" t="s">
        <v>36</v>
      </c>
      <c r="S476" s="93"/>
      <c r="T476" s="93"/>
      <c r="U476" s="94"/>
    </row>
    <row r="477" spans="1:21" x14ac:dyDescent="0.4">
      <c r="A477" s="86">
        <f t="shared" si="7"/>
        <v>473</v>
      </c>
      <c r="B477" s="92"/>
      <c r="C477" s="190"/>
      <c r="D477" s="164"/>
      <c r="E477" s="103"/>
      <c r="F477" s="103"/>
      <c r="G477" s="103"/>
      <c r="H477" s="149"/>
      <c r="I477" s="104"/>
      <c r="J477" s="109" t="s">
        <v>1838</v>
      </c>
      <c r="K477" s="100"/>
      <c r="L477" s="145"/>
      <c r="M477" s="145"/>
      <c r="N477" s="145"/>
      <c r="O477" s="100"/>
      <c r="P477" s="100"/>
      <c r="Q477" s="101"/>
      <c r="R477" s="93" t="s">
        <v>1239</v>
      </c>
      <c r="S477" s="93"/>
      <c r="T477" s="93"/>
      <c r="U477" s="94"/>
    </row>
    <row r="478" spans="1:21" x14ac:dyDescent="0.4">
      <c r="A478" s="86">
        <f t="shared" si="7"/>
        <v>474</v>
      </c>
      <c r="B478" s="92"/>
      <c r="C478" s="190"/>
      <c r="D478" s="164"/>
      <c r="E478" s="103"/>
      <c r="F478" s="103"/>
      <c r="G478" s="103"/>
      <c r="H478" s="149"/>
      <c r="I478" s="104"/>
      <c r="J478" s="104"/>
      <c r="K478" s="70" t="s">
        <v>1813</v>
      </c>
      <c r="L478" s="145"/>
      <c r="M478" s="145"/>
      <c r="N478" s="145"/>
      <c r="O478" s="100"/>
      <c r="P478" s="100"/>
      <c r="Q478" s="101"/>
      <c r="R478" s="93" t="s">
        <v>36</v>
      </c>
      <c r="S478" s="93"/>
      <c r="T478" s="93"/>
      <c r="U478" s="94"/>
    </row>
    <row r="479" spans="1:21" x14ac:dyDescent="0.4">
      <c r="A479" s="86">
        <f t="shared" si="7"/>
        <v>475</v>
      </c>
      <c r="B479" s="92"/>
      <c r="C479" s="190"/>
      <c r="D479" s="164"/>
      <c r="E479" s="103"/>
      <c r="F479" s="103"/>
      <c r="G479" s="103"/>
      <c r="H479" s="149"/>
      <c r="I479" s="104"/>
      <c r="J479" s="104"/>
      <c r="K479" s="104"/>
      <c r="L479" s="145" t="s">
        <v>2916</v>
      </c>
      <c r="M479" s="145"/>
      <c r="N479" s="145"/>
      <c r="O479" s="100"/>
      <c r="P479" s="100"/>
      <c r="Q479" s="101"/>
      <c r="R479" s="93" t="s">
        <v>2982</v>
      </c>
      <c r="S479" s="93"/>
      <c r="T479" s="93"/>
      <c r="U479" s="94"/>
    </row>
    <row r="480" spans="1:21" x14ac:dyDescent="0.4">
      <c r="A480" s="86">
        <f t="shared" si="7"/>
        <v>476</v>
      </c>
      <c r="B480" s="92"/>
      <c r="C480" s="190"/>
      <c r="D480" s="164"/>
      <c r="E480" s="103"/>
      <c r="F480" s="103"/>
      <c r="G480" s="103"/>
      <c r="H480" s="149"/>
      <c r="I480" s="104"/>
      <c r="J480" s="104"/>
      <c r="K480" s="108"/>
      <c r="L480" s="145" t="s">
        <v>1815</v>
      </c>
      <c r="M480" s="145"/>
      <c r="N480" s="145"/>
      <c r="O480" s="100"/>
      <c r="P480" s="100"/>
      <c r="Q480" s="101"/>
      <c r="R480" s="93" t="s">
        <v>36</v>
      </c>
      <c r="S480" s="93"/>
      <c r="T480" s="93"/>
      <c r="U480" s="94"/>
    </row>
    <row r="481" spans="1:21" x14ac:dyDescent="0.4">
      <c r="A481" s="86">
        <f t="shared" si="7"/>
        <v>477</v>
      </c>
      <c r="B481" s="92"/>
      <c r="C481" s="190"/>
      <c r="D481" s="164"/>
      <c r="E481" s="103"/>
      <c r="F481" s="103"/>
      <c r="G481" s="103"/>
      <c r="H481" s="149"/>
      <c r="I481" s="104"/>
      <c r="J481" s="109" t="s">
        <v>1839</v>
      </c>
      <c r="K481" s="100"/>
      <c r="L481" s="145"/>
      <c r="M481" s="145"/>
      <c r="N481" s="145"/>
      <c r="O481" s="100"/>
      <c r="P481" s="100"/>
      <c r="Q481" s="101"/>
      <c r="R481" s="93" t="s">
        <v>1239</v>
      </c>
      <c r="S481" s="93"/>
      <c r="T481" s="93"/>
      <c r="U481" s="94"/>
    </row>
    <row r="482" spans="1:21" x14ac:dyDescent="0.4">
      <c r="A482" s="86">
        <f t="shared" si="7"/>
        <v>478</v>
      </c>
      <c r="B482" s="92"/>
      <c r="C482" s="190"/>
      <c r="D482" s="164"/>
      <c r="E482" s="103"/>
      <c r="F482" s="103"/>
      <c r="G482" s="103"/>
      <c r="H482" s="149"/>
      <c r="I482" s="104"/>
      <c r="J482" s="104"/>
      <c r="K482" s="70" t="s">
        <v>1813</v>
      </c>
      <c r="L482" s="145"/>
      <c r="M482" s="145"/>
      <c r="N482" s="145"/>
      <c r="O482" s="100"/>
      <c r="P482" s="100"/>
      <c r="Q482" s="101"/>
      <c r="R482" s="93" t="s">
        <v>36</v>
      </c>
      <c r="S482" s="93"/>
      <c r="T482" s="93"/>
      <c r="U482" s="94"/>
    </row>
    <row r="483" spans="1:21" x14ac:dyDescent="0.4">
      <c r="A483" s="86">
        <f t="shared" si="7"/>
        <v>479</v>
      </c>
      <c r="B483" s="92"/>
      <c r="C483" s="190"/>
      <c r="D483" s="164"/>
      <c r="E483" s="103"/>
      <c r="F483" s="103"/>
      <c r="G483" s="103"/>
      <c r="H483" s="149"/>
      <c r="I483" s="104"/>
      <c r="J483" s="104"/>
      <c r="K483" s="104"/>
      <c r="L483" s="145" t="s">
        <v>2916</v>
      </c>
      <c r="M483" s="145"/>
      <c r="N483" s="145"/>
      <c r="O483" s="100"/>
      <c r="P483" s="100"/>
      <c r="Q483" s="101"/>
      <c r="R483" s="93" t="s">
        <v>2982</v>
      </c>
      <c r="S483" s="93"/>
      <c r="T483" s="93"/>
      <c r="U483" s="94"/>
    </row>
    <row r="484" spans="1:21" x14ac:dyDescent="0.4">
      <c r="A484" s="86">
        <f t="shared" si="7"/>
        <v>480</v>
      </c>
      <c r="B484" s="92"/>
      <c r="C484" s="190"/>
      <c r="D484" s="164"/>
      <c r="E484" s="103"/>
      <c r="F484" s="103"/>
      <c r="G484" s="103"/>
      <c r="H484" s="149"/>
      <c r="I484" s="104"/>
      <c r="J484" s="109" t="s">
        <v>1840</v>
      </c>
      <c r="K484" s="100"/>
      <c r="L484" s="145"/>
      <c r="M484" s="145"/>
      <c r="N484" s="145"/>
      <c r="O484" s="100"/>
      <c r="P484" s="100"/>
      <c r="Q484" s="101"/>
      <c r="R484" s="93" t="s">
        <v>1239</v>
      </c>
      <c r="S484" s="93"/>
      <c r="T484" s="93"/>
      <c r="U484" s="94"/>
    </row>
    <row r="485" spans="1:21" x14ac:dyDescent="0.4">
      <c r="A485" s="86">
        <f t="shared" si="7"/>
        <v>481</v>
      </c>
      <c r="B485" s="92"/>
      <c r="C485" s="190"/>
      <c r="D485" s="164"/>
      <c r="E485" s="103"/>
      <c r="F485" s="103"/>
      <c r="G485" s="103"/>
      <c r="H485" s="149"/>
      <c r="I485" s="104"/>
      <c r="J485" s="104"/>
      <c r="K485" s="70" t="s">
        <v>1813</v>
      </c>
      <c r="L485" s="145"/>
      <c r="M485" s="145"/>
      <c r="N485" s="145"/>
      <c r="O485" s="100"/>
      <c r="P485" s="100"/>
      <c r="Q485" s="101"/>
      <c r="R485" s="93" t="s">
        <v>36</v>
      </c>
      <c r="S485" s="93"/>
      <c r="T485" s="93"/>
      <c r="U485" s="94"/>
    </row>
    <row r="486" spans="1:21" x14ac:dyDescent="0.4">
      <c r="A486" s="86">
        <f t="shared" si="7"/>
        <v>482</v>
      </c>
      <c r="B486" s="92"/>
      <c r="C486" s="190"/>
      <c r="D486" s="164"/>
      <c r="E486" s="103"/>
      <c r="F486" s="103"/>
      <c r="G486" s="103"/>
      <c r="H486" s="149"/>
      <c r="I486" s="104"/>
      <c r="J486" s="104"/>
      <c r="K486" s="104"/>
      <c r="L486" s="145" t="s">
        <v>2916</v>
      </c>
      <c r="M486" s="145"/>
      <c r="N486" s="145"/>
      <c r="O486" s="100"/>
      <c r="P486" s="100"/>
      <c r="Q486" s="101"/>
      <c r="R486" s="93" t="s">
        <v>2982</v>
      </c>
      <c r="S486" s="93"/>
      <c r="T486" s="93"/>
      <c r="U486" s="94"/>
    </row>
    <row r="487" spans="1:21" x14ac:dyDescent="0.4">
      <c r="A487" s="86">
        <f t="shared" si="7"/>
        <v>483</v>
      </c>
      <c r="B487" s="92"/>
      <c r="C487" s="190"/>
      <c r="D487" s="164"/>
      <c r="E487" s="103"/>
      <c r="F487" s="103"/>
      <c r="G487" s="103"/>
      <c r="H487" s="149"/>
      <c r="I487" s="104"/>
      <c r="J487" s="109" t="s">
        <v>1841</v>
      </c>
      <c r="K487" s="100"/>
      <c r="L487" s="145"/>
      <c r="M487" s="145"/>
      <c r="N487" s="145"/>
      <c r="O487" s="100"/>
      <c r="P487" s="100"/>
      <c r="Q487" s="101"/>
      <c r="R487" s="93" t="s">
        <v>1239</v>
      </c>
      <c r="S487" s="93"/>
      <c r="T487" s="93"/>
      <c r="U487" s="94"/>
    </row>
    <row r="488" spans="1:21" x14ac:dyDescent="0.4">
      <c r="A488" s="86">
        <f t="shared" si="7"/>
        <v>484</v>
      </c>
      <c r="B488" s="92"/>
      <c r="C488" s="190"/>
      <c r="D488" s="164"/>
      <c r="E488" s="103"/>
      <c r="F488" s="103"/>
      <c r="G488" s="103"/>
      <c r="H488" s="149"/>
      <c r="I488" s="104"/>
      <c r="J488" s="104"/>
      <c r="K488" s="70" t="s">
        <v>1813</v>
      </c>
      <c r="L488" s="145"/>
      <c r="M488" s="145"/>
      <c r="N488" s="145"/>
      <c r="O488" s="100"/>
      <c r="P488" s="100"/>
      <c r="Q488" s="101"/>
      <c r="R488" s="93" t="s">
        <v>36</v>
      </c>
      <c r="S488" s="93"/>
      <c r="T488" s="93"/>
      <c r="U488" s="94"/>
    </row>
    <row r="489" spans="1:21" x14ac:dyDescent="0.4">
      <c r="A489" s="86">
        <f t="shared" si="7"/>
        <v>485</v>
      </c>
      <c r="B489" s="92"/>
      <c r="C489" s="190"/>
      <c r="D489" s="164"/>
      <c r="E489" s="103"/>
      <c r="F489" s="103"/>
      <c r="G489" s="103"/>
      <c r="H489" s="149"/>
      <c r="I489" s="104"/>
      <c r="J489" s="104"/>
      <c r="K489" s="104"/>
      <c r="L489" s="145" t="s">
        <v>2916</v>
      </c>
      <c r="M489" s="145"/>
      <c r="N489" s="145"/>
      <c r="O489" s="100"/>
      <c r="P489" s="100"/>
      <c r="Q489" s="101"/>
      <c r="R489" s="93" t="s">
        <v>2982</v>
      </c>
      <c r="S489" s="93"/>
      <c r="T489" s="93"/>
      <c r="U489" s="94"/>
    </row>
    <row r="490" spans="1:21" x14ac:dyDescent="0.4">
      <c r="A490" s="86">
        <f t="shared" si="7"/>
        <v>486</v>
      </c>
      <c r="B490" s="92"/>
      <c r="C490" s="190"/>
      <c r="D490" s="164"/>
      <c r="E490" s="103"/>
      <c r="F490" s="103"/>
      <c r="G490" s="103"/>
      <c r="H490" s="149"/>
      <c r="I490" s="104"/>
      <c r="J490" s="109" t="s">
        <v>1842</v>
      </c>
      <c r="K490" s="100"/>
      <c r="L490" s="145"/>
      <c r="M490" s="145"/>
      <c r="N490" s="145"/>
      <c r="O490" s="100"/>
      <c r="P490" s="100"/>
      <c r="Q490" s="101"/>
      <c r="R490" s="93" t="s">
        <v>1239</v>
      </c>
      <c r="S490" s="93"/>
      <c r="T490" s="93"/>
      <c r="U490" s="94"/>
    </row>
    <row r="491" spans="1:21" x14ac:dyDescent="0.4">
      <c r="A491" s="86">
        <f t="shared" si="7"/>
        <v>487</v>
      </c>
      <c r="B491" s="92"/>
      <c r="C491" s="190"/>
      <c r="D491" s="164"/>
      <c r="E491" s="103"/>
      <c r="F491" s="103"/>
      <c r="G491" s="103"/>
      <c r="H491" s="149"/>
      <c r="I491" s="104"/>
      <c r="J491" s="104"/>
      <c r="K491" s="70" t="s">
        <v>1813</v>
      </c>
      <c r="L491" s="145"/>
      <c r="M491" s="145"/>
      <c r="N491" s="145"/>
      <c r="O491" s="100"/>
      <c r="P491" s="100"/>
      <c r="Q491" s="101"/>
      <c r="R491" s="93" t="s">
        <v>36</v>
      </c>
      <c r="S491" s="93"/>
      <c r="T491" s="93"/>
      <c r="U491" s="94"/>
    </row>
    <row r="492" spans="1:21" x14ac:dyDescent="0.4">
      <c r="A492" s="86">
        <f t="shared" si="7"/>
        <v>488</v>
      </c>
      <c r="B492" s="92"/>
      <c r="C492" s="190"/>
      <c r="D492" s="164"/>
      <c r="E492" s="103"/>
      <c r="F492" s="103"/>
      <c r="G492" s="103"/>
      <c r="H492" s="149"/>
      <c r="I492" s="104"/>
      <c r="J492" s="104"/>
      <c r="K492" s="104"/>
      <c r="L492" s="145" t="s">
        <v>2916</v>
      </c>
      <c r="M492" s="145"/>
      <c r="N492" s="145"/>
      <c r="O492" s="100"/>
      <c r="P492" s="100"/>
      <c r="Q492" s="101"/>
      <c r="R492" s="93" t="s">
        <v>2982</v>
      </c>
      <c r="S492" s="93"/>
      <c r="T492" s="93"/>
      <c r="U492" s="94"/>
    </row>
    <row r="493" spans="1:21" x14ac:dyDescent="0.4">
      <c r="A493" s="86">
        <f t="shared" si="7"/>
        <v>489</v>
      </c>
      <c r="B493" s="92"/>
      <c r="C493" s="190"/>
      <c r="D493" s="164"/>
      <c r="E493" s="103"/>
      <c r="F493" s="103"/>
      <c r="G493" s="103"/>
      <c r="H493" s="149"/>
      <c r="I493" s="104"/>
      <c r="J493" s="104"/>
      <c r="K493" s="108"/>
      <c r="L493" s="145" t="s">
        <v>1815</v>
      </c>
      <c r="M493" s="145"/>
      <c r="N493" s="145"/>
      <c r="O493" s="100"/>
      <c r="P493" s="100"/>
      <c r="Q493" s="101"/>
      <c r="R493" s="93" t="s">
        <v>36</v>
      </c>
      <c r="S493" s="93"/>
      <c r="T493" s="93"/>
      <c r="U493" s="94"/>
    </row>
    <row r="494" spans="1:21" x14ac:dyDescent="0.4">
      <c r="A494" s="86">
        <f t="shared" si="7"/>
        <v>490</v>
      </c>
      <c r="B494" s="92"/>
      <c r="C494" s="190"/>
      <c r="D494" s="164"/>
      <c r="E494" s="103"/>
      <c r="F494" s="103"/>
      <c r="G494" s="103"/>
      <c r="H494" s="149"/>
      <c r="I494" s="104"/>
      <c r="J494" s="109" t="s">
        <v>1843</v>
      </c>
      <c r="K494" s="100"/>
      <c r="L494" s="145"/>
      <c r="M494" s="145"/>
      <c r="N494" s="145"/>
      <c r="O494" s="100"/>
      <c r="P494" s="100"/>
      <c r="Q494" s="101"/>
      <c r="R494" s="93" t="s">
        <v>1239</v>
      </c>
      <c r="S494" s="93"/>
      <c r="T494" s="93"/>
      <c r="U494" s="94"/>
    </row>
    <row r="495" spans="1:21" x14ac:dyDescent="0.4">
      <c r="A495" s="86">
        <f t="shared" si="7"/>
        <v>491</v>
      </c>
      <c r="B495" s="92"/>
      <c r="C495" s="190"/>
      <c r="D495" s="164"/>
      <c r="E495" s="103"/>
      <c r="F495" s="103"/>
      <c r="G495" s="103"/>
      <c r="H495" s="149"/>
      <c r="I495" s="104"/>
      <c r="J495" s="104"/>
      <c r="K495" s="70" t="s">
        <v>1813</v>
      </c>
      <c r="L495" s="145"/>
      <c r="M495" s="145"/>
      <c r="N495" s="145"/>
      <c r="O495" s="100"/>
      <c r="P495" s="100"/>
      <c r="Q495" s="101"/>
      <c r="R495" s="93" t="s">
        <v>36</v>
      </c>
      <c r="S495" s="93"/>
      <c r="T495" s="93"/>
      <c r="U495" s="94"/>
    </row>
    <row r="496" spans="1:21" x14ac:dyDescent="0.4">
      <c r="A496" s="86">
        <f t="shared" si="7"/>
        <v>492</v>
      </c>
      <c r="B496" s="92"/>
      <c r="C496" s="190"/>
      <c r="D496" s="164"/>
      <c r="E496" s="103"/>
      <c r="F496" s="103"/>
      <c r="G496" s="103"/>
      <c r="H496" s="149"/>
      <c r="I496" s="104"/>
      <c r="J496" s="104"/>
      <c r="K496" s="104"/>
      <c r="L496" s="145" t="s">
        <v>2916</v>
      </c>
      <c r="M496" s="145"/>
      <c r="N496" s="145"/>
      <c r="O496" s="100"/>
      <c r="P496" s="100"/>
      <c r="Q496" s="101"/>
      <c r="R496" s="93" t="s">
        <v>2982</v>
      </c>
      <c r="S496" s="93"/>
      <c r="T496" s="93"/>
      <c r="U496" s="94"/>
    </row>
    <row r="497" spans="1:21" x14ac:dyDescent="0.4">
      <c r="A497" s="86">
        <f t="shared" si="7"/>
        <v>493</v>
      </c>
      <c r="B497" s="92"/>
      <c r="C497" s="190"/>
      <c r="D497" s="164"/>
      <c r="E497" s="103"/>
      <c r="F497" s="103"/>
      <c r="G497" s="103"/>
      <c r="H497" s="149"/>
      <c r="I497" s="108"/>
      <c r="J497" s="108"/>
      <c r="K497" s="108"/>
      <c r="L497" s="145" t="s">
        <v>1815</v>
      </c>
      <c r="M497" s="145"/>
      <c r="N497" s="145"/>
      <c r="O497" s="100"/>
      <c r="P497" s="100"/>
      <c r="Q497" s="101"/>
      <c r="R497" s="93" t="s">
        <v>36</v>
      </c>
      <c r="S497" s="93"/>
      <c r="T497" s="93"/>
      <c r="U497" s="94"/>
    </row>
    <row r="498" spans="1:21" x14ac:dyDescent="0.4">
      <c r="A498" s="86">
        <f t="shared" si="7"/>
        <v>494</v>
      </c>
      <c r="B498" s="92"/>
      <c r="C498" s="190"/>
      <c r="D498" s="164"/>
      <c r="E498" s="103"/>
      <c r="F498" s="103"/>
      <c r="G498" s="103"/>
      <c r="H498" s="149"/>
      <c r="I498" s="70" t="s">
        <v>1845</v>
      </c>
      <c r="J498" s="145"/>
      <c r="K498" s="145"/>
      <c r="L498" s="145"/>
      <c r="M498" s="145"/>
      <c r="N498" s="145"/>
      <c r="O498" s="100"/>
      <c r="P498" s="100"/>
      <c r="Q498" s="101"/>
      <c r="R498" s="93" t="s">
        <v>1239</v>
      </c>
      <c r="S498" s="93"/>
      <c r="T498" s="93"/>
      <c r="U498" s="94"/>
    </row>
    <row r="499" spans="1:21" x14ac:dyDescent="0.4">
      <c r="A499" s="86">
        <f t="shared" si="7"/>
        <v>495</v>
      </c>
      <c r="B499" s="92"/>
      <c r="C499" s="190"/>
      <c r="D499" s="164"/>
      <c r="E499" s="103"/>
      <c r="F499" s="103"/>
      <c r="G499" s="103"/>
      <c r="H499" s="149"/>
      <c r="I499" s="104"/>
      <c r="J499" s="70" t="s">
        <v>1812</v>
      </c>
      <c r="K499" s="145"/>
      <c r="L499" s="145"/>
      <c r="M499" s="145"/>
      <c r="N499" s="145"/>
      <c r="O499" s="100"/>
      <c r="P499" s="100"/>
      <c r="Q499" s="101"/>
      <c r="R499" s="93" t="s">
        <v>1239</v>
      </c>
      <c r="S499" s="93"/>
      <c r="T499" s="93"/>
      <c r="U499" s="94"/>
    </row>
    <row r="500" spans="1:21" x14ac:dyDescent="0.4">
      <c r="A500" s="86">
        <f t="shared" si="7"/>
        <v>496</v>
      </c>
      <c r="B500" s="92"/>
      <c r="C500" s="190"/>
      <c r="D500" s="164"/>
      <c r="E500" s="103"/>
      <c r="F500" s="103"/>
      <c r="G500" s="103"/>
      <c r="H500" s="149"/>
      <c r="I500" s="104"/>
      <c r="J500" s="104"/>
      <c r="K500" s="70" t="s">
        <v>1813</v>
      </c>
      <c r="L500" s="145"/>
      <c r="M500" s="145"/>
      <c r="N500" s="145"/>
      <c r="O500" s="100"/>
      <c r="P500" s="100"/>
      <c r="Q500" s="101"/>
      <c r="R500" s="93" t="s">
        <v>36</v>
      </c>
      <c r="S500" s="93"/>
      <c r="T500" s="93"/>
      <c r="U500" s="94"/>
    </row>
    <row r="501" spans="1:21" x14ac:dyDescent="0.4">
      <c r="A501" s="86">
        <f t="shared" si="7"/>
        <v>497</v>
      </c>
      <c r="B501" s="92"/>
      <c r="C501" s="190"/>
      <c r="D501" s="164"/>
      <c r="E501" s="103"/>
      <c r="F501" s="103"/>
      <c r="G501" s="103"/>
      <c r="H501" s="149"/>
      <c r="I501" s="104"/>
      <c r="J501" s="104"/>
      <c r="K501" s="104"/>
      <c r="L501" s="145" t="s">
        <v>2916</v>
      </c>
      <c r="M501" s="145"/>
      <c r="N501" s="145"/>
      <c r="O501" s="100"/>
      <c r="P501" s="100"/>
      <c r="Q501" s="101"/>
      <c r="R501" s="93" t="s">
        <v>2927</v>
      </c>
      <c r="S501" s="93"/>
      <c r="T501" s="93"/>
      <c r="U501" s="94"/>
    </row>
    <row r="502" spans="1:21" x14ac:dyDescent="0.4">
      <c r="A502" s="86">
        <f t="shared" si="7"/>
        <v>498</v>
      </c>
      <c r="B502" s="92"/>
      <c r="C502" s="190"/>
      <c r="D502" s="164"/>
      <c r="E502" s="103"/>
      <c r="F502" s="103"/>
      <c r="G502" s="103"/>
      <c r="H502" s="149"/>
      <c r="I502" s="104"/>
      <c r="J502" s="104"/>
      <c r="K502" s="104"/>
      <c r="L502" s="145" t="s">
        <v>1814</v>
      </c>
      <c r="M502" s="145"/>
      <c r="N502" s="145"/>
      <c r="O502" s="100"/>
      <c r="P502" s="100"/>
      <c r="Q502" s="101"/>
      <c r="R502" s="93" t="s">
        <v>36</v>
      </c>
      <c r="S502" s="93"/>
      <c r="T502" s="93"/>
      <c r="U502" s="94"/>
    </row>
    <row r="503" spans="1:21" x14ac:dyDescent="0.4">
      <c r="A503" s="86">
        <f t="shared" si="7"/>
        <v>499</v>
      </c>
      <c r="B503" s="92"/>
      <c r="C503" s="190"/>
      <c r="D503" s="164"/>
      <c r="E503" s="103"/>
      <c r="F503" s="103"/>
      <c r="G503" s="103"/>
      <c r="H503" s="149"/>
      <c r="I503" s="104"/>
      <c r="J503" s="104"/>
      <c r="K503" s="108"/>
      <c r="L503" s="145" t="s">
        <v>1815</v>
      </c>
      <c r="M503" s="145"/>
      <c r="N503" s="145"/>
      <c r="O503" s="100"/>
      <c r="P503" s="100"/>
      <c r="Q503" s="101"/>
      <c r="R503" s="93" t="s">
        <v>36</v>
      </c>
      <c r="S503" s="93"/>
      <c r="T503" s="93"/>
      <c r="U503" s="94"/>
    </row>
    <row r="504" spans="1:21" x14ac:dyDescent="0.4">
      <c r="A504" s="86">
        <f t="shared" si="7"/>
        <v>500</v>
      </c>
      <c r="B504" s="92"/>
      <c r="C504" s="190"/>
      <c r="D504" s="164"/>
      <c r="E504" s="103"/>
      <c r="F504" s="103"/>
      <c r="G504" s="103"/>
      <c r="H504" s="149"/>
      <c r="I504" s="104"/>
      <c r="J504" s="109" t="s">
        <v>1816</v>
      </c>
      <c r="K504" s="145"/>
      <c r="L504" s="145"/>
      <c r="M504" s="145"/>
      <c r="N504" s="145"/>
      <c r="O504" s="100"/>
      <c r="P504" s="100"/>
      <c r="Q504" s="101"/>
      <c r="R504" s="93" t="s">
        <v>1239</v>
      </c>
      <c r="S504" s="93"/>
      <c r="T504" s="93"/>
      <c r="U504" s="94"/>
    </row>
    <row r="505" spans="1:21" x14ac:dyDescent="0.4">
      <c r="A505" s="86">
        <f t="shared" si="7"/>
        <v>501</v>
      </c>
      <c r="B505" s="92"/>
      <c r="C505" s="190"/>
      <c r="D505" s="164"/>
      <c r="E505" s="103"/>
      <c r="F505" s="103"/>
      <c r="G505" s="103"/>
      <c r="H505" s="149"/>
      <c r="I505" s="104"/>
      <c r="J505" s="104"/>
      <c r="K505" s="70" t="s">
        <v>1813</v>
      </c>
      <c r="L505" s="145"/>
      <c r="M505" s="145"/>
      <c r="N505" s="145"/>
      <c r="O505" s="100"/>
      <c r="P505" s="100"/>
      <c r="Q505" s="101"/>
      <c r="R505" s="93" t="s">
        <v>36</v>
      </c>
      <c r="S505" s="93"/>
      <c r="T505" s="93"/>
      <c r="U505" s="94"/>
    </row>
    <row r="506" spans="1:21" x14ac:dyDescent="0.4">
      <c r="A506" s="86">
        <f t="shared" si="7"/>
        <v>502</v>
      </c>
      <c r="B506" s="92"/>
      <c r="C506" s="190"/>
      <c r="D506" s="164"/>
      <c r="E506" s="103"/>
      <c r="F506" s="103"/>
      <c r="G506" s="103"/>
      <c r="H506" s="149"/>
      <c r="I506" s="104"/>
      <c r="J506" s="104"/>
      <c r="K506" s="104"/>
      <c r="L506" s="145" t="s">
        <v>2916</v>
      </c>
      <c r="M506" s="145"/>
      <c r="N506" s="145"/>
      <c r="O506" s="100"/>
      <c r="P506" s="100"/>
      <c r="Q506" s="101"/>
      <c r="R506" s="93" t="s">
        <v>2927</v>
      </c>
      <c r="S506" s="93"/>
      <c r="T506" s="93"/>
      <c r="U506" s="94"/>
    </row>
    <row r="507" spans="1:21" x14ac:dyDescent="0.4">
      <c r="A507" s="86">
        <f t="shared" si="7"/>
        <v>503</v>
      </c>
      <c r="B507" s="92"/>
      <c r="C507" s="190"/>
      <c r="D507" s="164"/>
      <c r="E507" s="103"/>
      <c r="F507" s="103"/>
      <c r="G507" s="103"/>
      <c r="H507" s="149"/>
      <c r="I507" s="104"/>
      <c r="J507" s="104"/>
      <c r="K507" s="108"/>
      <c r="L507" s="145" t="s">
        <v>1815</v>
      </c>
      <c r="M507" s="145"/>
      <c r="N507" s="145"/>
      <c r="O507" s="100"/>
      <c r="P507" s="100"/>
      <c r="Q507" s="101"/>
      <c r="R507" s="93" t="s">
        <v>36</v>
      </c>
      <c r="S507" s="93"/>
      <c r="T507" s="93"/>
      <c r="U507" s="94"/>
    </row>
    <row r="508" spans="1:21" x14ac:dyDescent="0.4">
      <c r="A508" s="86">
        <f t="shared" si="7"/>
        <v>504</v>
      </c>
      <c r="B508" s="92"/>
      <c r="C508" s="190"/>
      <c r="D508" s="164"/>
      <c r="E508" s="103"/>
      <c r="F508" s="103"/>
      <c r="G508" s="103"/>
      <c r="H508" s="149"/>
      <c r="I508" s="104"/>
      <c r="J508" s="109" t="s">
        <v>1817</v>
      </c>
      <c r="K508" s="145"/>
      <c r="L508" s="145"/>
      <c r="M508" s="145"/>
      <c r="N508" s="145"/>
      <c r="O508" s="100"/>
      <c r="P508" s="100"/>
      <c r="Q508" s="101"/>
      <c r="R508" s="93" t="s">
        <v>1239</v>
      </c>
      <c r="S508" s="93"/>
      <c r="T508" s="93"/>
      <c r="U508" s="94"/>
    </row>
    <row r="509" spans="1:21" x14ac:dyDescent="0.4">
      <c r="A509" s="86">
        <f t="shared" si="7"/>
        <v>505</v>
      </c>
      <c r="B509" s="92"/>
      <c r="C509" s="190"/>
      <c r="D509" s="164"/>
      <c r="E509" s="103"/>
      <c r="F509" s="103"/>
      <c r="G509" s="103"/>
      <c r="H509" s="149"/>
      <c r="I509" s="104"/>
      <c r="J509" s="104"/>
      <c r="K509" s="70" t="s">
        <v>1813</v>
      </c>
      <c r="L509" s="145"/>
      <c r="M509" s="145"/>
      <c r="N509" s="145"/>
      <c r="O509" s="100"/>
      <c r="P509" s="100"/>
      <c r="Q509" s="101"/>
      <c r="R509" s="93" t="s">
        <v>36</v>
      </c>
      <c r="S509" s="93"/>
      <c r="T509" s="93"/>
      <c r="U509" s="94"/>
    </row>
    <row r="510" spans="1:21" x14ac:dyDescent="0.4">
      <c r="A510" s="86">
        <f t="shared" si="7"/>
        <v>506</v>
      </c>
      <c r="B510" s="92"/>
      <c r="C510" s="190"/>
      <c r="D510" s="164"/>
      <c r="E510" s="103"/>
      <c r="F510" s="103"/>
      <c r="G510" s="103"/>
      <c r="H510" s="149"/>
      <c r="I510" s="104"/>
      <c r="J510" s="104"/>
      <c r="K510" s="104"/>
      <c r="L510" s="145" t="s">
        <v>2916</v>
      </c>
      <c r="M510" s="145"/>
      <c r="N510" s="145"/>
      <c r="O510" s="100"/>
      <c r="P510" s="100"/>
      <c r="Q510" s="101"/>
      <c r="R510" s="93" t="s">
        <v>2927</v>
      </c>
      <c r="S510" s="93"/>
      <c r="T510" s="93"/>
      <c r="U510" s="94"/>
    </row>
    <row r="511" spans="1:21" x14ac:dyDescent="0.4">
      <c r="A511" s="86">
        <f t="shared" si="7"/>
        <v>507</v>
      </c>
      <c r="B511" s="92"/>
      <c r="C511" s="190"/>
      <c r="D511" s="164"/>
      <c r="E511" s="103"/>
      <c r="F511" s="103"/>
      <c r="G511" s="103"/>
      <c r="H511" s="149"/>
      <c r="I511" s="104"/>
      <c r="J511" s="104"/>
      <c r="K511" s="108"/>
      <c r="L511" s="145" t="s">
        <v>1815</v>
      </c>
      <c r="M511" s="145"/>
      <c r="N511" s="145"/>
      <c r="O511" s="100"/>
      <c r="P511" s="100"/>
      <c r="Q511" s="101"/>
      <c r="R511" s="93" t="s">
        <v>36</v>
      </c>
      <c r="S511" s="93"/>
      <c r="T511" s="93"/>
      <c r="U511" s="94"/>
    </row>
    <row r="512" spans="1:21" x14ac:dyDescent="0.4">
      <c r="A512" s="86">
        <f t="shared" si="7"/>
        <v>508</v>
      </c>
      <c r="B512" s="92"/>
      <c r="C512" s="190"/>
      <c r="D512" s="164"/>
      <c r="E512" s="103"/>
      <c r="F512" s="103"/>
      <c r="G512" s="103"/>
      <c r="H512" s="149"/>
      <c r="I512" s="104"/>
      <c r="J512" s="109" t="s">
        <v>1818</v>
      </c>
      <c r="K512" s="145"/>
      <c r="L512" s="145"/>
      <c r="M512" s="145"/>
      <c r="N512" s="145"/>
      <c r="O512" s="100"/>
      <c r="P512" s="100"/>
      <c r="Q512" s="101"/>
      <c r="R512" s="93" t="s">
        <v>1239</v>
      </c>
      <c r="S512" s="93"/>
      <c r="T512" s="93"/>
      <c r="U512" s="94"/>
    </row>
    <row r="513" spans="1:21" x14ac:dyDescent="0.4">
      <c r="A513" s="86">
        <f t="shared" si="7"/>
        <v>509</v>
      </c>
      <c r="B513" s="92"/>
      <c r="C513" s="190"/>
      <c r="D513" s="164"/>
      <c r="E513" s="103"/>
      <c r="F513" s="103"/>
      <c r="G513" s="103"/>
      <c r="H513" s="149"/>
      <c r="I513" s="104"/>
      <c r="J513" s="104"/>
      <c r="K513" s="70" t="s">
        <v>1813</v>
      </c>
      <c r="L513" s="145"/>
      <c r="M513" s="145"/>
      <c r="N513" s="145"/>
      <c r="O513" s="100"/>
      <c r="P513" s="100"/>
      <c r="Q513" s="101"/>
      <c r="R513" s="93" t="s">
        <v>36</v>
      </c>
      <c r="S513" s="93"/>
      <c r="T513" s="93"/>
      <c r="U513" s="94"/>
    </row>
    <row r="514" spans="1:21" x14ac:dyDescent="0.4">
      <c r="A514" s="86">
        <f t="shared" si="7"/>
        <v>510</v>
      </c>
      <c r="B514" s="92"/>
      <c r="C514" s="190"/>
      <c r="D514" s="164"/>
      <c r="E514" s="103"/>
      <c r="F514" s="103"/>
      <c r="G514" s="103"/>
      <c r="H514" s="149"/>
      <c r="I514" s="104"/>
      <c r="J514" s="104"/>
      <c r="K514" s="104"/>
      <c r="L514" s="145" t="s">
        <v>2916</v>
      </c>
      <c r="M514" s="145"/>
      <c r="N514" s="145"/>
      <c r="O514" s="100"/>
      <c r="P514" s="100"/>
      <c r="Q514" s="101"/>
      <c r="R514" s="93" t="s">
        <v>2927</v>
      </c>
      <c r="S514" s="93"/>
      <c r="T514" s="93"/>
      <c r="U514" s="94"/>
    </row>
    <row r="515" spans="1:21" x14ac:dyDescent="0.4">
      <c r="A515" s="86">
        <f t="shared" si="7"/>
        <v>511</v>
      </c>
      <c r="B515" s="92"/>
      <c r="C515" s="190"/>
      <c r="D515" s="164"/>
      <c r="E515" s="103"/>
      <c r="F515" s="103"/>
      <c r="G515" s="103"/>
      <c r="H515" s="149"/>
      <c r="I515" s="104"/>
      <c r="J515" s="104"/>
      <c r="K515" s="108"/>
      <c r="L515" s="145" t="s">
        <v>1815</v>
      </c>
      <c r="M515" s="145"/>
      <c r="N515" s="145"/>
      <c r="O515" s="100"/>
      <c r="P515" s="100"/>
      <c r="Q515" s="101"/>
      <c r="R515" s="93" t="s">
        <v>36</v>
      </c>
      <c r="S515" s="93"/>
      <c r="T515" s="93"/>
      <c r="U515" s="94"/>
    </row>
    <row r="516" spans="1:21" x14ac:dyDescent="0.4">
      <c r="A516" s="86">
        <f t="shared" si="7"/>
        <v>512</v>
      </c>
      <c r="B516" s="92"/>
      <c r="C516" s="190"/>
      <c r="D516" s="164"/>
      <c r="E516" s="103"/>
      <c r="F516" s="103"/>
      <c r="G516" s="103"/>
      <c r="H516" s="149"/>
      <c r="I516" s="104"/>
      <c r="J516" s="109" t="s">
        <v>1819</v>
      </c>
      <c r="K516" s="145"/>
      <c r="L516" s="145"/>
      <c r="M516" s="145"/>
      <c r="N516" s="145"/>
      <c r="O516" s="100"/>
      <c r="P516" s="100"/>
      <c r="Q516" s="101"/>
      <c r="R516" s="93" t="s">
        <v>1239</v>
      </c>
      <c r="S516" s="93"/>
      <c r="T516" s="93"/>
      <c r="U516" s="94"/>
    </row>
    <row r="517" spans="1:21" x14ac:dyDescent="0.4">
      <c r="A517" s="86">
        <f t="shared" si="7"/>
        <v>513</v>
      </c>
      <c r="B517" s="92"/>
      <c r="C517" s="190"/>
      <c r="D517" s="164"/>
      <c r="E517" s="103"/>
      <c r="F517" s="103"/>
      <c r="G517" s="103"/>
      <c r="H517" s="149"/>
      <c r="I517" s="104"/>
      <c r="J517" s="104"/>
      <c r="K517" s="70" t="s">
        <v>1813</v>
      </c>
      <c r="L517" s="145"/>
      <c r="M517" s="145"/>
      <c r="N517" s="145"/>
      <c r="O517" s="100"/>
      <c r="P517" s="100"/>
      <c r="Q517" s="101"/>
      <c r="R517" s="93" t="s">
        <v>36</v>
      </c>
      <c r="S517" s="93"/>
      <c r="T517" s="93"/>
      <c r="U517" s="94"/>
    </row>
    <row r="518" spans="1:21" x14ac:dyDescent="0.4">
      <c r="A518" s="86">
        <f t="shared" si="7"/>
        <v>514</v>
      </c>
      <c r="B518" s="92"/>
      <c r="C518" s="190"/>
      <c r="D518" s="164"/>
      <c r="E518" s="103"/>
      <c r="F518" s="103"/>
      <c r="G518" s="103"/>
      <c r="H518" s="149"/>
      <c r="I518" s="104"/>
      <c r="J518" s="104"/>
      <c r="K518" s="104"/>
      <c r="L518" s="145" t="s">
        <v>2916</v>
      </c>
      <c r="M518" s="145"/>
      <c r="N518" s="145"/>
      <c r="O518" s="100"/>
      <c r="P518" s="100"/>
      <c r="Q518" s="101"/>
      <c r="R518" s="93" t="s">
        <v>2927</v>
      </c>
      <c r="S518" s="93"/>
      <c r="T518" s="93"/>
      <c r="U518" s="94"/>
    </row>
    <row r="519" spans="1:21" x14ac:dyDescent="0.4">
      <c r="A519" s="86">
        <f t="shared" ref="A519:A582" si="8">A518+1</f>
        <v>515</v>
      </c>
      <c r="B519" s="92"/>
      <c r="C519" s="190"/>
      <c r="D519" s="164"/>
      <c r="E519" s="103"/>
      <c r="F519" s="103"/>
      <c r="G519" s="103"/>
      <c r="H519" s="149"/>
      <c r="I519" s="104"/>
      <c r="J519" s="104"/>
      <c r="K519" s="104"/>
      <c r="L519" s="145" t="s">
        <v>1820</v>
      </c>
      <c r="M519" s="145"/>
      <c r="N519" s="145"/>
      <c r="O519" s="100"/>
      <c r="P519" s="100"/>
      <c r="Q519" s="101"/>
      <c r="R519" s="93" t="s">
        <v>36</v>
      </c>
      <c r="S519" s="93"/>
      <c r="T519" s="93"/>
      <c r="U519" s="94"/>
    </row>
    <row r="520" spans="1:21" x14ac:dyDescent="0.4">
      <c r="A520" s="86">
        <f t="shared" si="8"/>
        <v>516</v>
      </c>
      <c r="B520" s="92"/>
      <c r="C520" s="190"/>
      <c r="D520" s="164"/>
      <c r="E520" s="103"/>
      <c r="F520" s="103"/>
      <c r="G520" s="103"/>
      <c r="H520" s="149"/>
      <c r="I520" s="104"/>
      <c r="J520" s="104"/>
      <c r="K520" s="108"/>
      <c r="L520" s="145" t="s">
        <v>1815</v>
      </c>
      <c r="M520" s="145"/>
      <c r="N520" s="145"/>
      <c r="O520" s="100"/>
      <c r="P520" s="100"/>
      <c r="Q520" s="101"/>
      <c r="R520" s="93" t="s">
        <v>36</v>
      </c>
      <c r="S520" s="93"/>
      <c r="T520" s="93"/>
      <c r="U520" s="94"/>
    </row>
    <row r="521" spans="1:21" x14ac:dyDescent="0.4">
      <c r="A521" s="86">
        <f t="shared" si="8"/>
        <v>517</v>
      </c>
      <c r="B521" s="92"/>
      <c r="C521" s="190"/>
      <c r="D521" s="164"/>
      <c r="E521" s="103"/>
      <c r="F521" s="103"/>
      <c r="G521" s="103"/>
      <c r="H521" s="149"/>
      <c r="I521" s="104"/>
      <c r="J521" s="109" t="s">
        <v>1821</v>
      </c>
      <c r="K521" s="145"/>
      <c r="L521" s="145"/>
      <c r="M521" s="145"/>
      <c r="N521" s="145"/>
      <c r="O521" s="100"/>
      <c r="P521" s="100"/>
      <c r="Q521" s="101"/>
      <c r="R521" s="93" t="s">
        <v>1239</v>
      </c>
      <c r="S521" s="93"/>
      <c r="T521" s="93"/>
      <c r="U521" s="94"/>
    </row>
    <row r="522" spans="1:21" x14ac:dyDescent="0.4">
      <c r="A522" s="86">
        <f t="shared" si="8"/>
        <v>518</v>
      </c>
      <c r="B522" s="92"/>
      <c r="C522" s="190"/>
      <c r="D522" s="164"/>
      <c r="E522" s="103"/>
      <c r="F522" s="103"/>
      <c r="G522" s="103"/>
      <c r="H522" s="149"/>
      <c r="I522" s="104"/>
      <c r="J522" s="104"/>
      <c r="K522" s="70" t="s">
        <v>1813</v>
      </c>
      <c r="L522" s="145"/>
      <c r="M522" s="145"/>
      <c r="N522" s="145"/>
      <c r="O522" s="100"/>
      <c r="P522" s="100"/>
      <c r="Q522" s="101"/>
      <c r="R522" s="93" t="s">
        <v>36</v>
      </c>
      <c r="S522" s="93"/>
      <c r="T522" s="93"/>
      <c r="U522" s="94"/>
    </row>
    <row r="523" spans="1:21" x14ac:dyDescent="0.4">
      <c r="A523" s="86">
        <f t="shared" si="8"/>
        <v>519</v>
      </c>
      <c r="B523" s="92"/>
      <c r="C523" s="190"/>
      <c r="D523" s="164"/>
      <c r="E523" s="103"/>
      <c r="F523" s="103"/>
      <c r="G523" s="103"/>
      <c r="H523" s="149"/>
      <c r="I523" s="104"/>
      <c r="J523" s="104"/>
      <c r="K523" s="104"/>
      <c r="L523" s="145" t="s">
        <v>2916</v>
      </c>
      <c r="M523" s="145"/>
      <c r="N523" s="145"/>
      <c r="O523" s="100"/>
      <c r="P523" s="100"/>
      <c r="Q523" s="101"/>
      <c r="R523" s="93" t="s">
        <v>2982</v>
      </c>
      <c r="S523" s="93"/>
      <c r="T523" s="93"/>
      <c r="U523" s="94"/>
    </row>
    <row r="524" spans="1:21" x14ac:dyDescent="0.4">
      <c r="A524" s="86">
        <f t="shared" si="8"/>
        <v>520</v>
      </c>
      <c r="B524" s="92"/>
      <c r="C524" s="190"/>
      <c r="D524" s="164"/>
      <c r="E524" s="103"/>
      <c r="F524" s="103"/>
      <c r="G524" s="103"/>
      <c r="H524" s="149"/>
      <c r="I524" s="104"/>
      <c r="J524" s="104"/>
      <c r="K524" s="108"/>
      <c r="L524" s="145" t="s">
        <v>1822</v>
      </c>
      <c r="M524" s="145"/>
      <c r="N524" s="145"/>
      <c r="O524" s="100"/>
      <c r="P524" s="100"/>
      <c r="Q524" s="101"/>
      <c r="R524" s="93" t="s">
        <v>36</v>
      </c>
      <c r="S524" s="93"/>
      <c r="T524" s="93"/>
      <c r="U524" s="94"/>
    </row>
    <row r="525" spans="1:21" x14ac:dyDescent="0.4">
      <c r="A525" s="86">
        <f t="shared" si="8"/>
        <v>521</v>
      </c>
      <c r="B525" s="92"/>
      <c r="C525" s="190"/>
      <c r="D525" s="164"/>
      <c r="E525" s="103"/>
      <c r="F525" s="103"/>
      <c r="G525" s="103"/>
      <c r="H525" s="149"/>
      <c r="I525" s="104"/>
      <c r="J525" s="109" t="s">
        <v>1823</v>
      </c>
      <c r="K525" s="145"/>
      <c r="L525" s="145"/>
      <c r="M525" s="145"/>
      <c r="N525" s="145"/>
      <c r="O525" s="100"/>
      <c r="P525" s="100"/>
      <c r="Q525" s="101"/>
      <c r="R525" s="93" t="s">
        <v>1239</v>
      </c>
      <c r="S525" s="93"/>
      <c r="T525" s="93"/>
      <c r="U525" s="94"/>
    </row>
    <row r="526" spans="1:21" x14ac:dyDescent="0.4">
      <c r="A526" s="86">
        <f t="shared" si="8"/>
        <v>522</v>
      </c>
      <c r="B526" s="92"/>
      <c r="C526" s="190"/>
      <c r="D526" s="164"/>
      <c r="E526" s="103"/>
      <c r="F526" s="103"/>
      <c r="G526" s="103"/>
      <c r="H526" s="149"/>
      <c r="I526" s="104"/>
      <c r="J526" s="104"/>
      <c r="K526" s="70" t="s">
        <v>1813</v>
      </c>
      <c r="L526" s="145"/>
      <c r="M526" s="145"/>
      <c r="N526" s="145"/>
      <c r="O526" s="100"/>
      <c r="P526" s="100"/>
      <c r="Q526" s="101"/>
      <c r="R526" s="93" t="s">
        <v>36</v>
      </c>
      <c r="S526" s="93"/>
      <c r="T526" s="93"/>
      <c r="U526" s="94"/>
    </row>
    <row r="527" spans="1:21" x14ac:dyDescent="0.4">
      <c r="A527" s="86">
        <f t="shared" si="8"/>
        <v>523</v>
      </c>
      <c r="B527" s="92"/>
      <c r="C527" s="190"/>
      <c r="D527" s="164"/>
      <c r="E527" s="103"/>
      <c r="F527" s="103"/>
      <c r="G527" s="103"/>
      <c r="H527" s="149"/>
      <c r="I527" s="104"/>
      <c r="J527" s="104"/>
      <c r="K527" s="104"/>
      <c r="L527" s="145" t="s">
        <v>2916</v>
      </c>
      <c r="M527" s="145"/>
      <c r="N527" s="145"/>
      <c r="O527" s="100"/>
      <c r="P527" s="100"/>
      <c r="Q527" s="101"/>
      <c r="R527" s="93" t="s">
        <v>2982</v>
      </c>
      <c r="S527" s="93"/>
      <c r="T527" s="93"/>
      <c r="U527" s="94"/>
    </row>
    <row r="528" spans="1:21" x14ac:dyDescent="0.4">
      <c r="A528" s="86">
        <f t="shared" si="8"/>
        <v>524</v>
      </c>
      <c r="B528" s="92"/>
      <c r="C528" s="190"/>
      <c r="D528" s="164"/>
      <c r="E528" s="103"/>
      <c r="F528" s="103"/>
      <c r="G528" s="103"/>
      <c r="H528" s="149"/>
      <c r="I528" s="104"/>
      <c r="J528" s="104"/>
      <c r="K528" s="108"/>
      <c r="L528" s="145" t="s">
        <v>1824</v>
      </c>
      <c r="M528" s="145"/>
      <c r="N528" s="145"/>
      <c r="O528" s="100"/>
      <c r="P528" s="100"/>
      <c r="Q528" s="101"/>
      <c r="R528" s="93" t="s">
        <v>36</v>
      </c>
      <c r="S528" s="93"/>
      <c r="T528" s="93"/>
      <c r="U528" s="94"/>
    </row>
    <row r="529" spans="1:21" x14ac:dyDescent="0.4">
      <c r="A529" s="86">
        <f t="shared" si="8"/>
        <v>525</v>
      </c>
      <c r="B529" s="92"/>
      <c r="C529" s="190"/>
      <c r="D529" s="164"/>
      <c r="E529" s="103"/>
      <c r="F529" s="103"/>
      <c r="G529" s="103"/>
      <c r="H529" s="149"/>
      <c r="I529" s="104"/>
      <c r="J529" s="109" t="s">
        <v>1825</v>
      </c>
      <c r="K529" s="145"/>
      <c r="L529" s="145"/>
      <c r="M529" s="145"/>
      <c r="N529" s="145"/>
      <c r="O529" s="100"/>
      <c r="P529" s="100"/>
      <c r="Q529" s="101"/>
      <c r="R529" s="93" t="s">
        <v>1239</v>
      </c>
      <c r="S529" s="93"/>
      <c r="T529" s="93"/>
      <c r="U529" s="94"/>
    </row>
    <row r="530" spans="1:21" x14ac:dyDescent="0.4">
      <c r="A530" s="86">
        <f t="shared" si="8"/>
        <v>526</v>
      </c>
      <c r="B530" s="92"/>
      <c r="C530" s="190"/>
      <c r="D530" s="164"/>
      <c r="E530" s="103"/>
      <c r="F530" s="103"/>
      <c r="G530" s="103"/>
      <c r="H530" s="149"/>
      <c r="I530" s="104"/>
      <c r="J530" s="104"/>
      <c r="K530" s="70" t="s">
        <v>1813</v>
      </c>
      <c r="L530" s="145"/>
      <c r="M530" s="145"/>
      <c r="N530" s="145"/>
      <c r="O530" s="100"/>
      <c r="P530" s="100"/>
      <c r="Q530" s="101"/>
      <c r="R530" s="93" t="s">
        <v>36</v>
      </c>
      <c r="S530" s="93"/>
      <c r="T530" s="93"/>
      <c r="U530" s="94"/>
    </row>
    <row r="531" spans="1:21" x14ac:dyDescent="0.4">
      <c r="A531" s="86">
        <f t="shared" si="8"/>
        <v>527</v>
      </c>
      <c r="B531" s="92"/>
      <c r="C531" s="190"/>
      <c r="D531" s="164"/>
      <c r="E531" s="103"/>
      <c r="F531" s="103"/>
      <c r="G531" s="103"/>
      <c r="H531" s="149"/>
      <c r="I531" s="104"/>
      <c r="J531" s="104"/>
      <c r="K531" s="104"/>
      <c r="L531" s="145" t="s">
        <v>2916</v>
      </c>
      <c r="M531" s="145"/>
      <c r="N531" s="145"/>
      <c r="O531" s="100"/>
      <c r="P531" s="100"/>
      <c r="Q531" s="101"/>
      <c r="R531" s="93" t="s">
        <v>2927</v>
      </c>
      <c r="S531" s="93"/>
      <c r="T531" s="93"/>
      <c r="U531" s="94"/>
    </row>
    <row r="532" spans="1:21" x14ac:dyDescent="0.4">
      <c r="A532" s="86">
        <f t="shared" si="8"/>
        <v>528</v>
      </c>
      <c r="B532" s="92"/>
      <c r="C532" s="190"/>
      <c r="D532" s="164"/>
      <c r="E532" s="103"/>
      <c r="F532" s="103"/>
      <c r="G532" s="103"/>
      <c r="H532" s="149"/>
      <c r="I532" s="104"/>
      <c r="J532" s="109" t="s">
        <v>1826</v>
      </c>
      <c r="K532" s="100"/>
      <c r="L532" s="145"/>
      <c r="M532" s="145"/>
      <c r="N532" s="145"/>
      <c r="O532" s="100"/>
      <c r="P532" s="100"/>
      <c r="Q532" s="101"/>
      <c r="R532" s="93" t="s">
        <v>1239</v>
      </c>
      <c r="S532" s="93"/>
      <c r="T532" s="93"/>
      <c r="U532" s="94"/>
    </row>
    <row r="533" spans="1:21" x14ac:dyDescent="0.4">
      <c r="A533" s="86">
        <f t="shared" si="8"/>
        <v>529</v>
      </c>
      <c r="B533" s="92"/>
      <c r="C533" s="190"/>
      <c r="D533" s="164"/>
      <c r="E533" s="103"/>
      <c r="F533" s="103"/>
      <c r="G533" s="103"/>
      <c r="H533" s="149"/>
      <c r="I533" s="104"/>
      <c r="J533" s="104"/>
      <c r="K533" s="70" t="s">
        <v>1813</v>
      </c>
      <c r="L533" s="145"/>
      <c r="M533" s="145"/>
      <c r="N533" s="145"/>
      <c r="O533" s="100"/>
      <c r="P533" s="100"/>
      <c r="Q533" s="101"/>
      <c r="R533" s="93" t="s">
        <v>36</v>
      </c>
      <c r="S533" s="93"/>
      <c r="T533" s="93"/>
      <c r="U533" s="94"/>
    </row>
    <row r="534" spans="1:21" x14ac:dyDescent="0.4">
      <c r="A534" s="86">
        <f t="shared" si="8"/>
        <v>530</v>
      </c>
      <c r="B534" s="92"/>
      <c r="C534" s="190"/>
      <c r="D534" s="164"/>
      <c r="E534" s="103"/>
      <c r="F534" s="103"/>
      <c r="G534" s="103"/>
      <c r="H534" s="149"/>
      <c r="I534" s="104"/>
      <c r="J534" s="104"/>
      <c r="K534" s="104"/>
      <c r="L534" s="145" t="s">
        <v>2916</v>
      </c>
      <c r="M534" s="145"/>
      <c r="N534" s="145"/>
      <c r="O534" s="100"/>
      <c r="P534" s="100"/>
      <c r="Q534" s="101"/>
      <c r="R534" s="93" t="s">
        <v>2927</v>
      </c>
      <c r="S534" s="93"/>
      <c r="T534" s="93"/>
      <c r="U534" s="94"/>
    </row>
    <row r="535" spans="1:21" x14ac:dyDescent="0.4">
      <c r="A535" s="86">
        <f t="shared" si="8"/>
        <v>531</v>
      </c>
      <c r="B535" s="92"/>
      <c r="C535" s="190"/>
      <c r="D535" s="164"/>
      <c r="E535" s="103"/>
      <c r="F535" s="103"/>
      <c r="G535" s="103"/>
      <c r="H535" s="149"/>
      <c r="I535" s="104"/>
      <c r="J535" s="104"/>
      <c r="K535" s="108"/>
      <c r="L535" s="145" t="s">
        <v>1815</v>
      </c>
      <c r="M535" s="145"/>
      <c r="N535" s="145"/>
      <c r="O535" s="100"/>
      <c r="P535" s="100"/>
      <c r="Q535" s="101"/>
      <c r="R535" s="93" t="s">
        <v>36</v>
      </c>
      <c r="S535" s="93"/>
      <c r="T535" s="93"/>
      <c r="U535" s="94"/>
    </row>
    <row r="536" spans="1:21" x14ac:dyDescent="0.4">
      <c r="A536" s="86">
        <f t="shared" si="8"/>
        <v>532</v>
      </c>
      <c r="B536" s="92"/>
      <c r="C536" s="190"/>
      <c r="D536" s="164"/>
      <c r="E536" s="103"/>
      <c r="F536" s="103"/>
      <c r="G536" s="103"/>
      <c r="H536" s="149"/>
      <c r="I536" s="104"/>
      <c r="J536" s="109" t="s">
        <v>1827</v>
      </c>
      <c r="K536" s="100"/>
      <c r="L536" s="145"/>
      <c r="M536" s="145"/>
      <c r="N536" s="145"/>
      <c r="O536" s="100"/>
      <c r="P536" s="100"/>
      <c r="Q536" s="101"/>
      <c r="R536" s="93" t="s">
        <v>1239</v>
      </c>
      <c r="S536" s="93"/>
      <c r="T536" s="93"/>
      <c r="U536" s="94"/>
    </row>
    <row r="537" spans="1:21" x14ac:dyDescent="0.4">
      <c r="A537" s="86">
        <f t="shared" si="8"/>
        <v>533</v>
      </c>
      <c r="B537" s="92"/>
      <c r="C537" s="190"/>
      <c r="D537" s="164"/>
      <c r="E537" s="103"/>
      <c r="F537" s="103"/>
      <c r="G537" s="103"/>
      <c r="H537" s="149"/>
      <c r="I537" s="104"/>
      <c r="J537" s="104"/>
      <c r="K537" s="70" t="s">
        <v>1813</v>
      </c>
      <c r="L537" s="145"/>
      <c r="M537" s="145"/>
      <c r="N537" s="145"/>
      <c r="O537" s="100"/>
      <c r="P537" s="100"/>
      <c r="Q537" s="101"/>
      <c r="R537" s="93" t="s">
        <v>36</v>
      </c>
      <c r="S537" s="93"/>
      <c r="T537" s="93"/>
      <c r="U537" s="94"/>
    </row>
    <row r="538" spans="1:21" x14ac:dyDescent="0.4">
      <c r="A538" s="86">
        <f t="shared" si="8"/>
        <v>534</v>
      </c>
      <c r="B538" s="92"/>
      <c r="C538" s="190"/>
      <c r="D538" s="164"/>
      <c r="E538" s="103"/>
      <c r="F538" s="103"/>
      <c r="G538" s="103"/>
      <c r="H538" s="149"/>
      <c r="I538" s="104"/>
      <c r="J538" s="104"/>
      <c r="K538" s="104"/>
      <c r="L538" s="145" t="s">
        <v>2916</v>
      </c>
      <c r="M538" s="145"/>
      <c r="N538" s="145"/>
      <c r="O538" s="100"/>
      <c r="P538" s="100"/>
      <c r="Q538" s="101"/>
      <c r="R538" s="93" t="s">
        <v>2927</v>
      </c>
      <c r="S538" s="93"/>
      <c r="T538" s="93"/>
      <c r="U538" s="94"/>
    </row>
    <row r="539" spans="1:21" x14ac:dyDescent="0.4">
      <c r="A539" s="86">
        <f t="shared" si="8"/>
        <v>535</v>
      </c>
      <c r="B539" s="92"/>
      <c r="C539" s="190"/>
      <c r="D539" s="164"/>
      <c r="E539" s="103"/>
      <c r="F539" s="103"/>
      <c r="G539" s="103"/>
      <c r="H539" s="149"/>
      <c r="I539" s="104"/>
      <c r="J539" s="104"/>
      <c r="K539" s="108"/>
      <c r="L539" s="145" t="s">
        <v>1815</v>
      </c>
      <c r="M539" s="145"/>
      <c r="N539" s="145"/>
      <c r="O539" s="100"/>
      <c r="P539" s="100"/>
      <c r="Q539" s="101"/>
      <c r="R539" s="93" t="s">
        <v>36</v>
      </c>
      <c r="S539" s="93"/>
      <c r="T539" s="93"/>
      <c r="U539" s="94"/>
    </row>
    <row r="540" spans="1:21" x14ac:dyDescent="0.4">
      <c r="A540" s="86">
        <f t="shared" si="8"/>
        <v>536</v>
      </c>
      <c r="B540" s="92"/>
      <c r="C540" s="190"/>
      <c r="D540" s="164"/>
      <c r="E540" s="103"/>
      <c r="F540" s="103"/>
      <c r="G540" s="103"/>
      <c r="H540" s="149"/>
      <c r="I540" s="104"/>
      <c r="J540" s="109" t="s">
        <v>1828</v>
      </c>
      <c r="K540" s="100"/>
      <c r="L540" s="145"/>
      <c r="M540" s="145"/>
      <c r="N540" s="145"/>
      <c r="O540" s="100"/>
      <c r="P540" s="100"/>
      <c r="Q540" s="101"/>
      <c r="R540" s="93" t="s">
        <v>1239</v>
      </c>
      <c r="S540" s="93"/>
      <c r="T540" s="93"/>
      <c r="U540" s="94"/>
    </row>
    <row r="541" spans="1:21" x14ac:dyDescent="0.4">
      <c r="A541" s="86">
        <f t="shared" si="8"/>
        <v>537</v>
      </c>
      <c r="B541" s="92"/>
      <c r="C541" s="190"/>
      <c r="D541" s="164"/>
      <c r="E541" s="103"/>
      <c r="F541" s="103"/>
      <c r="G541" s="103"/>
      <c r="H541" s="149"/>
      <c r="I541" s="104"/>
      <c r="J541" s="104"/>
      <c r="K541" s="70" t="s">
        <v>1813</v>
      </c>
      <c r="L541" s="145"/>
      <c r="M541" s="145"/>
      <c r="N541" s="145"/>
      <c r="O541" s="100"/>
      <c r="P541" s="100"/>
      <c r="Q541" s="101"/>
      <c r="R541" s="93" t="s">
        <v>36</v>
      </c>
      <c r="S541" s="93"/>
      <c r="T541" s="93"/>
      <c r="U541" s="94"/>
    </row>
    <row r="542" spans="1:21" x14ac:dyDescent="0.4">
      <c r="A542" s="86">
        <f t="shared" si="8"/>
        <v>538</v>
      </c>
      <c r="B542" s="92"/>
      <c r="C542" s="190"/>
      <c r="D542" s="164"/>
      <c r="E542" s="103"/>
      <c r="F542" s="103"/>
      <c r="G542" s="103"/>
      <c r="H542" s="149"/>
      <c r="I542" s="104"/>
      <c r="J542" s="104"/>
      <c r="K542" s="104"/>
      <c r="L542" s="145" t="s">
        <v>2916</v>
      </c>
      <c r="M542" s="145"/>
      <c r="N542" s="145"/>
      <c r="O542" s="100"/>
      <c r="P542" s="100"/>
      <c r="Q542" s="101"/>
      <c r="R542" s="93" t="s">
        <v>2927</v>
      </c>
      <c r="S542" s="93"/>
      <c r="T542" s="93"/>
      <c r="U542" s="94"/>
    </row>
    <row r="543" spans="1:21" x14ac:dyDescent="0.4">
      <c r="A543" s="86">
        <f t="shared" si="8"/>
        <v>539</v>
      </c>
      <c r="B543" s="92"/>
      <c r="C543" s="190"/>
      <c r="D543" s="164"/>
      <c r="E543" s="103"/>
      <c r="F543" s="103"/>
      <c r="G543" s="103"/>
      <c r="H543" s="149"/>
      <c r="I543" s="104"/>
      <c r="J543" s="104"/>
      <c r="K543" s="104"/>
      <c r="L543" s="145" t="s">
        <v>1829</v>
      </c>
      <c r="M543" s="145"/>
      <c r="N543" s="145"/>
      <c r="O543" s="100"/>
      <c r="P543" s="100"/>
      <c r="Q543" s="101"/>
      <c r="R543" s="93" t="s">
        <v>36</v>
      </c>
      <c r="S543" s="93"/>
      <c r="T543" s="93"/>
      <c r="U543" s="94"/>
    </row>
    <row r="544" spans="1:21" x14ac:dyDescent="0.4">
      <c r="A544" s="86">
        <f t="shared" si="8"/>
        <v>540</v>
      </c>
      <c r="B544" s="92"/>
      <c r="C544" s="190"/>
      <c r="D544" s="164"/>
      <c r="E544" s="103"/>
      <c r="F544" s="103"/>
      <c r="G544" s="103"/>
      <c r="H544" s="149"/>
      <c r="I544" s="104"/>
      <c r="J544" s="104"/>
      <c r="K544" s="108"/>
      <c r="L544" s="145" t="s">
        <v>1815</v>
      </c>
      <c r="M544" s="145"/>
      <c r="N544" s="145"/>
      <c r="O544" s="100"/>
      <c r="P544" s="100"/>
      <c r="Q544" s="101"/>
      <c r="R544" s="93" t="s">
        <v>36</v>
      </c>
      <c r="S544" s="93"/>
      <c r="T544" s="93"/>
      <c r="U544" s="94"/>
    </row>
    <row r="545" spans="1:21" x14ac:dyDescent="0.4">
      <c r="A545" s="86">
        <f t="shared" si="8"/>
        <v>541</v>
      </c>
      <c r="B545" s="92"/>
      <c r="C545" s="190"/>
      <c r="D545" s="164"/>
      <c r="E545" s="103"/>
      <c r="F545" s="103"/>
      <c r="G545" s="103"/>
      <c r="H545" s="149"/>
      <c r="I545" s="104"/>
      <c r="J545" s="109" t="s">
        <v>1830</v>
      </c>
      <c r="K545" s="100"/>
      <c r="L545" s="145"/>
      <c r="M545" s="145"/>
      <c r="N545" s="145"/>
      <c r="O545" s="100"/>
      <c r="P545" s="100"/>
      <c r="Q545" s="101"/>
      <c r="R545" s="93" t="s">
        <v>1239</v>
      </c>
      <c r="S545" s="93"/>
      <c r="T545" s="93"/>
      <c r="U545" s="94"/>
    </row>
    <row r="546" spans="1:21" x14ac:dyDescent="0.4">
      <c r="A546" s="86">
        <f t="shared" si="8"/>
        <v>542</v>
      </c>
      <c r="B546" s="92"/>
      <c r="C546" s="190"/>
      <c r="D546" s="164"/>
      <c r="E546" s="103"/>
      <c r="F546" s="103"/>
      <c r="G546" s="103"/>
      <c r="H546" s="149"/>
      <c r="I546" s="104"/>
      <c r="J546" s="104"/>
      <c r="K546" s="70" t="s">
        <v>1813</v>
      </c>
      <c r="L546" s="145"/>
      <c r="M546" s="145"/>
      <c r="N546" s="145"/>
      <c r="O546" s="100"/>
      <c r="P546" s="100"/>
      <c r="Q546" s="101"/>
      <c r="R546" s="93" t="s">
        <v>20</v>
      </c>
      <c r="S546" s="93"/>
      <c r="T546" s="93"/>
      <c r="U546" s="94"/>
    </row>
    <row r="547" spans="1:21" x14ac:dyDescent="0.4">
      <c r="A547" s="86">
        <f t="shared" si="8"/>
        <v>543</v>
      </c>
      <c r="B547" s="92"/>
      <c r="C547" s="190"/>
      <c r="D547" s="164"/>
      <c r="E547" s="103"/>
      <c r="F547" s="103"/>
      <c r="G547" s="103"/>
      <c r="H547" s="149"/>
      <c r="I547" s="104"/>
      <c r="J547" s="104"/>
      <c r="K547" s="104"/>
      <c r="L547" s="145" t="s">
        <v>2916</v>
      </c>
      <c r="M547" s="145"/>
      <c r="N547" s="145"/>
      <c r="O547" s="100"/>
      <c r="P547" s="100"/>
      <c r="Q547" s="101"/>
      <c r="R547" s="93" t="s">
        <v>2982</v>
      </c>
      <c r="S547" s="93"/>
      <c r="T547" s="93"/>
      <c r="U547" s="94"/>
    </row>
    <row r="548" spans="1:21" x14ac:dyDescent="0.4">
      <c r="A548" s="86">
        <f t="shared" si="8"/>
        <v>544</v>
      </c>
      <c r="B548" s="92"/>
      <c r="C548" s="190"/>
      <c r="D548" s="164"/>
      <c r="E548" s="103"/>
      <c r="F548" s="103"/>
      <c r="G548" s="103"/>
      <c r="H548" s="149"/>
      <c r="I548" s="104"/>
      <c r="J548" s="104"/>
      <c r="K548" s="108"/>
      <c r="L548" s="145" t="s">
        <v>1831</v>
      </c>
      <c r="M548" s="145"/>
      <c r="N548" s="145"/>
      <c r="O548" s="100"/>
      <c r="P548" s="100"/>
      <c r="Q548" s="101"/>
      <c r="R548" s="93" t="s">
        <v>36</v>
      </c>
      <c r="S548" s="93"/>
      <c r="T548" s="93"/>
      <c r="U548" s="94"/>
    </row>
    <row r="549" spans="1:21" x14ac:dyDescent="0.4">
      <c r="A549" s="86">
        <f t="shared" si="8"/>
        <v>545</v>
      </c>
      <c r="B549" s="92"/>
      <c r="C549" s="190"/>
      <c r="D549" s="164"/>
      <c r="E549" s="103"/>
      <c r="F549" s="103"/>
      <c r="G549" s="103"/>
      <c r="H549" s="149"/>
      <c r="I549" s="104"/>
      <c r="J549" s="109" t="s">
        <v>1832</v>
      </c>
      <c r="K549" s="100"/>
      <c r="L549" s="145"/>
      <c r="M549" s="145"/>
      <c r="N549" s="145"/>
      <c r="O549" s="100"/>
      <c r="P549" s="100"/>
      <c r="Q549" s="101"/>
      <c r="R549" s="93" t="s">
        <v>1239</v>
      </c>
      <c r="S549" s="93"/>
      <c r="T549" s="93"/>
      <c r="U549" s="94"/>
    </row>
    <row r="550" spans="1:21" x14ac:dyDescent="0.4">
      <c r="A550" s="86">
        <f t="shared" si="8"/>
        <v>546</v>
      </c>
      <c r="B550" s="92"/>
      <c r="C550" s="190"/>
      <c r="D550" s="164"/>
      <c r="E550" s="103"/>
      <c r="F550" s="103"/>
      <c r="G550" s="103"/>
      <c r="H550" s="149"/>
      <c r="I550" s="104"/>
      <c r="J550" s="104"/>
      <c r="K550" s="70" t="s">
        <v>1813</v>
      </c>
      <c r="L550" s="145"/>
      <c r="M550" s="145"/>
      <c r="N550" s="145"/>
      <c r="O550" s="100"/>
      <c r="P550" s="100"/>
      <c r="Q550" s="101"/>
      <c r="R550" s="93" t="s">
        <v>36</v>
      </c>
      <c r="S550" s="93"/>
      <c r="T550" s="93"/>
      <c r="U550" s="94"/>
    </row>
    <row r="551" spans="1:21" x14ac:dyDescent="0.4">
      <c r="A551" s="86">
        <f t="shared" si="8"/>
        <v>547</v>
      </c>
      <c r="B551" s="92"/>
      <c r="C551" s="190"/>
      <c r="D551" s="164"/>
      <c r="E551" s="103"/>
      <c r="F551" s="103"/>
      <c r="G551" s="103"/>
      <c r="H551" s="149"/>
      <c r="I551" s="104"/>
      <c r="J551" s="104"/>
      <c r="K551" s="104"/>
      <c r="L551" s="145" t="s">
        <v>2916</v>
      </c>
      <c r="M551" s="145"/>
      <c r="N551" s="145"/>
      <c r="O551" s="100"/>
      <c r="P551" s="100"/>
      <c r="Q551" s="101"/>
      <c r="R551" s="93" t="s">
        <v>2927</v>
      </c>
      <c r="S551" s="93"/>
      <c r="T551" s="93"/>
      <c r="U551" s="94"/>
    </row>
    <row r="552" spans="1:21" x14ac:dyDescent="0.4">
      <c r="A552" s="86">
        <f t="shared" si="8"/>
        <v>548</v>
      </c>
      <c r="B552" s="92"/>
      <c r="C552" s="190"/>
      <c r="D552" s="164"/>
      <c r="E552" s="103"/>
      <c r="F552" s="103"/>
      <c r="G552" s="103"/>
      <c r="H552" s="149"/>
      <c r="I552" s="104"/>
      <c r="J552" s="104"/>
      <c r="K552" s="104"/>
      <c r="L552" s="145" t="s">
        <v>1833</v>
      </c>
      <c r="M552" s="145"/>
      <c r="N552" s="145"/>
      <c r="O552" s="100"/>
      <c r="P552" s="100"/>
      <c r="Q552" s="101"/>
      <c r="R552" s="93" t="s">
        <v>36</v>
      </c>
      <c r="S552" s="93"/>
      <c r="T552" s="93"/>
      <c r="U552" s="94"/>
    </row>
    <row r="553" spans="1:21" x14ac:dyDescent="0.4">
      <c r="A553" s="86">
        <f t="shared" si="8"/>
        <v>549</v>
      </c>
      <c r="B553" s="92"/>
      <c r="C553" s="190"/>
      <c r="D553" s="164"/>
      <c r="E553" s="103"/>
      <c r="F553" s="103"/>
      <c r="G553" s="103"/>
      <c r="H553" s="149"/>
      <c r="I553" s="104"/>
      <c r="J553" s="104"/>
      <c r="K553" s="108"/>
      <c r="L553" s="145" t="s">
        <v>1815</v>
      </c>
      <c r="M553" s="145"/>
      <c r="N553" s="145"/>
      <c r="O553" s="100"/>
      <c r="P553" s="100"/>
      <c r="Q553" s="101"/>
      <c r="R553" s="93" t="s">
        <v>36</v>
      </c>
      <c r="S553" s="93"/>
      <c r="T553" s="93"/>
      <c r="U553" s="94"/>
    </row>
    <row r="554" spans="1:21" x14ac:dyDescent="0.4">
      <c r="A554" s="86">
        <f t="shared" si="8"/>
        <v>550</v>
      </c>
      <c r="B554" s="92"/>
      <c r="C554" s="190"/>
      <c r="D554" s="164"/>
      <c r="E554" s="103"/>
      <c r="F554" s="103"/>
      <c r="G554" s="103"/>
      <c r="H554" s="149"/>
      <c r="I554" s="104"/>
      <c r="J554" s="109" t="s">
        <v>1834</v>
      </c>
      <c r="K554" s="100"/>
      <c r="L554" s="145"/>
      <c r="M554" s="145"/>
      <c r="N554" s="145"/>
      <c r="O554" s="100"/>
      <c r="P554" s="100"/>
      <c r="Q554" s="101"/>
      <c r="R554" s="93" t="s">
        <v>1239</v>
      </c>
      <c r="S554" s="93"/>
      <c r="T554" s="93"/>
      <c r="U554" s="94"/>
    </row>
    <row r="555" spans="1:21" x14ac:dyDescent="0.4">
      <c r="A555" s="86">
        <f t="shared" si="8"/>
        <v>551</v>
      </c>
      <c r="B555" s="92"/>
      <c r="C555" s="190"/>
      <c r="D555" s="164"/>
      <c r="E555" s="103"/>
      <c r="F555" s="103"/>
      <c r="G555" s="103"/>
      <c r="H555" s="149"/>
      <c r="I555" s="104"/>
      <c r="J555" s="104"/>
      <c r="K555" s="70" t="s">
        <v>1813</v>
      </c>
      <c r="L555" s="145"/>
      <c r="M555" s="145"/>
      <c r="N555" s="145"/>
      <c r="O555" s="100"/>
      <c r="P555" s="100"/>
      <c r="Q555" s="101"/>
      <c r="R555" s="93" t="s">
        <v>36</v>
      </c>
      <c r="S555" s="93"/>
      <c r="T555" s="93"/>
      <c r="U555" s="94"/>
    </row>
    <row r="556" spans="1:21" x14ac:dyDescent="0.4">
      <c r="A556" s="86">
        <f t="shared" si="8"/>
        <v>552</v>
      </c>
      <c r="B556" s="92"/>
      <c r="C556" s="190"/>
      <c r="D556" s="164"/>
      <c r="E556" s="103"/>
      <c r="F556" s="103"/>
      <c r="G556" s="103"/>
      <c r="H556" s="149"/>
      <c r="I556" s="104"/>
      <c r="J556" s="104"/>
      <c r="K556" s="104"/>
      <c r="L556" s="145" t="s">
        <v>2916</v>
      </c>
      <c r="M556" s="145"/>
      <c r="N556" s="145"/>
      <c r="O556" s="100"/>
      <c r="P556" s="100"/>
      <c r="Q556" s="101"/>
      <c r="R556" s="93" t="s">
        <v>2927</v>
      </c>
      <c r="S556" s="93"/>
      <c r="T556" s="93"/>
      <c r="U556" s="94"/>
    </row>
    <row r="557" spans="1:21" x14ac:dyDescent="0.4">
      <c r="A557" s="86">
        <f t="shared" si="8"/>
        <v>553</v>
      </c>
      <c r="B557" s="92"/>
      <c r="C557" s="190"/>
      <c r="D557" s="164"/>
      <c r="E557" s="103"/>
      <c r="F557" s="103"/>
      <c r="G557" s="103"/>
      <c r="H557" s="149"/>
      <c r="I557" s="104"/>
      <c r="J557" s="104"/>
      <c r="K557" s="108"/>
      <c r="L557" s="145" t="s">
        <v>1815</v>
      </c>
      <c r="M557" s="145"/>
      <c r="N557" s="145"/>
      <c r="O557" s="100"/>
      <c r="P557" s="100"/>
      <c r="Q557" s="101"/>
      <c r="R557" s="93" t="s">
        <v>36</v>
      </c>
      <c r="S557" s="93"/>
      <c r="T557" s="93"/>
      <c r="U557" s="94"/>
    </row>
    <row r="558" spans="1:21" x14ac:dyDescent="0.4">
      <c r="A558" s="86">
        <f t="shared" si="8"/>
        <v>554</v>
      </c>
      <c r="B558" s="92"/>
      <c r="C558" s="190"/>
      <c r="D558" s="164"/>
      <c r="E558" s="103"/>
      <c r="F558" s="103"/>
      <c r="G558" s="103"/>
      <c r="H558" s="149"/>
      <c r="I558" s="104"/>
      <c r="J558" s="109" t="s">
        <v>1835</v>
      </c>
      <c r="K558" s="100"/>
      <c r="L558" s="145"/>
      <c r="M558" s="145"/>
      <c r="N558" s="145"/>
      <c r="O558" s="100"/>
      <c r="P558" s="100"/>
      <c r="Q558" s="101"/>
      <c r="R558" s="93" t="s">
        <v>1239</v>
      </c>
      <c r="S558" s="93"/>
      <c r="T558" s="93"/>
      <c r="U558" s="94"/>
    </row>
    <row r="559" spans="1:21" x14ac:dyDescent="0.4">
      <c r="A559" s="86">
        <f t="shared" si="8"/>
        <v>555</v>
      </c>
      <c r="B559" s="92"/>
      <c r="C559" s="190"/>
      <c r="D559" s="164"/>
      <c r="E559" s="103"/>
      <c r="F559" s="103"/>
      <c r="G559" s="103"/>
      <c r="H559" s="149"/>
      <c r="I559" s="104"/>
      <c r="J559" s="104"/>
      <c r="K559" s="70" t="s">
        <v>1813</v>
      </c>
      <c r="L559" s="145"/>
      <c r="M559" s="145"/>
      <c r="N559" s="145"/>
      <c r="O559" s="100"/>
      <c r="P559" s="100"/>
      <c r="Q559" s="101"/>
      <c r="R559" s="93" t="s">
        <v>36</v>
      </c>
      <c r="S559" s="93"/>
      <c r="T559" s="93"/>
      <c r="U559" s="94"/>
    </row>
    <row r="560" spans="1:21" x14ac:dyDescent="0.4">
      <c r="A560" s="86">
        <f t="shared" si="8"/>
        <v>556</v>
      </c>
      <c r="B560" s="92"/>
      <c r="C560" s="190"/>
      <c r="D560" s="164"/>
      <c r="E560" s="103"/>
      <c r="F560" s="103"/>
      <c r="G560" s="103"/>
      <c r="H560" s="149"/>
      <c r="I560" s="104"/>
      <c r="J560" s="104"/>
      <c r="K560" s="104"/>
      <c r="L560" s="145" t="s">
        <v>2916</v>
      </c>
      <c r="M560" s="145"/>
      <c r="N560" s="145"/>
      <c r="O560" s="100"/>
      <c r="P560" s="100"/>
      <c r="Q560" s="101"/>
      <c r="R560" s="93" t="s">
        <v>2982</v>
      </c>
      <c r="S560" s="93"/>
      <c r="T560" s="93"/>
      <c r="U560" s="94"/>
    </row>
    <row r="561" spans="1:21" x14ac:dyDescent="0.4">
      <c r="A561" s="86">
        <f t="shared" si="8"/>
        <v>557</v>
      </c>
      <c r="B561" s="92"/>
      <c r="C561" s="190"/>
      <c r="D561" s="164"/>
      <c r="E561" s="103"/>
      <c r="F561" s="103"/>
      <c r="G561" s="103"/>
      <c r="H561" s="149"/>
      <c r="I561" s="104"/>
      <c r="J561" s="104"/>
      <c r="K561" s="108"/>
      <c r="L561" s="145" t="s">
        <v>1836</v>
      </c>
      <c r="M561" s="145"/>
      <c r="N561" s="145"/>
      <c r="O561" s="100"/>
      <c r="P561" s="100"/>
      <c r="Q561" s="101"/>
      <c r="R561" s="93" t="s">
        <v>36</v>
      </c>
      <c r="S561" s="93"/>
      <c r="T561" s="93"/>
      <c r="U561" s="94"/>
    </row>
    <row r="562" spans="1:21" x14ac:dyDescent="0.4">
      <c r="A562" s="86">
        <f t="shared" si="8"/>
        <v>558</v>
      </c>
      <c r="B562" s="92"/>
      <c r="C562" s="190"/>
      <c r="D562" s="164"/>
      <c r="E562" s="103"/>
      <c r="F562" s="103"/>
      <c r="G562" s="103"/>
      <c r="H562" s="149"/>
      <c r="I562" s="104"/>
      <c r="J562" s="109" t="s">
        <v>1837</v>
      </c>
      <c r="K562" s="100"/>
      <c r="L562" s="145"/>
      <c r="M562" s="145"/>
      <c r="N562" s="145"/>
      <c r="O562" s="100"/>
      <c r="P562" s="100"/>
      <c r="Q562" s="101"/>
      <c r="R562" s="93" t="s">
        <v>1239</v>
      </c>
      <c r="S562" s="93"/>
      <c r="T562" s="93"/>
      <c r="U562" s="94"/>
    </row>
    <row r="563" spans="1:21" x14ac:dyDescent="0.4">
      <c r="A563" s="86">
        <f t="shared" si="8"/>
        <v>559</v>
      </c>
      <c r="B563" s="92"/>
      <c r="C563" s="190"/>
      <c r="D563" s="164"/>
      <c r="E563" s="103"/>
      <c r="F563" s="103"/>
      <c r="G563" s="103"/>
      <c r="H563" s="149"/>
      <c r="I563" s="104"/>
      <c r="J563" s="104"/>
      <c r="K563" s="70" t="s">
        <v>1813</v>
      </c>
      <c r="L563" s="145"/>
      <c r="M563" s="145"/>
      <c r="N563" s="145"/>
      <c r="O563" s="100"/>
      <c r="P563" s="100"/>
      <c r="Q563" s="101"/>
      <c r="R563" s="93" t="s">
        <v>36</v>
      </c>
      <c r="S563" s="93"/>
      <c r="T563" s="93"/>
      <c r="U563" s="94"/>
    </row>
    <row r="564" spans="1:21" x14ac:dyDescent="0.4">
      <c r="A564" s="86">
        <f t="shared" si="8"/>
        <v>560</v>
      </c>
      <c r="B564" s="92"/>
      <c r="C564" s="190"/>
      <c r="D564" s="164"/>
      <c r="E564" s="103"/>
      <c r="F564" s="103"/>
      <c r="G564" s="103"/>
      <c r="H564" s="149"/>
      <c r="I564" s="104"/>
      <c r="J564" s="104"/>
      <c r="K564" s="104"/>
      <c r="L564" s="145" t="s">
        <v>2916</v>
      </c>
      <c r="M564" s="145"/>
      <c r="N564" s="145"/>
      <c r="O564" s="100"/>
      <c r="P564" s="100"/>
      <c r="Q564" s="101"/>
      <c r="R564" s="93" t="s">
        <v>2927</v>
      </c>
      <c r="S564" s="93"/>
      <c r="T564" s="93"/>
      <c r="U564" s="94"/>
    </row>
    <row r="565" spans="1:21" x14ac:dyDescent="0.4">
      <c r="A565" s="86">
        <f t="shared" si="8"/>
        <v>561</v>
      </c>
      <c r="B565" s="92"/>
      <c r="C565" s="190"/>
      <c r="D565" s="164"/>
      <c r="E565" s="103"/>
      <c r="F565" s="103"/>
      <c r="G565" s="103"/>
      <c r="H565" s="149"/>
      <c r="I565" s="104"/>
      <c r="J565" s="104"/>
      <c r="K565" s="108"/>
      <c r="L565" s="145" t="s">
        <v>1815</v>
      </c>
      <c r="M565" s="145"/>
      <c r="N565" s="145"/>
      <c r="O565" s="100"/>
      <c r="P565" s="100"/>
      <c r="Q565" s="101"/>
      <c r="R565" s="93" t="s">
        <v>36</v>
      </c>
      <c r="S565" s="93"/>
      <c r="T565" s="93"/>
      <c r="U565" s="94"/>
    </row>
    <row r="566" spans="1:21" x14ac:dyDescent="0.4">
      <c r="A566" s="86">
        <f t="shared" si="8"/>
        <v>562</v>
      </c>
      <c r="B566" s="92"/>
      <c r="C566" s="190"/>
      <c r="D566" s="164"/>
      <c r="E566" s="103"/>
      <c r="F566" s="103"/>
      <c r="G566" s="103"/>
      <c r="H566" s="149"/>
      <c r="I566" s="104"/>
      <c r="J566" s="109" t="s">
        <v>1838</v>
      </c>
      <c r="K566" s="100"/>
      <c r="L566" s="145"/>
      <c r="M566" s="145"/>
      <c r="N566" s="145"/>
      <c r="O566" s="100"/>
      <c r="P566" s="100"/>
      <c r="Q566" s="101"/>
      <c r="R566" s="93" t="s">
        <v>1239</v>
      </c>
      <c r="S566" s="93"/>
      <c r="T566" s="93"/>
      <c r="U566" s="94"/>
    </row>
    <row r="567" spans="1:21" x14ac:dyDescent="0.4">
      <c r="A567" s="86">
        <f t="shared" si="8"/>
        <v>563</v>
      </c>
      <c r="B567" s="92"/>
      <c r="C567" s="190"/>
      <c r="D567" s="164"/>
      <c r="E567" s="103"/>
      <c r="F567" s="103"/>
      <c r="G567" s="103"/>
      <c r="H567" s="149"/>
      <c r="I567" s="104"/>
      <c r="J567" s="104"/>
      <c r="K567" s="70" t="s">
        <v>1813</v>
      </c>
      <c r="L567" s="145"/>
      <c r="M567" s="145"/>
      <c r="N567" s="145"/>
      <c r="O567" s="100"/>
      <c r="P567" s="100"/>
      <c r="Q567" s="101"/>
      <c r="R567" s="93" t="s">
        <v>36</v>
      </c>
      <c r="S567" s="93"/>
      <c r="T567" s="93"/>
      <c r="U567" s="94"/>
    </row>
    <row r="568" spans="1:21" x14ac:dyDescent="0.4">
      <c r="A568" s="86">
        <f t="shared" si="8"/>
        <v>564</v>
      </c>
      <c r="B568" s="92"/>
      <c r="C568" s="190"/>
      <c r="D568" s="164"/>
      <c r="E568" s="103"/>
      <c r="F568" s="103"/>
      <c r="G568" s="103"/>
      <c r="H568" s="149"/>
      <c r="I568" s="104"/>
      <c r="J568" s="104"/>
      <c r="K568" s="104"/>
      <c r="L568" s="145" t="s">
        <v>2916</v>
      </c>
      <c r="M568" s="145"/>
      <c r="N568" s="145"/>
      <c r="O568" s="100"/>
      <c r="P568" s="100"/>
      <c r="Q568" s="101"/>
      <c r="R568" s="93" t="s">
        <v>2927</v>
      </c>
      <c r="S568" s="93"/>
      <c r="T568" s="93"/>
      <c r="U568" s="94"/>
    </row>
    <row r="569" spans="1:21" x14ac:dyDescent="0.4">
      <c r="A569" s="86">
        <f t="shared" si="8"/>
        <v>565</v>
      </c>
      <c r="B569" s="92"/>
      <c r="C569" s="190"/>
      <c r="D569" s="164"/>
      <c r="E569" s="103"/>
      <c r="F569" s="103"/>
      <c r="G569" s="103"/>
      <c r="H569" s="149"/>
      <c r="I569" s="104"/>
      <c r="J569" s="104"/>
      <c r="K569" s="108"/>
      <c r="L569" s="145" t="s">
        <v>1815</v>
      </c>
      <c r="M569" s="145"/>
      <c r="N569" s="145"/>
      <c r="O569" s="100"/>
      <c r="P569" s="100"/>
      <c r="Q569" s="101"/>
      <c r="R569" s="93" t="s">
        <v>36</v>
      </c>
      <c r="S569" s="93"/>
      <c r="T569" s="93"/>
      <c r="U569" s="94"/>
    </row>
    <row r="570" spans="1:21" x14ac:dyDescent="0.4">
      <c r="A570" s="86">
        <f t="shared" si="8"/>
        <v>566</v>
      </c>
      <c r="B570" s="92"/>
      <c r="C570" s="190"/>
      <c r="D570" s="164"/>
      <c r="E570" s="103"/>
      <c r="F570" s="103"/>
      <c r="G570" s="103"/>
      <c r="H570" s="149"/>
      <c r="I570" s="104"/>
      <c r="J570" s="109" t="s">
        <v>1839</v>
      </c>
      <c r="K570" s="100"/>
      <c r="L570" s="145"/>
      <c r="M570" s="145"/>
      <c r="N570" s="145"/>
      <c r="O570" s="100"/>
      <c r="P570" s="100"/>
      <c r="Q570" s="101"/>
      <c r="R570" s="93" t="s">
        <v>1239</v>
      </c>
      <c r="S570" s="93"/>
      <c r="T570" s="93"/>
      <c r="U570" s="94"/>
    </row>
    <row r="571" spans="1:21" x14ac:dyDescent="0.4">
      <c r="A571" s="86">
        <f t="shared" si="8"/>
        <v>567</v>
      </c>
      <c r="B571" s="92"/>
      <c r="C571" s="190"/>
      <c r="D571" s="164"/>
      <c r="E571" s="103"/>
      <c r="F571" s="103"/>
      <c r="G571" s="103"/>
      <c r="H571" s="149"/>
      <c r="I571" s="104"/>
      <c r="J571" s="104"/>
      <c r="K571" s="70" t="s">
        <v>1813</v>
      </c>
      <c r="L571" s="145"/>
      <c r="M571" s="145"/>
      <c r="N571" s="145"/>
      <c r="O571" s="100"/>
      <c r="P571" s="100"/>
      <c r="Q571" s="101"/>
      <c r="R571" s="93" t="s">
        <v>36</v>
      </c>
      <c r="S571" s="93"/>
      <c r="T571" s="93"/>
      <c r="U571" s="94"/>
    </row>
    <row r="572" spans="1:21" x14ac:dyDescent="0.4">
      <c r="A572" s="86">
        <f t="shared" si="8"/>
        <v>568</v>
      </c>
      <c r="B572" s="92"/>
      <c r="C572" s="190"/>
      <c r="D572" s="164"/>
      <c r="E572" s="103"/>
      <c r="F572" s="103"/>
      <c r="G572" s="103"/>
      <c r="H572" s="149"/>
      <c r="I572" s="104"/>
      <c r="J572" s="104"/>
      <c r="K572" s="104"/>
      <c r="L572" s="145" t="s">
        <v>2916</v>
      </c>
      <c r="M572" s="145"/>
      <c r="N572" s="145"/>
      <c r="O572" s="100"/>
      <c r="P572" s="100"/>
      <c r="Q572" s="101"/>
      <c r="R572" s="93" t="s">
        <v>2982</v>
      </c>
      <c r="S572" s="93"/>
      <c r="T572" s="93"/>
      <c r="U572" s="94"/>
    </row>
    <row r="573" spans="1:21" x14ac:dyDescent="0.4">
      <c r="A573" s="86">
        <f t="shared" si="8"/>
        <v>569</v>
      </c>
      <c r="B573" s="92"/>
      <c r="C573" s="190"/>
      <c r="D573" s="164"/>
      <c r="E573" s="103"/>
      <c r="F573" s="103"/>
      <c r="G573" s="103"/>
      <c r="H573" s="149"/>
      <c r="I573" s="104"/>
      <c r="J573" s="109" t="s">
        <v>1840</v>
      </c>
      <c r="K573" s="100"/>
      <c r="L573" s="145"/>
      <c r="M573" s="145"/>
      <c r="N573" s="145"/>
      <c r="O573" s="100"/>
      <c r="P573" s="100"/>
      <c r="Q573" s="101"/>
      <c r="R573" s="93" t="s">
        <v>1239</v>
      </c>
      <c r="S573" s="93"/>
      <c r="T573" s="93"/>
      <c r="U573" s="94"/>
    </row>
    <row r="574" spans="1:21" x14ac:dyDescent="0.4">
      <c r="A574" s="86">
        <f t="shared" si="8"/>
        <v>570</v>
      </c>
      <c r="B574" s="92"/>
      <c r="C574" s="190"/>
      <c r="D574" s="164"/>
      <c r="E574" s="103"/>
      <c r="F574" s="103"/>
      <c r="G574" s="103"/>
      <c r="H574" s="149"/>
      <c r="I574" s="104"/>
      <c r="J574" s="104"/>
      <c r="K574" s="70" t="s">
        <v>1813</v>
      </c>
      <c r="L574" s="145"/>
      <c r="M574" s="145"/>
      <c r="N574" s="145"/>
      <c r="O574" s="100"/>
      <c r="P574" s="100"/>
      <c r="Q574" s="101"/>
      <c r="R574" s="93" t="s">
        <v>36</v>
      </c>
      <c r="S574" s="93"/>
      <c r="T574" s="93"/>
      <c r="U574" s="94"/>
    </row>
    <row r="575" spans="1:21" x14ac:dyDescent="0.4">
      <c r="A575" s="86">
        <f t="shared" si="8"/>
        <v>571</v>
      </c>
      <c r="B575" s="92"/>
      <c r="C575" s="190"/>
      <c r="D575" s="164"/>
      <c r="E575" s="103"/>
      <c r="F575" s="103"/>
      <c r="G575" s="103"/>
      <c r="H575" s="149"/>
      <c r="I575" s="104"/>
      <c r="J575" s="104"/>
      <c r="K575" s="104"/>
      <c r="L575" s="145" t="s">
        <v>2916</v>
      </c>
      <c r="M575" s="145"/>
      <c r="N575" s="145"/>
      <c r="O575" s="100"/>
      <c r="P575" s="100"/>
      <c r="Q575" s="101"/>
      <c r="R575" s="93" t="s">
        <v>2927</v>
      </c>
      <c r="S575" s="93"/>
      <c r="T575" s="93"/>
      <c r="U575" s="94"/>
    </row>
    <row r="576" spans="1:21" x14ac:dyDescent="0.4">
      <c r="A576" s="86">
        <f t="shared" si="8"/>
        <v>572</v>
      </c>
      <c r="B576" s="92"/>
      <c r="C576" s="190"/>
      <c r="D576" s="164"/>
      <c r="E576" s="103"/>
      <c r="F576" s="103"/>
      <c r="G576" s="103"/>
      <c r="H576" s="149"/>
      <c r="I576" s="104"/>
      <c r="J576" s="109" t="s">
        <v>1841</v>
      </c>
      <c r="K576" s="100"/>
      <c r="L576" s="145"/>
      <c r="M576" s="145"/>
      <c r="N576" s="145"/>
      <c r="O576" s="100"/>
      <c r="P576" s="100"/>
      <c r="Q576" s="101"/>
      <c r="R576" s="93" t="s">
        <v>1239</v>
      </c>
      <c r="S576" s="93"/>
      <c r="T576" s="93"/>
      <c r="U576" s="94"/>
    </row>
    <row r="577" spans="1:21" x14ac:dyDescent="0.4">
      <c r="A577" s="86">
        <f t="shared" si="8"/>
        <v>573</v>
      </c>
      <c r="B577" s="92"/>
      <c r="C577" s="190"/>
      <c r="D577" s="164"/>
      <c r="E577" s="103"/>
      <c r="F577" s="103"/>
      <c r="G577" s="103"/>
      <c r="H577" s="149"/>
      <c r="I577" s="104"/>
      <c r="J577" s="104"/>
      <c r="K577" s="70" t="s">
        <v>1813</v>
      </c>
      <c r="L577" s="145"/>
      <c r="M577" s="145"/>
      <c r="N577" s="145"/>
      <c r="O577" s="100"/>
      <c r="P577" s="100"/>
      <c r="Q577" s="101"/>
      <c r="R577" s="93" t="s">
        <v>36</v>
      </c>
      <c r="S577" s="93"/>
      <c r="T577" s="93"/>
      <c r="U577" s="94"/>
    </row>
    <row r="578" spans="1:21" x14ac:dyDescent="0.4">
      <c r="A578" s="86">
        <f t="shared" si="8"/>
        <v>574</v>
      </c>
      <c r="B578" s="92"/>
      <c r="C578" s="190"/>
      <c r="D578" s="164"/>
      <c r="E578" s="103"/>
      <c r="F578" s="103"/>
      <c r="G578" s="103"/>
      <c r="H578" s="149"/>
      <c r="I578" s="104"/>
      <c r="J578" s="104"/>
      <c r="K578" s="104"/>
      <c r="L578" s="145" t="s">
        <v>2916</v>
      </c>
      <c r="M578" s="145"/>
      <c r="N578" s="145"/>
      <c r="O578" s="100"/>
      <c r="P578" s="100"/>
      <c r="Q578" s="101"/>
      <c r="R578" s="93" t="s">
        <v>2982</v>
      </c>
      <c r="S578" s="93"/>
      <c r="T578" s="93"/>
      <c r="U578" s="94"/>
    </row>
    <row r="579" spans="1:21" x14ac:dyDescent="0.4">
      <c r="A579" s="86">
        <f t="shared" si="8"/>
        <v>575</v>
      </c>
      <c r="B579" s="92"/>
      <c r="C579" s="190"/>
      <c r="D579" s="164"/>
      <c r="E579" s="103"/>
      <c r="F579" s="103"/>
      <c r="G579" s="103"/>
      <c r="H579" s="149"/>
      <c r="I579" s="104"/>
      <c r="J579" s="109" t="s">
        <v>1842</v>
      </c>
      <c r="K579" s="100"/>
      <c r="L579" s="145"/>
      <c r="M579" s="145"/>
      <c r="N579" s="145"/>
      <c r="O579" s="100"/>
      <c r="P579" s="100"/>
      <c r="Q579" s="101"/>
      <c r="R579" s="93" t="s">
        <v>1239</v>
      </c>
      <c r="S579" s="93"/>
      <c r="T579" s="93"/>
      <c r="U579" s="94"/>
    </row>
    <row r="580" spans="1:21" x14ac:dyDescent="0.4">
      <c r="A580" s="86">
        <f t="shared" si="8"/>
        <v>576</v>
      </c>
      <c r="B580" s="92"/>
      <c r="C580" s="190"/>
      <c r="D580" s="164"/>
      <c r="E580" s="103"/>
      <c r="F580" s="103"/>
      <c r="G580" s="103"/>
      <c r="H580" s="149"/>
      <c r="I580" s="104"/>
      <c r="J580" s="104"/>
      <c r="K580" s="70" t="s">
        <v>1813</v>
      </c>
      <c r="L580" s="145"/>
      <c r="M580" s="145"/>
      <c r="N580" s="145"/>
      <c r="O580" s="100"/>
      <c r="P580" s="100"/>
      <c r="Q580" s="101"/>
      <c r="R580" s="93" t="s">
        <v>36</v>
      </c>
      <c r="S580" s="93"/>
      <c r="T580" s="93"/>
      <c r="U580" s="94"/>
    </row>
    <row r="581" spans="1:21" x14ac:dyDescent="0.4">
      <c r="A581" s="86">
        <f t="shared" si="8"/>
        <v>577</v>
      </c>
      <c r="B581" s="92"/>
      <c r="C581" s="190"/>
      <c r="D581" s="164"/>
      <c r="E581" s="103"/>
      <c r="F581" s="103"/>
      <c r="G581" s="103"/>
      <c r="H581" s="149"/>
      <c r="I581" s="104"/>
      <c r="J581" s="104"/>
      <c r="K581" s="104"/>
      <c r="L581" s="145" t="s">
        <v>2916</v>
      </c>
      <c r="M581" s="145"/>
      <c r="N581" s="145"/>
      <c r="O581" s="100"/>
      <c r="P581" s="100"/>
      <c r="Q581" s="101"/>
      <c r="R581" s="93" t="s">
        <v>2927</v>
      </c>
      <c r="S581" s="93"/>
      <c r="T581" s="93"/>
      <c r="U581" s="94"/>
    </row>
    <row r="582" spans="1:21" x14ac:dyDescent="0.4">
      <c r="A582" s="86">
        <f t="shared" si="8"/>
        <v>578</v>
      </c>
      <c r="B582" s="92"/>
      <c r="C582" s="190"/>
      <c r="D582" s="164"/>
      <c r="E582" s="103"/>
      <c r="F582" s="103"/>
      <c r="G582" s="103"/>
      <c r="H582" s="149"/>
      <c r="I582" s="104"/>
      <c r="J582" s="104"/>
      <c r="K582" s="108"/>
      <c r="L582" s="145" t="s">
        <v>1815</v>
      </c>
      <c r="M582" s="145"/>
      <c r="N582" s="145"/>
      <c r="O582" s="100"/>
      <c r="P582" s="100"/>
      <c r="Q582" s="101"/>
      <c r="R582" s="93" t="s">
        <v>36</v>
      </c>
      <c r="S582" s="93"/>
      <c r="T582" s="93"/>
      <c r="U582" s="94"/>
    </row>
    <row r="583" spans="1:21" x14ac:dyDescent="0.4">
      <c r="A583" s="86">
        <f t="shared" ref="A583:A646" si="9">A582+1</f>
        <v>579</v>
      </c>
      <c r="B583" s="92"/>
      <c r="C583" s="190"/>
      <c r="D583" s="164"/>
      <c r="E583" s="103"/>
      <c r="F583" s="103"/>
      <c r="G583" s="103"/>
      <c r="H583" s="149"/>
      <c r="I583" s="104"/>
      <c r="J583" s="109" t="s">
        <v>1843</v>
      </c>
      <c r="K583" s="100"/>
      <c r="L583" s="145"/>
      <c r="M583" s="145"/>
      <c r="N583" s="145"/>
      <c r="O583" s="100"/>
      <c r="P583" s="100"/>
      <c r="Q583" s="101"/>
      <c r="R583" s="93" t="s">
        <v>1239</v>
      </c>
      <c r="S583" s="93"/>
      <c r="T583" s="93"/>
      <c r="U583" s="94"/>
    </row>
    <row r="584" spans="1:21" x14ac:dyDescent="0.4">
      <c r="A584" s="86">
        <f t="shared" si="9"/>
        <v>580</v>
      </c>
      <c r="B584" s="92"/>
      <c r="C584" s="190"/>
      <c r="D584" s="164"/>
      <c r="E584" s="103"/>
      <c r="F584" s="103"/>
      <c r="G584" s="103"/>
      <c r="H584" s="149"/>
      <c r="I584" s="104"/>
      <c r="J584" s="104"/>
      <c r="K584" s="70" t="s">
        <v>1813</v>
      </c>
      <c r="L584" s="145"/>
      <c r="M584" s="145"/>
      <c r="N584" s="145"/>
      <c r="O584" s="100"/>
      <c r="P584" s="100"/>
      <c r="Q584" s="101"/>
      <c r="R584" s="93" t="s">
        <v>36</v>
      </c>
      <c r="S584" s="93"/>
      <c r="T584" s="93"/>
      <c r="U584" s="94"/>
    </row>
    <row r="585" spans="1:21" x14ac:dyDescent="0.4">
      <c r="A585" s="86">
        <f t="shared" si="9"/>
        <v>581</v>
      </c>
      <c r="B585" s="92"/>
      <c r="C585" s="190"/>
      <c r="D585" s="164"/>
      <c r="E585" s="103"/>
      <c r="F585" s="103"/>
      <c r="G585" s="103"/>
      <c r="H585" s="149"/>
      <c r="I585" s="104"/>
      <c r="J585" s="104"/>
      <c r="K585" s="104"/>
      <c r="L585" s="145" t="s">
        <v>2916</v>
      </c>
      <c r="M585" s="145"/>
      <c r="N585" s="145"/>
      <c r="O585" s="100"/>
      <c r="P585" s="100"/>
      <c r="Q585" s="101"/>
      <c r="R585" s="93" t="s">
        <v>2927</v>
      </c>
      <c r="S585" s="93"/>
      <c r="T585" s="93"/>
      <c r="U585" s="94"/>
    </row>
    <row r="586" spans="1:21" x14ac:dyDescent="0.4">
      <c r="A586" s="86">
        <f t="shared" si="9"/>
        <v>582</v>
      </c>
      <c r="B586" s="92"/>
      <c r="C586" s="190"/>
      <c r="D586" s="164"/>
      <c r="E586" s="103"/>
      <c r="F586" s="103"/>
      <c r="G586" s="103"/>
      <c r="H586" s="149"/>
      <c r="I586" s="108"/>
      <c r="J586" s="108"/>
      <c r="K586" s="108"/>
      <c r="L586" s="145" t="s">
        <v>1815</v>
      </c>
      <c r="M586" s="145"/>
      <c r="N586" s="145"/>
      <c r="O586" s="100"/>
      <c r="P586" s="100"/>
      <c r="Q586" s="101"/>
      <c r="R586" s="93" t="s">
        <v>36</v>
      </c>
      <c r="S586" s="93"/>
      <c r="T586" s="93"/>
      <c r="U586" s="94"/>
    </row>
    <row r="587" spans="1:21" x14ac:dyDescent="0.4">
      <c r="A587" s="86">
        <f t="shared" si="9"/>
        <v>583</v>
      </c>
      <c r="B587" s="92"/>
      <c r="C587" s="190"/>
      <c r="D587" s="164"/>
      <c r="E587" s="103"/>
      <c r="F587" s="103"/>
      <c r="G587" s="103"/>
      <c r="H587" s="149"/>
      <c r="I587" s="70" t="s">
        <v>1846</v>
      </c>
      <c r="J587" s="145"/>
      <c r="K587" s="145"/>
      <c r="L587" s="145"/>
      <c r="M587" s="145"/>
      <c r="N587" s="145"/>
      <c r="O587" s="100"/>
      <c r="P587" s="100"/>
      <c r="Q587" s="101"/>
      <c r="R587" s="93" t="s">
        <v>1239</v>
      </c>
      <c r="S587" s="93"/>
      <c r="T587" s="93"/>
      <c r="U587" s="94"/>
    </row>
    <row r="588" spans="1:21" x14ac:dyDescent="0.4">
      <c r="A588" s="86">
        <f t="shared" si="9"/>
        <v>584</v>
      </c>
      <c r="B588" s="92"/>
      <c r="C588" s="190"/>
      <c r="D588" s="164"/>
      <c r="E588" s="103"/>
      <c r="F588" s="103"/>
      <c r="G588" s="103"/>
      <c r="H588" s="149"/>
      <c r="I588" s="104"/>
      <c r="J588" s="70" t="s">
        <v>1812</v>
      </c>
      <c r="K588" s="145"/>
      <c r="L588" s="145"/>
      <c r="M588" s="145"/>
      <c r="N588" s="145"/>
      <c r="O588" s="100"/>
      <c r="P588" s="100"/>
      <c r="Q588" s="101"/>
      <c r="R588" s="93" t="s">
        <v>1239</v>
      </c>
      <c r="S588" s="93"/>
      <c r="T588" s="93"/>
      <c r="U588" s="94"/>
    </row>
    <row r="589" spans="1:21" x14ac:dyDescent="0.4">
      <c r="A589" s="86">
        <f t="shared" si="9"/>
        <v>585</v>
      </c>
      <c r="B589" s="92"/>
      <c r="C589" s="190"/>
      <c r="D589" s="164"/>
      <c r="E589" s="103"/>
      <c r="F589" s="103"/>
      <c r="G589" s="103"/>
      <c r="H589" s="149"/>
      <c r="I589" s="104"/>
      <c r="J589" s="104"/>
      <c r="K589" s="70" t="s">
        <v>1813</v>
      </c>
      <c r="L589" s="145"/>
      <c r="M589" s="145"/>
      <c r="N589" s="145"/>
      <c r="O589" s="100"/>
      <c r="P589" s="100"/>
      <c r="Q589" s="101"/>
      <c r="R589" s="93" t="s">
        <v>36</v>
      </c>
      <c r="S589" s="93"/>
      <c r="T589" s="93"/>
      <c r="U589" s="94"/>
    </row>
    <row r="590" spans="1:21" x14ac:dyDescent="0.4">
      <c r="A590" s="86">
        <f t="shared" si="9"/>
        <v>586</v>
      </c>
      <c r="B590" s="92"/>
      <c r="C590" s="190"/>
      <c r="D590" s="164"/>
      <c r="E590" s="103"/>
      <c r="F590" s="103"/>
      <c r="G590" s="103"/>
      <c r="H590" s="149"/>
      <c r="I590" s="104"/>
      <c r="J590" s="104"/>
      <c r="K590" s="104"/>
      <c r="L590" s="145" t="s">
        <v>2916</v>
      </c>
      <c r="M590" s="145"/>
      <c r="N590" s="145"/>
      <c r="O590" s="100"/>
      <c r="P590" s="100"/>
      <c r="Q590" s="101"/>
      <c r="R590" s="93" t="s">
        <v>2927</v>
      </c>
      <c r="S590" s="93"/>
      <c r="T590" s="93"/>
      <c r="U590" s="94"/>
    </row>
    <row r="591" spans="1:21" x14ac:dyDescent="0.4">
      <c r="A591" s="86">
        <f t="shared" si="9"/>
        <v>587</v>
      </c>
      <c r="B591" s="92"/>
      <c r="C591" s="190"/>
      <c r="D591" s="164"/>
      <c r="E591" s="103"/>
      <c r="F591" s="103"/>
      <c r="G591" s="103"/>
      <c r="H591" s="149"/>
      <c r="I591" s="104"/>
      <c r="J591" s="104"/>
      <c r="K591" s="104"/>
      <c r="L591" s="145" t="s">
        <v>1814</v>
      </c>
      <c r="M591" s="145"/>
      <c r="N591" s="145"/>
      <c r="O591" s="100"/>
      <c r="P591" s="100"/>
      <c r="Q591" s="101"/>
      <c r="R591" s="93" t="s">
        <v>36</v>
      </c>
      <c r="S591" s="93"/>
      <c r="T591" s="93"/>
      <c r="U591" s="94"/>
    </row>
    <row r="592" spans="1:21" x14ac:dyDescent="0.4">
      <c r="A592" s="86">
        <f t="shared" si="9"/>
        <v>588</v>
      </c>
      <c r="B592" s="92"/>
      <c r="C592" s="190"/>
      <c r="D592" s="164"/>
      <c r="E592" s="103"/>
      <c r="F592" s="103"/>
      <c r="G592" s="103"/>
      <c r="H592" s="149"/>
      <c r="I592" s="104"/>
      <c r="J592" s="104"/>
      <c r="K592" s="108"/>
      <c r="L592" s="145" t="s">
        <v>1815</v>
      </c>
      <c r="M592" s="145"/>
      <c r="N592" s="145"/>
      <c r="O592" s="100"/>
      <c r="P592" s="100"/>
      <c r="Q592" s="101"/>
      <c r="R592" s="93" t="s">
        <v>36</v>
      </c>
      <c r="S592" s="93"/>
      <c r="T592" s="93"/>
      <c r="U592" s="94"/>
    </row>
    <row r="593" spans="1:21" x14ac:dyDescent="0.4">
      <c r="A593" s="86">
        <f t="shared" si="9"/>
        <v>589</v>
      </c>
      <c r="B593" s="92"/>
      <c r="C593" s="190"/>
      <c r="D593" s="164"/>
      <c r="E593" s="103"/>
      <c r="F593" s="103"/>
      <c r="G593" s="103"/>
      <c r="H593" s="149"/>
      <c r="I593" s="104"/>
      <c r="J593" s="109" t="s">
        <v>1816</v>
      </c>
      <c r="K593" s="145"/>
      <c r="L593" s="145"/>
      <c r="M593" s="145"/>
      <c r="N593" s="145"/>
      <c r="O593" s="100"/>
      <c r="P593" s="100"/>
      <c r="Q593" s="101"/>
      <c r="R593" s="93" t="s">
        <v>1239</v>
      </c>
      <c r="S593" s="93"/>
      <c r="T593" s="93"/>
      <c r="U593" s="94"/>
    </row>
    <row r="594" spans="1:21" x14ac:dyDescent="0.4">
      <c r="A594" s="86">
        <f t="shared" si="9"/>
        <v>590</v>
      </c>
      <c r="B594" s="92"/>
      <c r="C594" s="190"/>
      <c r="D594" s="164"/>
      <c r="E594" s="103"/>
      <c r="F594" s="103"/>
      <c r="G594" s="103"/>
      <c r="H594" s="149"/>
      <c r="I594" s="104"/>
      <c r="J594" s="104"/>
      <c r="K594" s="70" t="s">
        <v>1813</v>
      </c>
      <c r="L594" s="145"/>
      <c r="M594" s="145"/>
      <c r="N594" s="145"/>
      <c r="O594" s="100"/>
      <c r="P594" s="100"/>
      <c r="Q594" s="101"/>
      <c r="R594" s="93" t="s">
        <v>36</v>
      </c>
      <c r="S594" s="93"/>
      <c r="T594" s="93"/>
      <c r="U594" s="94"/>
    </row>
    <row r="595" spans="1:21" x14ac:dyDescent="0.4">
      <c r="A595" s="86">
        <f t="shared" si="9"/>
        <v>591</v>
      </c>
      <c r="B595" s="92"/>
      <c r="C595" s="190"/>
      <c r="D595" s="164"/>
      <c r="E595" s="103"/>
      <c r="F595" s="103"/>
      <c r="G595" s="103"/>
      <c r="H595" s="149"/>
      <c r="I595" s="104"/>
      <c r="J595" s="104"/>
      <c r="K595" s="104"/>
      <c r="L595" s="145" t="s">
        <v>2916</v>
      </c>
      <c r="M595" s="145"/>
      <c r="N595" s="145"/>
      <c r="O595" s="100"/>
      <c r="P595" s="100"/>
      <c r="Q595" s="101"/>
      <c r="R595" s="93" t="s">
        <v>2927</v>
      </c>
      <c r="S595" s="93"/>
      <c r="T595" s="93"/>
      <c r="U595" s="94"/>
    </row>
    <row r="596" spans="1:21" x14ac:dyDescent="0.4">
      <c r="A596" s="86">
        <f t="shared" si="9"/>
        <v>592</v>
      </c>
      <c r="B596" s="92"/>
      <c r="C596" s="190"/>
      <c r="D596" s="164"/>
      <c r="E596" s="103"/>
      <c r="F596" s="103"/>
      <c r="G596" s="103"/>
      <c r="H596" s="149"/>
      <c r="I596" s="104"/>
      <c r="J596" s="104"/>
      <c r="K596" s="108"/>
      <c r="L596" s="145" t="s">
        <v>1815</v>
      </c>
      <c r="M596" s="145"/>
      <c r="N596" s="145"/>
      <c r="O596" s="100"/>
      <c r="P596" s="100"/>
      <c r="Q596" s="101"/>
      <c r="R596" s="93" t="s">
        <v>36</v>
      </c>
      <c r="S596" s="93"/>
      <c r="T596" s="93"/>
      <c r="U596" s="94"/>
    </row>
    <row r="597" spans="1:21" x14ac:dyDescent="0.4">
      <c r="A597" s="86">
        <f t="shared" si="9"/>
        <v>593</v>
      </c>
      <c r="B597" s="92"/>
      <c r="C597" s="190"/>
      <c r="D597" s="164"/>
      <c r="E597" s="103"/>
      <c r="F597" s="103"/>
      <c r="G597" s="103"/>
      <c r="H597" s="149"/>
      <c r="I597" s="104"/>
      <c r="J597" s="109" t="s">
        <v>1817</v>
      </c>
      <c r="K597" s="145"/>
      <c r="L597" s="145"/>
      <c r="M597" s="145"/>
      <c r="N597" s="145"/>
      <c r="O597" s="100"/>
      <c r="P597" s="100"/>
      <c r="Q597" s="101"/>
      <c r="R597" s="93" t="s">
        <v>1239</v>
      </c>
      <c r="S597" s="93"/>
      <c r="T597" s="93"/>
      <c r="U597" s="94"/>
    </row>
    <row r="598" spans="1:21" x14ac:dyDescent="0.4">
      <c r="A598" s="86">
        <f t="shared" si="9"/>
        <v>594</v>
      </c>
      <c r="B598" s="92"/>
      <c r="C598" s="190"/>
      <c r="D598" s="164"/>
      <c r="E598" s="103"/>
      <c r="F598" s="103"/>
      <c r="G598" s="103"/>
      <c r="H598" s="149"/>
      <c r="I598" s="104"/>
      <c r="J598" s="104"/>
      <c r="K598" s="70" t="s">
        <v>1813</v>
      </c>
      <c r="L598" s="145"/>
      <c r="M598" s="145"/>
      <c r="N598" s="145"/>
      <c r="O598" s="100"/>
      <c r="P598" s="100"/>
      <c r="Q598" s="101"/>
      <c r="R598" s="93" t="s">
        <v>36</v>
      </c>
      <c r="S598" s="93"/>
      <c r="T598" s="93"/>
      <c r="U598" s="94"/>
    </row>
    <row r="599" spans="1:21" x14ac:dyDescent="0.4">
      <c r="A599" s="86">
        <f t="shared" si="9"/>
        <v>595</v>
      </c>
      <c r="B599" s="92"/>
      <c r="C599" s="190"/>
      <c r="D599" s="164"/>
      <c r="E599" s="103"/>
      <c r="F599" s="103"/>
      <c r="G599" s="103"/>
      <c r="H599" s="149"/>
      <c r="I599" s="104"/>
      <c r="J599" s="104"/>
      <c r="K599" s="104"/>
      <c r="L599" s="145" t="s">
        <v>2916</v>
      </c>
      <c r="M599" s="145"/>
      <c r="N599" s="145"/>
      <c r="O599" s="100"/>
      <c r="P599" s="100"/>
      <c r="Q599" s="101"/>
      <c r="R599" s="93" t="s">
        <v>2927</v>
      </c>
      <c r="S599" s="93"/>
      <c r="T599" s="93"/>
      <c r="U599" s="94"/>
    </row>
    <row r="600" spans="1:21" x14ac:dyDescent="0.4">
      <c r="A600" s="86">
        <f t="shared" si="9"/>
        <v>596</v>
      </c>
      <c r="B600" s="92"/>
      <c r="C600" s="190"/>
      <c r="D600" s="164"/>
      <c r="E600" s="103"/>
      <c r="F600" s="103"/>
      <c r="G600" s="103"/>
      <c r="H600" s="149"/>
      <c r="I600" s="104"/>
      <c r="J600" s="104"/>
      <c r="K600" s="108"/>
      <c r="L600" s="145" t="s">
        <v>1815</v>
      </c>
      <c r="M600" s="145"/>
      <c r="N600" s="145"/>
      <c r="O600" s="100"/>
      <c r="P600" s="100"/>
      <c r="Q600" s="101"/>
      <c r="R600" s="93" t="s">
        <v>36</v>
      </c>
      <c r="S600" s="93"/>
      <c r="T600" s="93"/>
      <c r="U600" s="94"/>
    </row>
    <row r="601" spans="1:21" x14ac:dyDescent="0.4">
      <c r="A601" s="86">
        <f t="shared" si="9"/>
        <v>597</v>
      </c>
      <c r="B601" s="92"/>
      <c r="C601" s="190"/>
      <c r="D601" s="164"/>
      <c r="E601" s="103"/>
      <c r="F601" s="103"/>
      <c r="G601" s="103"/>
      <c r="H601" s="149"/>
      <c r="I601" s="104"/>
      <c r="J601" s="109" t="s">
        <v>1818</v>
      </c>
      <c r="K601" s="145"/>
      <c r="L601" s="145"/>
      <c r="M601" s="145"/>
      <c r="N601" s="145"/>
      <c r="O601" s="100"/>
      <c r="P601" s="100"/>
      <c r="Q601" s="101"/>
      <c r="R601" s="93" t="s">
        <v>1239</v>
      </c>
      <c r="S601" s="93"/>
      <c r="T601" s="93"/>
      <c r="U601" s="94"/>
    </row>
    <row r="602" spans="1:21" x14ac:dyDescent="0.4">
      <c r="A602" s="86">
        <f t="shared" si="9"/>
        <v>598</v>
      </c>
      <c r="B602" s="92"/>
      <c r="C602" s="190"/>
      <c r="D602" s="164"/>
      <c r="E602" s="103"/>
      <c r="F602" s="103"/>
      <c r="G602" s="103"/>
      <c r="H602" s="149"/>
      <c r="I602" s="104"/>
      <c r="J602" s="104"/>
      <c r="K602" s="70" t="s">
        <v>1813</v>
      </c>
      <c r="L602" s="145"/>
      <c r="M602" s="145"/>
      <c r="N602" s="145"/>
      <c r="O602" s="100"/>
      <c r="P602" s="100"/>
      <c r="Q602" s="101"/>
      <c r="R602" s="93" t="s">
        <v>36</v>
      </c>
      <c r="S602" s="93"/>
      <c r="T602" s="93"/>
      <c r="U602" s="94"/>
    </row>
    <row r="603" spans="1:21" x14ac:dyDescent="0.4">
      <c r="A603" s="86">
        <f t="shared" si="9"/>
        <v>599</v>
      </c>
      <c r="B603" s="92"/>
      <c r="C603" s="190"/>
      <c r="D603" s="164"/>
      <c r="E603" s="103"/>
      <c r="F603" s="103"/>
      <c r="G603" s="103"/>
      <c r="H603" s="149"/>
      <c r="I603" s="104"/>
      <c r="J603" s="104"/>
      <c r="K603" s="104"/>
      <c r="L603" s="145" t="s">
        <v>2916</v>
      </c>
      <c r="M603" s="145"/>
      <c r="N603" s="145"/>
      <c r="O603" s="100"/>
      <c r="P603" s="100"/>
      <c r="Q603" s="101"/>
      <c r="R603" s="93" t="s">
        <v>2927</v>
      </c>
      <c r="S603" s="93"/>
      <c r="T603" s="93"/>
      <c r="U603" s="94"/>
    </row>
    <row r="604" spans="1:21" x14ac:dyDescent="0.4">
      <c r="A604" s="86">
        <f t="shared" si="9"/>
        <v>600</v>
      </c>
      <c r="B604" s="92"/>
      <c r="C604" s="190"/>
      <c r="D604" s="164"/>
      <c r="E604" s="103"/>
      <c r="F604" s="103"/>
      <c r="G604" s="103"/>
      <c r="H604" s="149"/>
      <c r="I604" s="104"/>
      <c r="J604" s="104"/>
      <c r="K604" s="108"/>
      <c r="L604" s="145" t="s">
        <v>1815</v>
      </c>
      <c r="M604" s="145"/>
      <c r="N604" s="145"/>
      <c r="O604" s="100"/>
      <c r="P604" s="100"/>
      <c r="Q604" s="101"/>
      <c r="R604" s="93" t="s">
        <v>36</v>
      </c>
      <c r="S604" s="93"/>
      <c r="T604" s="93"/>
      <c r="U604" s="94"/>
    </row>
    <row r="605" spans="1:21" x14ac:dyDescent="0.4">
      <c r="A605" s="86">
        <f t="shared" si="9"/>
        <v>601</v>
      </c>
      <c r="B605" s="92"/>
      <c r="C605" s="190"/>
      <c r="D605" s="164"/>
      <c r="E605" s="103"/>
      <c r="F605" s="103"/>
      <c r="G605" s="103"/>
      <c r="H605" s="149"/>
      <c r="I605" s="104"/>
      <c r="J605" s="109" t="s">
        <v>1819</v>
      </c>
      <c r="K605" s="145"/>
      <c r="L605" s="145"/>
      <c r="M605" s="145"/>
      <c r="N605" s="145"/>
      <c r="O605" s="100"/>
      <c r="P605" s="100"/>
      <c r="Q605" s="101"/>
      <c r="R605" s="93" t="s">
        <v>1239</v>
      </c>
      <c r="S605" s="93"/>
      <c r="T605" s="93"/>
      <c r="U605" s="94"/>
    </row>
    <row r="606" spans="1:21" x14ac:dyDescent="0.4">
      <c r="A606" s="86">
        <f t="shared" si="9"/>
        <v>602</v>
      </c>
      <c r="B606" s="92"/>
      <c r="C606" s="190"/>
      <c r="D606" s="164"/>
      <c r="E606" s="103"/>
      <c r="F606" s="103"/>
      <c r="G606" s="103"/>
      <c r="H606" s="149"/>
      <c r="I606" s="104"/>
      <c r="J606" s="104"/>
      <c r="K606" s="70" t="s">
        <v>1813</v>
      </c>
      <c r="L606" s="145"/>
      <c r="M606" s="145"/>
      <c r="N606" s="145"/>
      <c r="O606" s="100"/>
      <c r="P606" s="100"/>
      <c r="Q606" s="101"/>
      <c r="R606" s="93" t="s">
        <v>36</v>
      </c>
      <c r="S606" s="93"/>
      <c r="T606" s="93"/>
      <c r="U606" s="94"/>
    </row>
    <row r="607" spans="1:21" x14ac:dyDescent="0.4">
      <c r="A607" s="86">
        <f t="shared" si="9"/>
        <v>603</v>
      </c>
      <c r="B607" s="92"/>
      <c r="C607" s="190"/>
      <c r="D607" s="164"/>
      <c r="E607" s="103"/>
      <c r="F607" s="103"/>
      <c r="G607" s="103"/>
      <c r="H607" s="149"/>
      <c r="I607" s="104"/>
      <c r="J607" s="104"/>
      <c r="K607" s="104"/>
      <c r="L607" s="145" t="s">
        <v>2916</v>
      </c>
      <c r="M607" s="145"/>
      <c r="N607" s="145"/>
      <c r="O607" s="100"/>
      <c r="P607" s="100"/>
      <c r="Q607" s="101"/>
      <c r="R607" s="93" t="s">
        <v>2927</v>
      </c>
      <c r="S607" s="93"/>
      <c r="T607" s="93"/>
      <c r="U607" s="94"/>
    </row>
    <row r="608" spans="1:21" x14ac:dyDescent="0.4">
      <c r="A608" s="86">
        <f t="shared" si="9"/>
        <v>604</v>
      </c>
      <c r="B608" s="92"/>
      <c r="C608" s="190"/>
      <c r="D608" s="164"/>
      <c r="E608" s="103"/>
      <c r="F608" s="103"/>
      <c r="G608" s="103"/>
      <c r="H608" s="149"/>
      <c r="I608" s="104"/>
      <c r="J608" s="104"/>
      <c r="K608" s="104"/>
      <c r="L608" s="145" t="s">
        <v>1820</v>
      </c>
      <c r="M608" s="145"/>
      <c r="N608" s="145"/>
      <c r="O608" s="100"/>
      <c r="P608" s="100"/>
      <c r="Q608" s="101"/>
      <c r="R608" s="93" t="s">
        <v>36</v>
      </c>
      <c r="S608" s="93"/>
      <c r="T608" s="93"/>
      <c r="U608" s="94"/>
    </row>
    <row r="609" spans="1:21" x14ac:dyDescent="0.4">
      <c r="A609" s="86">
        <f t="shared" si="9"/>
        <v>605</v>
      </c>
      <c r="B609" s="92"/>
      <c r="C609" s="190"/>
      <c r="D609" s="164"/>
      <c r="E609" s="103"/>
      <c r="F609" s="103"/>
      <c r="G609" s="103"/>
      <c r="H609" s="149"/>
      <c r="I609" s="104"/>
      <c r="J609" s="104"/>
      <c r="K609" s="108"/>
      <c r="L609" s="145" t="s">
        <v>1815</v>
      </c>
      <c r="M609" s="145"/>
      <c r="N609" s="145"/>
      <c r="O609" s="100"/>
      <c r="P609" s="100"/>
      <c r="Q609" s="101"/>
      <c r="R609" s="93" t="s">
        <v>36</v>
      </c>
      <c r="S609" s="93"/>
      <c r="T609" s="93"/>
      <c r="U609" s="94"/>
    </row>
    <row r="610" spans="1:21" x14ac:dyDescent="0.4">
      <c r="A610" s="86">
        <f t="shared" si="9"/>
        <v>606</v>
      </c>
      <c r="B610" s="92"/>
      <c r="C610" s="190"/>
      <c r="D610" s="164"/>
      <c r="E610" s="103"/>
      <c r="F610" s="103"/>
      <c r="G610" s="103"/>
      <c r="H610" s="149"/>
      <c r="I610" s="104"/>
      <c r="J610" s="109" t="s">
        <v>1821</v>
      </c>
      <c r="K610" s="145"/>
      <c r="L610" s="145"/>
      <c r="M610" s="145"/>
      <c r="N610" s="145"/>
      <c r="O610" s="100"/>
      <c r="P610" s="100"/>
      <c r="Q610" s="101"/>
      <c r="R610" s="93" t="s">
        <v>1239</v>
      </c>
      <c r="S610" s="93"/>
      <c r="T610" s="93"/>
      <c r="U610" s="94"/>
    </row>
    <row r="611" spans="1:21" x14ac:dyDescent="0.4">
      <c r="A611" s="86">
        <f t="shared" si="9"/>
        <v>607</v>
      </c>
      <c r="B611" s="92"/>
      <c r="C611" s="190"/>
      <c r="D611" s="164"/>
      <c r="E611" s="103"/>
      <c r="F611" s="103"/>
      <c r="G611" s="103"/>
      <c r="H611" s="149"/>
      <c r="I611" s="104"/>
      <c r="J611" s="104"/>
      <c r="K611" s="70" t="s">
        <v>1813</v>
      </c>
      <c r="L611" s="145"/>
      <c r="M611" s="145"/>
      <c r="N611" s="145"/>
      <c r="O611" s="100"/>
      <c r="P611" s="100"/>
      <c r="Q611" s="101"/>
      <c r="R611" s="93" t="s">
        <v>36</v>
      </c>
      <c r="S611" s="93"/>
      <c r="T611" s="93"/>
      <c r="U611" s="94"/>
    </row>
    <row r="612" spans="1:21" x14ac:dyDescent="0.4">
      <c r="A612" s="86">
        <f t="shared" si="9"/>
        <v>608</v>
      </c>
      <c r="B612" s="92"/>
      <c r="C612" s="190"/>
      <c r="D612" s="164"/>
      <c r="E612" s="103"/>
      <c r="F612" s="103"/>
      <c r="G612" s="103"/>
      <c r="H612" s="149"/>
      <c r="I612" s="104"/>
      <c r="J612" s="104"/>
      <c r="K612" s="104"/>
      <c r="L612" s="145" t="s">
        <v>2916</v>
      </c>
      <c r="M612" s="145"/>
      <c r="N612" s="145"/>
      <c r="O612" s="100"/>
      <c r="P612" s="100"/>
      <c r="Q612" s="101"/>
      <c r="R612" s="93" t="s">
        <v>2982</v>
      </c>
      <c r="S612" s="93"/>
      <c r="T612" s="93"/>
      <c r="U612" s="94"/>
    </row>
    <row r="613" spans="1:21" x14ac:dyDescent="0.4">
      <c r="A613" s="86">
        <f t="shared" si="9"/>
        <v>609</v>
      </c>
      <c r="B613" s="92"/>
      <c r="C613" s="190"/>
      <c r="D613" s="164"/>
      <c r="E613" s="103"/>
      <c r="F613" s="103"/>
      <c r="G613" s="103"/>
      <c r="H613" s="149"/>
      <c r="I613" s="104"/>
      <c r="J613" s="104"/>
      <c r="K613" s="108"/>
      <c r="L613" s="145" t="s">
        <v>1822</v>
      </c>
      <c r="M613" s="145"/>
      <c r="N613" s="145"/>
      <c r="O613" s="100"/>
      <c r="P613" s="100"/>
      <c r="Q613" s="101"/>
      <c r="R613" s="93" t="s">
        <v>36</v>
      </c>
      <c r="S613" s="93"/>
      <c r="T613" s="93"/>
      <c r="U613" s="94"/>
    </row>
    <row r="614" spans="1:21" x14ac:dyDescent="0.4">
      <c r="A614" s="86">
        <f t="shared" si="9"/>
        <v>610</v>
      </c>
      <c r="B614" s="92"/>
      <c r="C614" s="190"/>
      <c r="D614" s="164"/>
      <c r="E614" s="103"/>
      <c r="F614" s="103"/>
      <c r="G614" s="103"/>
      <c r="H614" s="149"/>
      <c r="I614" s="104"/>
      <c r="J614" s="109" t="s">
        <v>1823</v>
      </c>
      <c r="K614" s="145"/>
      <c r="L614" s="145"/>
      <c r="M614" s="145"/>
      <c r="N614" s="145"/>
      <c r="O614" s="100"/>
      <c r="P614" s="100"/>
      <c r="Q614" s="101"/>
      <c r="R614" s="93" t="s">
        <v>1239</v>
      </c>
      <c r="S614" s="93"/>
      <c r="T614" s="93"/>
      <c r="U614" s="94"/>
    </row>
    <row r="615" spans="1:21" x14ac:dyDescent="0.4">
      <c r="A615" s="86">
        <f t="shared" si="9"/>
        <v>611</v>
      </c>
      <c r="B615" s="92"/>
      <c r="C615" s="190"/>
      <c r="D615" s="164"/>
      <c r="E615" s="103"/>
      <c r="F615" s="103"/>
      <c r="G615" s="103"/>
      <c r="H615" s="149"/>
      <c r="I615" s="104"/>
      <c r="J615" s="104"/>
      <c r="K615" s="70" t="s">
        <v>1813</v>
      </c>
      <c r="L615" s="145"/>
      <c r="M615" s="145"/>
      <c r="N615" s="145"/>
      <c r="O615" s="100"/>
      <c r="P615" s="100"/>
      <c r="Q615" s="101"/>
      <c r="R615" s="93" t="s">
        <v>36</v>
      </c>
      <c r="S615" s="93"/>
      <c r="T615" s="93"/>
      <c r="U615" s="94"/>
    </row>
    <row r="616" spans="1:21" x14ac:dyDescent="0.4">
      <c r="A616" s="86">
        <f t="shared" si="9"/>
        <v>612</v>
      </c>
      <c r="B616" s="92"/>
      <c r="C616" s="190"/>
      <c r="D616" s="164"/>
      <c r="E616" s="103"/>
      <c r="F616" s="103"/>
      <c r="G616" s="103"/>
      <c r="H616" s="149"/>
      <c r="I616" s="104"/>
      <c r="J616" s="104"/>
      <c r="K616" s="104"/>
      <c r="L616" s="145" t="s">
        <v>2916</v>
      </c>
      <c r="M616" s="145"/>
      <c r="N616" s="145"/>
      <c r="O616" s="100"/>
      <c r="P616" s="100"/>
      <c r="Q616" s="101"/>
      <c r="R616" s="93" t="s">
        <v>2982</v>
      </c>
      <c r="S616" s="93"/>
      <c r="T616" s="93"/>
      <c r="U616" s="94"/>
    </row>
    <row r="617" spans="1:21" x14ac:dyDescent="0.4">
      <c r="A617" s="86">
        <f t="shared" si="9"/>
        <v>613</v>
      </c>
      <c r="B617" s="92"/>
      <c r="C617" s="190"/>
      <c r="D617" s="164"/>
      <c r="E617" s="103"/>
      <c r="F617" s="103"/>
      <c r="G617" s="103"/>
      <c r="H617" s="149"/>
      <c r="I617" s="104"/>
      <c r="J617" s="104"/>
      <c r="K617" s="108"/>
      <c r="L617" s="145" t="s">
        <v>1824</v>
      </c>
      <c r="M617" s="145"/>
      <c r="N617" s="145"/>
      <c r="O617" s="100"/>
      <c r="P617" s="100"/>
      <c r="Q617" s="101"/>
      <c r="R617" s="93" t="s">
        <v>36</v>
      </c>
      <c r="S617" s="93"/>
      <c r="T617" s="93"/>
      <c r="U617" s="94"/>
    </row>
    <row r="618" spans="1:21" x14ac:dyDescent="0.4">
      <c r="A618" s="86">
        <f t="shared" si="9"/>
        <v>614</v>
      </c>
      <c r="B618" s="92"/>
      <c r="C618" s="190"/>
      <c r="D618" s="164"/>
      <c r="E618" s="103"/>
      <c r="F618" s="103"/>
      <c r="G618" s="103"/>
      <c r="H618" s="149"/>
      <c r="I618" s="104"/>
      <c r="J618" s="109" t="s">
        <v>1825</v>
      </c>
      <c r="K618" s="145"/>
      <c r="L618" s="145"/>
      <c r="M618" s="145"/>
      <c r="N618" s="145"/>
      <c r="O618" s="100"/>
      <c r="P618" s="100"/>
      <c r="Q618" s="101"/>
      <c r="R618" s="93" t="s">
        <v>1239</v>
      </c>
      <c r="S618" s="93"/>
      <c r="T618" s="93"/>
      <c r="U618" s="94"/>
    </row>
    <row r="619" spans="1:21" x14ac:dyDescent="0.4">
      <c r="A619" s="86">
        <f t="shared" si="9"/>
        <v>615</v>
      </c>
      <c r="B619" s="92"/>
      <c r="C619" s="190"/>
      <c r="D619" s="164"/>
      <c r="E619" s="103"/>
      <c r="F619" s="103"/>
      <c r="G619" s="103"/>
      <c r="H619" s="149"/>
      <c r="I619" s="104"/>
      <c r="J619" s="104"/>
      <c r="K619" s="70" t="s">
        <v>1813</v>
      </c>
      <c r="L619" s="145"/>
      <c r="M619" s="145"/>
      <c r="N619" s="145"/>
      <c r="O619" s="100"/>
      <c r="P619" s="100"/>
      <c r="Q619" s="101"/>
      <c r="R619" s="93" t="s">
        <v>36</v>
      </c>
      <c r="S619" s="93"/>
      <c r="T619" s="93"/>
      <c r="U619" s="94"/>
    </row>
    <row r="620" spans="1:21" x14ac:dyDescent="0.4">
      <c r="A620" s="86">
        <f t="shared" si="9"/>
        <v>616</v>
      </c>
      <c r="B620" s="92"/>
      <c r="C620" s="190"/>
      <c r="D620" s="164"/>
      <c r="E620" s="103"/>
      <c r="F620" s="103"/>
      <c r="G620" s="103"/>
      <c r="H620" s="149"/>
      <c r="I620" s="104"/>
      <c r="J620" s="104"/>
      <c r="K620" s="104"/>
      <c r="L620" s="145" t="s">
        <v>2916</v>
      </c>
      <c r="M620" s="145"/>
      <c r="N620" s="145"/>
      <c r="O620" s="100"/>
      <c r="P620" s="100"/>
      <c r="Q620" s="101"/>
      <c r="R620" s="93" t="s">
        <v>2927</v>
      </c>
      <c r="S620" s="93"/>
      <c r="T620" s="93"/>
      <c r="U620" s="94"/>
    </row>
    <row r="621" spans="1:21" x14ac:dyDescent="0.4">
      <c r="A621" s="86">
        <f t="shared" si="9"/>
        <v>617</v>
      </c>
      <c r="B621" s="92"/>
      <c r="C621" s="190"/>
      <c r="D621" s="164"/>
      <c r="E621" s="103"/>
      <c r="F621" s="103"/>
      <c r="G621" s="103"/>
      <c r="H621" s="149"/>
      <c r="I621" s="104"/>
      <c r="J621" s="109" t="s">
        <v>1826</v>
      </c>
      <c r="K621" s="100"/>
      <c r="L621" s="145"/>
      <c r="M621" s="145"/>
      <c r="N621" s="145"/>
      <c r="O621" s="100"/>
      <c r="P621" s="100"/>
      <c r="Q621" s="101"/>
      <c r="R621" s="93" t="s">
        <v>1239</v>
      </c>
      <c r="S621" s="93"/>
      <c r="T621" s="93"/>
      <c r="U621" s="94"/>
    </row>
    <row r="622" spans="1:21" x14ac:dyDescent="0.4">
      <c r="A622" s="86">
        <f t="shared" si="9"/>
        <v>618</v>
      </c>
      <c r="B622" s="92"/>
      <c r="C622" s="190"/>
      <c r="D622" s="164"/>
      <c r="E622" s="103"/>
      <c r="F622" s="103"/>
      <c r="G622" s="103"/>
      <c r="H622" s="149"/>
      <c r="I622" s="104"/>
      <c r="J622" s="104"/>
      <c r="K622" s="70" t="s">
        <v>1813</v>
      </c>
      <c r="L622" s="145"/>
      <c r="M622" s="145"/>
      <c r="N622" s="145"/>
      <c r="O622" s="100"/>
      <c r="P622" s="100"/>
      <c r="Q622" s="101"/>
      <c r="R622" s="93" t="s">
        <v>36</v>
      </c>
      <c r="S622" s="93"/>
      <c r="T622" s="93"/>
      <c r="U622" s="94"/>
    </row>
    <row r="623" spans="1:21" x14ac:dyDescent="0.4">
      <c r="A623" s="86">
        <f t="shared" si="9"/>
        <v>619</v>
      </c>
      <c r="B623" s="92"/>
      <c r="C623" s="190"/>
      <c r="D623" s="164"/>
      <c r="E623" s="103"/>
      <c r="F623" s="103"/>
      <c r="G623" s="103"/>
      <c r="H623" s="149"/>
      <c r="I623" s="104"/>
      <c r="J623" s="104"/>
      <c r="K623" s="104"/>
      <c r="L623" s="145" t="s">
        <v>2916</v>
      </c>
      <c r="M623" s="145"/>
      <c r="N623" s="145"/>
      <c r="O623" s="100"/>
      <c r="P623" s="100"/>
      <c r="Q623" s="101"/>
      <c r="R623" s="93" t="s">
        <v>2927</v>
      </c>
      <c r="S623" s="93"/>
      <c r="T623" s="93"/>
      <c r="U623" s="94"/>
    </row>
    <row r="624" spans="1:21" x14ac:dyDescent="0.4">
      <c r="A624" s="86">
        <f t="shared" si="9"/>
        <v>620</v>
      </c>
      <c r="B624" s="92"/>
      <c r="C624" s="190"/>
      <c r="D624" s="164"/>
      <c r="E624" s="103"/>
      <c r="F624" s="103"/>
      <c r="G624" s="103"/>
      <c r="H624" s="149"/>
      <c r="I624" s="104"/>
      <c r="J624" s="104"/>
      <c r="K624" s="108"/>
      <c r="L624" s="145" t="s">
        <v>1815</v>
      </c>
      <c r="M624" s="145"/>
      <c r="N624" s="145"/>
      <c r="O624" s="100"/>
      <c r="P624" s="100"/>
      <c r="Q624" s="101"/>
      <c r="R624" s="93" t="s">
        <v>36</v>
      </c>
      <c r="S624" s="93"/>
      <c r="T624" s="93"/>
      <c r="U624" s="94"/>
    </row>
    <row r="625" spans="1:21" x14ac:dyDescent="0.4">
      <c r="A625" s="86">
        <f t="shared" si="9"/>
        <v>621</v>
      </c>
      <c r="B625" s="92"/>
      <c r="C625" s="190"/>
      <c r="D625" s="164"/>
      <c r="E625" s="103"/>
      <c r="F625" s="103"/>
      <c r="G625" s="103"/>
      <c r="H625" s="149"/>
      <c r="I625" s="104"/>
      <c r="J625" s="109" t="s">
        <v>1827</v>
      </c>
      <c r="K625" s="100"/>
      <c r="L625" s="145"/>
      <c r="M625" s="145"/>
      <c r="N625" s="145"/>
      <c r="O625" s="100"/>
      <c r="P625" s="100"/>
      <c r="Q625" s="101"/>
      <c r="R625" s="93" t="s">
        <v>1239</v>
      </c>
      <c r="S625" s="93"/>
      <c r="T625" s="93"/>
      <c r="U625" s="94"/>
    </row>
    <row r="626" spans="1:21" x14ac:dyDescent="0.4">
      <c r="A626" s="86">
        <f t="shared" si="9"/>
        <v>622</v>
      </c>
      <c r="B626" s="92"/>
      <c r="C626" s="190"/>
      <c r="D626" s="164"/>
      <c r="E626" s="103"/>
      <c r="F626" s="103"/>
      <c r="G626" s="103"/>
      <c r="H626" s="149"/>
      <c r="I626" s="104"/>
      <c r="J626" s="104"/>
      <c r="K626" s="70" t="s">
        <v>1813</v>
      </c>
      <c r="L626" s="145"/>
      <c r="M626" s="145"/>
      <c r="N626" s="145"/>
      <c r="O626" s="100"/>
      <c r="P626" s="100"/>
      <c r="Q626" s="101"/>
      <c r="R626" s="93" t="s">
        <v>36</v>
      </c>
      <c r="S626" s="93"/>
      <c r="T626" s="93"/>
      <c r="U626" s="94"/>
    </row>
    <row r="627" spans="1:21" x14ac:dyDescent="0.4">
      <c r="A627" s="86">
        <f t="shared" si="9"/>
        <v>623</v>
      </c>
      <c r="B627" s="92"/>
      <c r="C627" s="190"/>
      <c r="D627" s="164"/>
      <c r="E627" s="103"/>
      <c r="F627" s="103"/>
      <c r="G627" s="103"/>
      <c r="H627" s="149"/>
      <c r="I627" s="104"/>
      <c r="J627" s="104"/>
      <c r="K627" s="104"/>
      <c r="L627" s="145" t="s">
        <v>2916</v>
      </c>
      <c r="M627" s="145"/>
      <c r="N627" s="145"/>
      <c r="O627" s="100"/>
      <c r="P627" s="100"/>
      <c r="Q627" s="101"/>
      <c r="R627" s="93" t="s">
        <v>2927</v>
      </c>
      <c r="S627" s="93"/>
      <c r="T627" s="93"/>
      <c r="U627" s="94"/>
    </row>
    <row r="628" spans="1:21" x14ac:dyDescent="0.4">
      <c r="A628" s="86">
        <f t="shared" si="9"/>
        <v>624</v>
      </c>
      <c r="B628" s="92"/>
      <c r="C628" s="190"/>
      <c r="D628" s="164"/>
      <c r="E628" s="103"/>
      <c r="F628" s="103"/>
      <c r="G628" s="103"/>
      <c r="H628" s="149"/>
      <c r="I628" s="104"/>
      <c r="J628" s="104"/>
      <c r="K628" s="108"/>
      <c r="L628" s="145" t="s">
        <v>1815</v>
      </c>
      <c r="M628" s="145"/>
      <c r="N628" s="145"/>
      <c r="O628" s="100"/>
      <c r="P628" s="100"/>
      <c r="Q628" s="101"/>
      <c r="R628" s="93" t="s">
        <v>36</v>
      </c>
      <c r="S628" s="93"/>
      <c r="T628" s="93"/>
      <c r="U628" s="94"/>
    </row>
    <row r="629" spans="1:21" x14ac:dyDescent="0.4">
      <c r="A629" s="86">
        <f t="shared" si="9"/>
        <v>625</v>
      </c>
      <c r="B629" s="92"/>
      <c r="C629" s="190"/>
      <c r="D629" s="164"/>
      <c r="E629" s="103"/>
      <c r="F629" s="103"/>
      <c r="G629" s="103"/>
      <c r="H629" s="149"/>
      <c r="I629" s="104"/>
      <c r="J629" s="109" t="s">
        <v>1828</v>
      </c>
      <c r="K629" s="100"/>
      <c r="L629" s="145"/>
      <c r="M629" s="145"/>
      <c r="N629" s="145"/>
      <c r="O629" s="100"/>
      <c r="P629" s="100"/>
      <c r="Q629" s="101"/>
      <c r="R629" s="93" t="s">
        <v>1239</v>
      </c>
      <c r="S629" s="93"/>
      <c r="T629" s="93"/>
      <c r="U629" s="94"/>
    </row>
    <row r="630" spans="1:21" x14ac:dyDescent="0.4">
      <c r="A630" s="86">
        <f t="shared" si="9"/>
        <v>626</v>
      </c>
      <c r="B630" s="92"/>
      <c r="C630" s="190"/>
      <c r="D630" s="164"/>
      <c r="E630" s="103"/>
      <c r="F630" s="103"/>
      <c r="G630" s="103"/>
      <c r="H630" s="149"/>
      <c r="I630" s="104"/>
      <c r="J630" s="104"/>
      <c r="K630" s="70" t="s">
        <v>1813</v>
      </c>
      <c r="L630" s="145"/>
      <c r="M630" s="145"/>
      <c r="N630" s="145"/>
      <c r="O630" s="100"/>
      <c r="P630" s="100"/>
      <c r="Q630" s="101"/>
      <c r="R630" s="93" t="s">
        <v>36</v>
      </c>
      <c r="S630" s="93"/>
      <c r="T630" s="93"/>
      <c r="U630" s="94"/>
    </row>
    <row r="631" spans="1:21" x14ac:dyDescent="0.4">
      <c r="A631" s="86">
        <f t="shared" si="9"/>
        <v>627</v>
      </c>
      <c r="B631" s="92"/>
      <c r="C631" s="190"/>
      <c r="D631" s="164"/>
      <c r="E631" s="103"/>
      <c r="F631" s="103"/>
      <c r="G631" s="103"/>
      <c r="H631" s="149"/>
      <c r="I631" s="104"/>
      <c r="J631" s="104"/>
      <c r="K631" s="104"/>
      <c r="L631" s="145" t="s">
        <v>2916</v>
      </c>
      <c r="M631" s="145"/>
      <c r="N631" s="145"/>
      <c r="O631" s="100"/>
      <c r="P631" s="100"/>
      <c r="Q631" s="101"/>
      <c r="R631" s="93" t="s">
        <v>2927</v>
      </c>
      <c r="S631" s="93"/>
      <c r="T631" s="93"/>
      <c r="U631" s="94"/>
    </row>
    <row r="632" spans="1:21" x14ac:dyDescent="0.4">
      <c r="A632" s="86">
        <f t="shared" si="9"/>
        <v>628</v>
      </c>
      <c r="B632" s="92"/>
      <c r="C632" s="190"/>
      <c r="D632" s="164"/>
      <c r="E632" s="103"/>
      <c r="F632" s="103"/>
      <c r="G632" s="103"/>
      <c r="H632" s="149"/>
      <c r="I632" s="104"/>
      <c r="J632" s="104"/>
      <c r="K632" s="104"/>
      <c r="L632" s="145" t="s">
        <v>1829</v>
      </c>
      <c r="M632" s="145"/>
      <c r="N632" s="145"/>
      <c r="O632" s="100"/>
      <c r="P632" s="100"/>
      <c r="Q632" s="101"/>
      <c r="R632" s="93" t="s">
        <v>36</v>
      </c>
      <c r="S632" s="93"/>
      <c r="T632" s="93"/>
      <c r="U632" s="94"/>
    </row>
    <row r="633" spans="1:21" x14ac:dyDescent="0.4">
      <c r="A633" s="86">
        <f t="shared" si="9"/>
        <v>629</v>
      </c>
      <c r="B633" s="92"/>
      <c r="C633" s="190"/>
      <c r="D633" s="164"/>
      <c r="E633" s="103"/>
      <c r="F633" s="103"/>
      <c r="G633" s="103"/>
      <c r="H633" s="149"/>
      <c r="I633" s="104"/>
      <c r="J633" s="104"/>
      <c r="K633" s="108"/>
      <c r="L633" s="145" t="s">
        <v>1815</v>
      </c>
      <c r="M633" s="145"/>
      <c r="N633" s="145"/>
      <c r="O633" s="100"/>
      <c r="P633" s="100"/>
      <c r="Q633" s="101"/>
      <c r="R633" s="93" t="s">
        <v>36</v>
      </c>
      <c r="S633" s="93"/>
      <c r="T633" s="93"/>
      <c r="U633" s="94"/>
    </row>
    <row r="634" spans="1:21" x14ac:dyDescent="0.4">
      <c r="A634" s="86">
        <f t="shared" si="9"/>
        <v>630</v>
      </c>
      <c r="B634" s="92"/>
      <c r="C634" s="190"/>
      <c r="D634" s="164"/>
      <c r="E634" s="103"/>
      <c r="F634" s="103"/>
      <c r="G634" s="103"/>
      <c r="H634" s="149"/>
      <c r="I634" s="104"/>
      <c r="J634" s="109" t="s">
        <v>1830</v>
      </c>
      <c r="K634" s="100"/>
      <c r="L634" s="145"/>
      <c r="M634" s="145"/>
      <c r="N634" s="145"/>
      <c r="O634" s="100"/>
      <c r="P634" s="100"/>
      <c r="Q634" s="101"/>
      <c r="R634" s="93" t="s">
        <v>1239</v>
      </c>
      <c r="S634" s="93"/>
      <c r="T634" s="93"/>
      <c r="U634" s="94"/>
    </row>
    <row r="635" spans="1:21" x14ac:dyDescent="0.4">
      <c r="A635" s="86">
        <f t="shared" si="9"/>
        <v>631</v>
      </c>
      <c r="B635" s="92"/>
      <c r="C635" s="190"/>
      <c r="D635" s="164"/>
      <c r="E635" s="103"/>
      <c r="F635" s="103"/>
      <c r="G635" s="103"/>
      <c r="H635" s="149"/>
      <c r="I635" s="104"/>
      <c r="J635" s="104"/>
      <c r="K635" s="70" t="s">
        <v>1813</v>
      </c>
      <c r="L635" s="145"/>
      <c r="M635" s="145"/>
      <c r="N635" s="145"/>
      <c r="O635" s="100"/>
      <c r="P635" s="100"/>
      <c r="Q635" s="101"/>
      <c r="R635" s="93" t="s">
        <v>20</v>
      </c>
      <c r="S635" s="93"/>
      <c r="T635" s="93"/>
      <c r="U635" s="94"/>
    </row>
    <row r="636" spans="1:21" x14ac:dyDescent="0.4">
      <c r="A636" s="86">
        <f t="shared" si="9"/>
        <v>632</v>
      </c>
      <c r="B636" s="92"/>
      <c r="C636" s="190"/>
      <c r="D636" s="164"/>
      <c r="E636" s="103"/>
      <c r="F636" s="103"/>
      <c r="G636" s="103"/>
      <c r="H636" s="149"/>
      <c r="I636" s="104"/>
      <c r="J636" s="104"/>
      <c r="K636" s="104"/>
      <c r="L636" s="145" t="s">
        <v>2916</v>
      </c>
      <c r="M636" s="145"/>
      <c r="N636" s="145"/>
      <c r="O636" s="100"/>
      <c r="P636" s="100"/>
      <c r="Q636" s="101"/>
      <c r="R636" s="93" t="s">
        <v>2982</v>
      </c>
      <c r="S636" s="93"/>
      <c r="T636" s="93"/>
      <c r="U636" s="94"/>
    </row>
    <row r="637" spans="1:21" x14ac:dyDescent="0.4">
      <c r="A637" s="86">
        <f t="shared" si="9"/>
        <v>633</v>
      </c>
      <c r="B637" s="92"/>
      <c r="C637" s="190"/>
      <c r="D637" s="164"/>
      <c r="E637" s="103"/>
      <c r="F637" s="103"/>
      <c r="G637" s="103"/>
      <c r="H637" s="149"/>
      <c r="I637" s="104"/>
      <c r="J637" s="104"/>
      <c r="K637" s="108"/>
      <c r="L637" s="145" t="s">
        <v>1831</v>
      </c>
      <c r="M637" s="145"/>
      <c r="N637" s="145"/>
      <c r="O637" s="100"/>
      <c r="P637" s="100"/>
      <c r="Q637" s="101"/>
      <c r="R637" s="93" t="s">
        <v>36</v>
      </c>
      <c r="S637" s="93"/>
      <c r="T637" s="93"/>
      <c r="U637" s="94"/>
    </row>
    <row r="638" spans="1:21" x14ac:dyDescent="0.4">
      <c r="A638" s="86">
        <f t="shared" si="9"/>
        <v>634</v>
      </c>
      <c r="B638" s="92"/>
      <c r="C638" s="190"/>
      <c r="D638" s="164"/>
      <c r="E638" s="103"/>
      <c r="F638" s="103"/>
      <c r="G638" s="103"/>
      <c r="H638" s="149"/>
      <c r="I638" s="104"/>
      <c r="J638" s="109" t="s">
        <v>1832</v>
      </c>
      <c r="K638" s="100"/>
      <c r="L638" s="145"/>
      <c r="M638" s="145"/>
      <c r="N638" s="145"/>
      <c r="O638" s="100"/>
      <c r="P638" s="100"/>
      <c r="Q638" s="101"/>
      <c r="R638" s="93" t="s">
        <v>1239</v>
      </c>
      <c r="S638" s="93"/>
      <c r="T638" s="93"/>
      <c r="U638" s="94"/>
    </row>
    <row r="639" spans="1:21" x14ac:dyDescent="0.4">
      <c r="A639" s="86">
        <f t="shared" si="9"/>
        <v>635</v>
      </c>
      <c r="B639" s="92"/>
      <c r="C639" s="190"/>
      <c r="D639" s="164"/>
      <c r="E639" s="103"/>
      <c r="F639" s="103"/>
      <c r="G639" s="103"/>
      <c r="H639" s="149"/>
      <c r="I639" s="104"/>
      <c r="J639" s="104"/>
      <c r="K639" s="70" t="s">
        <v>1813</v>
      </c>
      <c r="L639" s="145"/>
      <c r="M639" s="145"/>
      <c r="N639" s="145"/>
      <c r="O639" s="100"/>
      <c r="P639" s="100"/>
      <c r="Q639" s="101"/>
      <c r="R639" s="93" t="s">
        <v>36</v>
      </c>
      <c r="S639" s="93"/>
      <c r="T639" s="93"/>
      <c r="U639" s="94"/>
    </row>
    <row r="640" spans="1:21" x14ac:dyDescent="0.4">
      <c r="A640" s="86">
        <f t="shared" si="9"/>
        <v>636</v>
      </c>
      <c r="B640" s="92"/>
      <c r="C640" s="190"/>
      <c r="D640" s="164"/>
      <c r="E640" s="103"/>
      <c r="F640" s="103"/>
      <c r="G640" s="103"/>
      <c r="H640" s="149"/>
      <c r="I640" s="104"/>
      <c r="J640" s="104"/>
      <c r="K640" s="104"/>
      <c r="L640" s="145" t="s">
        <v>2916</v>
      </c>
      <c r="M640" s="145"/>
      <c r="N640" s="145"/>
      <c r="O640" s="100"/>
      <c r="P640" s="100"/>
      <c r="Q640" s="101"/>
      <c r="R640" s="93" t="s">
        <v>2927</v>
      </c>
      <c r="S640" s="93"/>
      <c r="T640" s="93"/>
      <c r="U640" s="94"/>
    </row>
    <row r="641" spans="1:21" x14ac:dyDescent="0.4">
      <c r="A641" s="86">
        <f t="shared" si="9"/>
        <v>637</v>
      </c>
      <c r="B641" s="92"/>
      <c r="C641" s="190"/>
      <c r="D641" s="164"/>
      <c r="E641" s="103"/>
      <c r="F641" s="103"/>
      <c r="G641" s="103"/>
      <c r="H641" s="149"/>
      <c r="I641" s="104"/>
      <c r="J641" s="104"/>
      <c r="K641" s="104"/>
      <c r="L641" s="145" t="s">
        <v>1833</v>
      </c>
      <c r="M641" s="145"/>
      <c r="N641" s="145"/>
      <c r="O641" s="100"/>
      <c r="P641" s="100"/>
      <c r="Q641" s="101"/>
      <c r="R641" s="93" t="s">
        <v>36</v>
      </c>
      <c r="S641" s="93"/>
      <c r="T641" s="93"/>
      <c r="U641" s="94"/>
    </row>
    <row r="642" spans="1:21" x14ac:dyDescent="0.4">
      <c r="A642" s="86">
        <f t="shared" si="9"/>
        <v>638</v>
      </c>
      <c r="B642" s="92"/>
      <c r="C642" s="190"/>
      <c r="D642" s="164"/>
      <c r="E642" s="103"/>
      <c r="F642" s="103"/>
      <c r="G642" s="103"/>
      <c r="H642" s="149"/>
      <c r="I642" s="104"/>
      <c r="J642" s="104"/>
      <c r="K642" s="108"/>
      <c r="L642" s="145" t="s">
        <v>1815</v>
      </c>
      <c r="M642" s="145"/>
      <c r="N642" s="145"/>
      <c r="O642" s="100"/>
      <c r="P642" s="100"/>
      <c r="Q642" s="101"/>
      <c r="R642" s="93" t="s">
        <v>36</v>
      </c>
      <c r="S642" s="93"/>
      <c r="T642" s="93"/>
      <c r="U642" s="94"/>
    </row>
    <row r="643" spans="1:21" x14ac:dyDescent="0.4">
      <c r="A643" s="86">
        <f t="shared" si="9"/>
        <v>639</v>
      </c>
      <c r="B643" s="92"/>
      <c r="C643" s="190"/>
      <c r="D643" s="164"/>
      <c r="E643" s="103"/>
      <c r="F643" s="103"/>
      <c r="G643" s="103"/>
      <c r="H643" s="149"/>
      <c r="I643" s="104"/>
      <c r="J643" s="109" t="s">
        <v>1834</v>
      </c>
      <c r="K643" s="100"/>
      <c r="L643" s="145"/>
      <c r="M643" s="145"/>
      <c r="N643" s="145"/>
      <c r="O643" s="100"/>
      <c r="P643" s="100"/>
      <c r="Q643" s="101"/>
      <c r="R643" s="93" t="s">
        <v>1239</v>
      </c>
      <c r="S643" s="93"/>
      <c r="T643" s="93"/>
      <c r="U643" s="94"/>
    </row>
    <row r="644" spans="1:21" x14ac:dyDescent="0.4">
      <c r="A644" s="86">
        <f t="shared" si="9"/>
        <v>640</v>
      </c>
      <c r="B644" s="92"/>
      <c r="C644" s="190"/>
      <c r="D644" s="164"/>
      <c r="E644" s="103"/>
      <c r="F644" s="103"/>
      <c r="G644" s="103"/>
      <c r="H644" s="149"/>
      <c r="I644" s="104"/>
      <c r="J644" s="104"/>
      <c r="K644" s="70" t="s">
        <v>1813</v>
      </c>
      <c r="L644" s="145"/>
      <c r="M644" s="145"/>
      <c r="N644" s="145"/>
      <c r="O644" s="100"/>
      <c r="P644" s="100"/>
      <c r="Q644" s="101"/>
      <c r="R644" s="93" t="s">
        <v>36</v>
      </c>
      <c r="S644" s="93"/>
      <c r="T644" s="93"/>
      <c r="U644" s="94"/>
    </row>
    <row r="645" spans="1:21" x14ac:dyDescent="0.4">
      <c r="A645" s="86">
        <f t="shared" si="9"/>
        <v>641</v>
      </c>
      <c r="B645" s="92"/>
      <c r="C645" s="190"/>
      <c r="D645" s="164"/>
      <c r="E645" s="103"/>
      <c r="F645" s="103"/>
      <c r="G645" s="103"/>
      <c r="H645" s="149"/>
      <c r="I645" s="104"/>
      <c r="J645" s="104"/>
      <c r="K645" s="104"/>
      <c r="L645" s="145" t="s">
        <v>2916</v>
      </c>
      <c r="M645" s="145"/>
      <c r="N645" s="145"/>
      <c r="O645" s="100"/>
      <c r="P645" s="100"/>
      <c r="Q645" s="101"/>
      <c r="R645" s="93" t="s">
        <v>2927</v>
      </c>
      <c r="S645" s="93"/>
      <c r="T645" s="93"/>
      <c r="U645" s="94"/>
    </row>
    <row r="646" spans="1:21" x14ac:dyDescent="0.4">
      <c r="A646" s="86">
        <f t="shared" si="9"/>
        <v>642</v>
      </c>
      <c r="B646" s="92"/>
      <c r="C646" s="190"/>
      <c r="D646" s="164"/>
      <c r="E646" s="103"/>
      <c r="F646" s="103"/>
      <c r="G646" s="103"/>
      <c r="H646" s="149"/>
      <c r="I646" s="104"/>
      <c r="J646" s="104"/>
      <c r="K646" s="108"/>
      <c r="L646" s="145" t="s">
        <v>1815</v>
      </c>
      <c r="M646" s="145"/>
      <c r="N646" s="145"/>
      <c r="O646" s="100"/>
      <c r="P646" s="100"/>
      <c r="Q646" s="101"/>
      <c r="R646" s="93" t="s">
        <v>36</v>
      </c>
      <c r="S646" s="93"/>
      <c r="T646" s="93"/>
      <c r="U646" s="94"/>
    </row>
    <row r="647" spans="1:21" x14ac:dyDescent="0.4">
      <c r="A647" s="86">
        <f t="shared" ref="A647:A710" si="10">A646+1</f>
        <v>643</v>
      </c>
      <c r="B647" s="92"/>
      <c r="C647" s="190"/>
      <c r="D647" s="164"/>
      <c r="E647" s="103"/>
      <c r="F647" s="103"/>
      <c r="G647" s="103"/>
      <c r="H647" s="149"/>
      <c r="I647" s="104"/>
      <c r="J647" s="109" t="s">
        <v>1835</v>
      </c>
      <c r="K647" s="100"/>
      <c r="L647" s="145"/>
      <c r="M647" s="145"/>
      <c r="N647" s="145"/>
      <c r="O647" s="100"/>
      <c r="P647" s="100"/>
      <c r="Q647" s="101"/>
      <c r="R647" s="93" t="s">
        <v>1239</v>
      </c>
      <c r="S647" s="93"/>
      <c r="T647" s="93"/>
      <c r="U647" s="94"/>
    </row>
    <row r="648" spans="1:21" x14ac:dyDescent="0.4">
      <c r="A648" s="86">
        <f t="shared" si="10"/>
        <v>644</v>
      </c>
      <c r="B648" s="92"/>
      <c r="C648" s="190"/>
      <c r="D648" s="164"/>
      <c r="E648" s="103"/>
      <c r="F648" s="103"/>
      <c r="G648" s="103"/>
      <c r="H648" s="149"/>
      <c r="I648" s="104"/>
      <c r="J648" s="104"/>
      <c r="K648" s="70" t="s">
        <v>1813</v>
      </c>
      <c r="L648" s="145"/>
      <c r="M648" s="145"/>
      <c r="N648" s="145"/>
      <c r="O648" s="100"/>
      <c r="P648" s="100"/>
      <c r="Q648" s="101"/>
      <c r="R648" s="93" t="s">
        <v>36</v>
      </c>
      <c r="S648" s="93"/>
      <c r="T648" s="93"/>
      <c r="U648" s="94"/>
    </row>
    <row r="649" spans="1:21" x14ac:dyDescent="0.4">
      <c r="A649" s="86">
        <f t="shared" si="10"/>
        <v>645</v>
      </c>
      <c r="B649" s="92"/>
      <c r="C649" s="190"/>
      <c r="D649" s="164"/>
      <c r="E649" s="103"/>
      <c r="F649" s="103"/>
      <c r="G649" s="103"/>
      <c r="H649" s="149"/>
      <c r="I649" s="104"/>
      <c r="J649" s="104"/>
      <c r="K649" s="104"/>
      <c r="L649" s="145" t="s">
        <v>2916</v>
      </c>
      <c r="M649" s="145"/>
      <c r="N649" s="145"/>
      <c r="O649" s="100"/>
      <c r="P649" s="100"/>
      <c r="Q649" s="101"/>
      <c r="R649" s="93" t="s">
        <v>2982</v>
      </c>
      <c r="S649" s="93"/>
      <c r="T649" s="93"/>
      <c r="U649" s="94"/>
    </row>
    <row r="650" spans="1:21" x14ac:dyDescent="0.4">
      <c r="A650" s="86">
        <f t="shared" si="10"/>
        <v>646</v>
      </c>
      <c r="B650" s="92"/>
      <c r="C650" s="190"/>
      <c r="D650" s="164"/>
      <c r="E650" s="103"/>
      <c r="F650" s="103"/>
      <c r="G650" s="103"/>
      <c r="H650" s="149"/>
      <c r="I650" s="104"/>
      <c r="J650" s="104"/>
      <c r="K650" s="108"/>
      <c r="L650" s="145" t="s">
        <v>1836</v>
      </c>
      <c r="M650" s="145"/>
      <c r="N650" s="145"/>
      <c r="O650" s="100"/>
      <c r="P650" s="100"/>
      <c r="Q650" s="101"/>
      <c r="R650" s="93" t="s">
        <v>36</v>
      </c>
      <c r="S650" s="93"/>
      <c r="T650" s="93"/>
      <c r="U650" s="94"/>
    </row>
    <row r="651" spans="1:21" x14ac:dyDescent="0.4">
      <c r="A651" s="86">
        <f t="shared" si="10"/>
        <v>647</v>
      </c>
      <c r="B651" s="92"/>
      <c r="C651" s="190"/>
      <c r="D651" s="164"/>
      <c r="E651" s="103"/>
      <c r="F651" s="103"/>
      <c r="G651" s="103"/>
      <c r="H651" s="149"/>
      <c r="I651" s="104"/>
      <c r="J651" s="109" t="s">
        <v>1837</v>
      </c>
      <c r="K651" s="100"/>
      <c r="L651" s="145"/>
      <c r="M651" s="145"/>
      <c r="N651" s="145"/>
      <c r="O651" s="100"/>
      <c r="P651" s="100"/>
      <c r="Q651" s="101"/>
      <c r="R651" s="93" t="s">
        <v>1239</v>
      </c>
      <c r="S651" s="93"/>
      <c r="T651" s="93"/>
      <c r="U651" s="94"/>
    </row>
    <row r="652" spans="1:21" x14ac:dyDescent="0.4">
      <c r="A652" s="86">
        <f t="shared" si="10"/>
        <v>648</v>
      </c>
      <c r="B652" s="92"/>
      <c r="C652" s="190"/>
      <c r="D652" s="164"/>
      <c r="E652" s="103"/>
      <c r="F652" s="103"/>
      <c r="G652" s="103"/>
      <c r="H652" s="149"/>
      <c r="I652" s="104"/>
      <c r="J652" s="104"/>
      <c r="K652" s="70" t="s">
        <v>1813</v>
      </c>
      <c r="L652" s="145"/>
      <c r="M652" s="145"/>
      <c r="N652" s="145"/>
      <c r="O652" s="100"/>
      <c r="P652" s="100"/>
      <c r="Q652" s="101"/>
      <c r="R652" s="93" t="s">
        <v>36</v>
      </c>
      <c r="S652" s="93"/>
      <c r="T652" s="93"/>
      <c r="U652" s="94"/>
    </row>
    <row r="653" spans="1:21" x14ac:dyDescent="0.4">
      <c r="A653" s="86">
        <f t="shared" si="10"/>
        <v>649</v>
      </c>
      <c r="B653" s="92"/>
      <c r="C653" s="190"/>
      <c r="D653" s="164"/>
      <c r="E653" s="103"/>
      <c r="F653" s="103"/>
      <c r="G653" s="103"/>
      <c r="H653" s="149"/>
      <c r="I653" s="104"/>
      <c r="J653" s="104"/>
      <c r="K653" s="104"/>
      <c r="L653" s="145" t="s">
        <v>2916</v>
      </c>
      <c r="M653" s="145"/>
      <c r="N653" s="145"/>
      <c r="O653" s="100"/>
      <c r="P653" s="100"/>
      <c r="Q653" s="101"/>
      <c r="R653" s="93" t="s">
        <v>2927</v>
      </c>
      <c r="S653" s="93"/>
      <c r="T653" s="93"/>
      <c r="U653" s="94"/>
    </row>
    <row r="654" spans="1:21" x14ac:dyDescent="0.4">
      <c r="A654" s="86">
        <f t="shared" si="10"/>
        <v>650</v>
      </c>
      <c r="B654" s="92"/>
      <c r="C654" s="190"/>
      <c r="D654" s="164"/>
      <c r="E654" s="103"/>
      <c r="F654" s="103"/>
      <c r="G654" s="103"/>
      <c r="H654" s="149"/>
      <c r="I654" s="104"/>
      <c r="J654" s="104"/>
      <c r="K654" s="108"/>
      <c r="L654" s="145" t="s">
        <v>1815</v>
      </c>
      <c r="M654" s="145"/>
      <c r="N654" s="145"/>
      <c r="O654" s="100"/>
      <c r="P654" s="100"/>
      <c r="Q654" s="101"/>
      <c r="R654" s="93" t="s">
        <v>36</v>
      </c>
      <c r="S654" s="93"/>
      <c r="T654" s="93"/>
      <c r="U654" s="94"/>
    </row>
    <row r="655" spans="1:21" x14ac:dyDescent="0.4">
      <c r="A655" s="86">
        <f t="shared" si="10"/>
        <v>651</v>
      </c>
      <c r="B655" s="92"/>
      <c r="C655" s="190"/>
      <c r="D655" s="164"/>
      <c r="E655" s="103"/>
      <c r="F655" s="103"/>
      <c r="G655" s="103"/>
      <c r="H655" s="149"/>
      <c r="I655" s="104"/>
      <c r="J655" s="109" t="s">
        <v>1838</v>
      </c>
      <c r="K655" s="100"/>
      <c r="L655" s="145"/>
      <c r="M655" s="145"/>
      <c r="N655" s="145"/>
      <c r="O655" s="100"/>
      <c r="P655" s="100"/>
      <c r="Q655" s="101"/>
      <c r="R655" s="93" t="s">
        <v>1239</v>
      </c>
      <c r="S655" s="93"/>
      <c r="T655" s="93"/>
      <c r="U655" s="94"/>
    </row>
    <row r="656" spans="1:21" x14ac:dyDescent="0.4">
      <c r="A656" s="86">
        <f t="shared" si="10"/>
        <v>652</v>
      </c>
      <c r="B656" s="92"/>
      <c r="C656" s="190"/>
      <c r="D656" s="164"/>
      <c r="E656" s="103"/>
      <c r="F656" s="103"/>
      <c r="G656" s="103"/>
      <c r="H656" s="149"/>
      <c r="I656" s="104"/>
      <c r="J656" s="104"/>
      <c r="K656" s="70" t="s">
        <v>1813</v>
      </c>
      <c r="L656" s="145"/>
      <c r="M656" s="145"/>
      <c r="N656" s="145"/>
      <c r="O656" s="100"/>
      <c r="P656" s="100"/>
      <c r="Q656" s="101"/>
      <c r="R656" s="93" t="s">
        <v>36</v>
      </c>
      <c r="S656" s="93"/>
      <c r="T656" s="93"/>
      <c r="U656" s="94"/>
    </row>
    <row r="657" spans="1:21" x14ac:dyDescent="0.4">
      <c r="A657" s="86">
        <f t="shared" si="10"/>
        <v>653</v>
      </c>
      <c r="B657" s="92"/>
      <c r="C657" s="190"/>
      <c r="D657" s="164"/>
      <c r="E657" s="103"/>
      <c r="F657" s="103"/>
      <c r="G657" s="103"/>
      <c r="H657" s="149"/>
      <c r="I657" s="104"/>
      <c r="J657" s="104"/>
      <c r="K657" s="104"/>
      <c r="L657" s="145" t="s">
        <v>2916</v>
      </c>
      <c r="M657" s="145"/>
      <c r="N657" s="145"/>
      <c r="O657" s="100"/>
      <c r="P657" s="100"/>
      <c r="Q657" s="101"/>
      <c r="R657" s="93" t="s">
        <v>2927</v>
      </c>
      <c r="S657" s="93"/>
      <c r="T657" s="93"/>
      <c r="U657" s="94"/>
    </row>
    <row r="658" spans="1:21" x14ac:dyDescent="0.4">
      <c r="A658" s="86">
        <f t="shared" si="10"/>
        <v>654</v>
      </c>
      <c r="B658" s="92"/>
      <c r="C658" s="190"/>
      <c r="D658" s="164"/>
      <c r="E658" s="103"/>
      <c r="F658" s="103"/>
      <c r="G658" s="103"/>
      <c r="H658" s="149"/>
      <c r="I658" s="104"/>
      <c r="J658" s="104"/>
      <c r="K658" s="108"/>
      <c r="L658" s="145" t="s">
        <v>1815</v>
      </c>
      <c r="M658" s="145"/>
      <c r="N658" s="145"/>
      <c r="O658" s="100"/>
      <c r="P658" s="100"/>
      <c r="Q658" s="101"/>
      <c r="R658" s="93" t="s">
        <v>36</v>
      </c>
      <c r="S658" s="93"/>
      <c r="T658" s="93"/>
      <c r="U658" s="94"/>
    </row>
    <row r="659" spans="1:21" x14ac:dyDescent="0.4">
      <c r="A659" s="86">
        <f t="shared" si="10"/>
        <v>655</v>
      </c>
      <c r="B659" s="92"/>
      <c r="C659" s="190"/>
      <c r="D659" s="164"/>
      <c r="E659" s="103"/>
      <c r="F659" s="103"/>
      <c r="G659" s="103"/>
      <c r="H659" s="149"/>
      <c r="I659" s="104"/>
      <c r="J659" s="109" t="s">
        <v>1839</v>
      </c>
      <c r="K659" s="100"/>
      <c r="L659" s="145"/>
      <c r="M659" s="145"/>
      <c r="N659" s="145"/>
      <c r="O659" s="100"/>
      <c r="P659" s="100"/>
      <c r="Q659" s="101"/>
      <c r="R659" s="93" t="s">
        <v>1239</v>
      </c>
      <c r="S659" s="93"/>
      <c r="T659" s="93"/>
      <c r="U659" s="94"/>
    </row>
    <row r="660" spans="1:21" x14ac:dyDescent="0.4">
      <c r="A660" s="86">
        <f t="shared" si="10"/>
        <v>656</v>
      </c>
      <c r="B660" s="92"/>
      <c r="C660" s="190"/>
      <c r="D660" s="164"/>
      <c r="E660" s="103"/>
      <c r="F660" s="103"/>
      <c r="G660" s="103"/>
      <c r="H660" s="149"/>
      <c r="I660" s="104"/>
      <c r="J660" s="104"/>
      <c r="K660" s="70" t="s">
        <v>1813</v>
      </c>
      <c r="L660" s="145"/>
      <c r="M660" s="145"/>
      <c r="N660" s="145"/>
      <c r="O660" s="100"/>
      <c r="P660" s="100"/>
      <c r="Q660" s="101"/>
      <c r="R660" s="93" t="s">
        <v>36</v>
      </c>
      <c r="S660" s="93"/>
      <c r="T660" s="93"/>
      <c r="U660" s="94"/>
    </row>
    <row r="661" spans="1:21" x14ac:dyDescent="0.4">
      <c r="A661" s="86">
        <f t="shared" si="10"/>
        <v>657</v>
      </c>
      <c r="B661" s="92"/>
      <c r="C661" s="190"/>
      <c r="D661" s="164"/>
      <c r="E661" s="103"/>
      <c r="F661" s="103"/>
      <c r="G661" s="103"/>
      <c r="H661" s="149"/>
      <c r="I661" s="104"/>
      <c r="J661" s="104"/>
      <c r="K661" s="104"/>
      <c r="L661" s="145" t="s">
        <v>2916</v>
      </c>
      <c r="M661" s="145"/>
      <c r="N661" s="145"/>
      <c r="O661" s="100"/>
      <c r="P661" s="100"/>
      <c r="Q661" s="101"/>
      <c r="R661" s="93" t="s">
        <v>2982</v>
      </c>
      <c r="S661" s="93"/>
      <c r="T661" s="93"/>
      <c r="U661" s="94"/>
    </row>
    <row r="662" spans="1:21" x14ac:dyDescent="0.4">
      <c r="A662" s="86">
        <f t="shared" si="10"/>
        <v>658</v>
      </c>
      <c r="B662" s="92"/>
      <c r="C662" s="190"/>
      <c r="D662" s="164"/>
      <c r="E662" s="103"/>
      <c r="F662" s="103"/>
      <c r="G662" s="103"/>
      <c r="H662" s="149"/>
      <c r="I662" s="104"/>
      <c r="J662" s="109" t="s">
        <v>1840</v>
      </c>
      <c r="K662" s="100"/>
      <c r="L662" s="145"/>
      <c r="M662" s="145"/>
      <c r="N662" s="145"/>
      <c r="O662" s="100"/>
      <c r="P662" s="100"/>
      <c r="Q662" s="101"/>
      <c r="R662" s="93" t="s">
        <v>1239</v>
      </c>
      <c r="S662" s="93"/>
      <c r="T662" s="93"/>
      <c r="U662" s="94"/>
    </row>
    <row r="663" spans="1:21" x14ac:dyDescent="0.4">
      <c r="A663" s="86">
        <f t="shared" si="10"/>
        <v>659</v>
      </c>
      <c r="B663" s="92"/>
      <c r="C663" s="190"/>
      <c r="D663" s="164"/>
      <c r="E663" s="103"/>
      <c r="F663" s="103"/>
      <c r="G663" s="103"/>
      <c r="H663" s="149"/>
      <c r="I663" s="104"/>
      <c r="J663" s="104"/>
      <c r="K663" s="70" t="s">
        <v>1813</v>
      </c>
      <c r="L663" s="145"/>
      <c r="M663" s="145"/>
      <c r="N663" s="145"/>
      <c r="O663" s="100"/>
      <c r="P663" s="100"/>
      <c r="Q663" s="101"/>
      <c r="R663" s="93" t="s">
        <v>36</v>
      </c>
      <c r="S663" s="93"/>
      <c r="T663" s="93"/>
      <c r="U663" s="94"/>
    </row>
    <row r="664" spans="1:21" x14ac:dyDescent="0.4">
      <c r="A664" s="86">
        <f t="shared" si="10"/>
        <v>660</v>
      </c>
      <c r="B664" s="92"/>
      <c r="C664" s="190"/>
      <c r="D664" s="164"/>
      <c r="E664" s="103"/>
      <c r="F664" s="103"/>
      <c r="G664" s="103"/>
      <c r="H664" s="149"/>
      <c r="I664" s="104"/>
      <c r="J664" s="104"/>
      <c r="K664" s="104"/>
      <c r="L664" s="145" t="s">
        <v>2916</v>
      </c>
      <c r="M664" s="145"/>
      <c r="N664" s="145"/>
      <c r="O664" s="100"/>
      <c r="P664" s="100"/>
      <c r="Q664" s="101"/>
      <c r="R664" s="93" t="s">
        <v>2927</v>
      </c>
      <c r="S664" s="93"/>
      <c r="T664" s="93"/>
      <c r="U664" s="94"/>
    </row>
    <row r="665" spans="1:21" x14ac:dyDescent="0.4">
      <c r="A665" s="86">
        <f t="shared" si="10"/>
        <v>661</v>
      </c>
      <c r="B665" s="92"/>
      <c r="C665" s="190"/>
      <c r="D665" s="164"/>
      <c r="E665" s="103"/>
      <c r="F665" s="103"/>
      <c r="G665" s="103"/>
      <c r="H665" s="149"/>
      <c r="I665" s="104"/>
      <c r="J665" s="109" t="s">
        <v>1841</v>
      </c>
      <c r="K665" s="100"/>
      <c r="L665" s="145"/>
      <c r="M665" s="145"/>
      <c r="N665" s="145"/>
      <c r="O665" s="100"/>
      <c r="P665" s="100"/>
      <c r="Q665" s="101"/>
      <c r="R665" s="93" t="s">
        <v>1239</v>
      </c>
      <c r="S665" s="93"/>
      <c r="T665" s="93"/>
      <c r="U665" s="94"/>
    </row>
    <row r="666" spans="1:21" x14ac:dyDescent="0.4">
      <c r="A666" s="86">
        <f t="shared" si="10"/>
        <v>662</v>
      </c>
      <c r="B666" s="92"/>
      <c r="C666" s="190"/>
      <c r="D666" s="164"/>
      <c r="E666" s="103"/>
      <c r="F666" s="103"/>
      <c r="G666" s="103"/>
      <c r="H666" s="149"/>
      <c r="I666" s="104"/>
      <c r="J666" s="104"/>
      <c r="K666" s="70" t="s">
        <v>1813</v>
      </c>
      <c r="L666" s="145"/>
      <c r="M666" s="145"/>
      <c r="N666" s="145"/>
      <c r="O666" s="100"/>
      <c r="P666" s="100"/>
      <c r="Q666" s="101"/>
      <c r="R666" s="93" t="s">
        <v>36</v>
      </c>
      <c r="S666" s="93"/>
      <c r="T666" s="93"/>
      <c r="U666" s="94"/>
    </row>
    <row r="667" spans="1:21" x14ac:dyDescent="0.4">
      <c r="A667" s="86">
        <f t="shared" si="10"/>
        <v>663</v>
      </c>
      <c r="B667" s="92"/>
      <c r="C667" s="190"/>
      <c r="D667" s="164"/>
      <c r="E667" s="103"/>
      <c r="F667" s="103"/>
      <c r="G667" s="103"/>
      <c r="H667" s="149"/>
      <c r="I667" s="104"/>
      <c r="J667" s="104"/>
      <c r="K667" s="104"/>
      <c r="L667" s="145" t="s">
        <v>2916</v>
      </c>
      <c r="M667" s="145"/>
      <c r="N667" s="145"/>
      <c r="O667" s="100"/>
      <c r="P667" s="100"/>
      <c r="Q667" s="101"/>
      <c r="R667" s="93" t="s">
        <v>2982</v>
      </c>
      <c r="S667" s="93"/>
      <c r="T667" s="93"/>
      <c r="U667" s="94"/>
    </row>
    <row r="668" spans="1:21" x14ac:dyDescent="0.4">
      <c r="A668" s="86">
        <f t="shared" si="10"/>
        <v>664</v>
      </c>
      <c r="B668" s="92"/>
      <c r="C668" s="190"/>
      <c r="D668" s="164"/>
      <c r="E668" s="103"/>
      <c r="F668" s="103"/>
      <c r="G668" s="103"/>
      <c r="H668" s="149"/>
      <c r="I668" s="104"/>
      <c r="J668" s="109" t="s">
        <v>1842</v>
      </c>
      <c r="K668" s="100"/>
      <c r="L668" s="145"/>
      <c r="M668" s="145"/>
      <c r="N668" s="145"/>
      <c r="O668" s="100"/>
      <c r="P668" s="100"/>
      <c r="Q668" s="101"/>
      <c r="R668" s="93" t="s">
        <v>1239</v>
      </c>
      <c r="S668" s="93"/>
      <c r="T668" s="93"/>
      <c r="U668" s="94"/>
    </row>
    <row r="669" spans="1:21" x14ac:dyDescent="0.4">
      <c r="A669" s="86">
        <f t="shared" si="10"/>
        <v>665</v>
      </c>
      <c r="B669" s="92"/>
      <c r="C669" s="190"/>
      <c r="D669" s="164"/>
      <c r="E669" s="103"/>
      <c r="F669" s="103"/>
      <c r="G669" s="103"/>
      <c r="H669" s="149"/>
      <c r="I669" s="104"/>
      <c r="J669" s="104"/>
      <c r="K669" s="70" t="s">
        <v>1813</v>
      </c>
      <c r="L669" s="145"/>
      <c r="M669" s="145"/>
      <c r="N669" s="145"/>
      <c r="O669" s="100"/>
      <c r="P669" s="100"/>
      <c r="Q669" s="101"/>
      <c r="R669" s="93" t="s">
        <v>36</v>
      </c>
      <c r="S669" s="93"/>
      <c r="T669" s="93"/>
      <c r="U669" s="94"/>
    </row>
    <row r="670" spans="1:21" x14ac:dyDescent="0.4">
      <c r="A670" s="86">
        <f t="shared" si="10"/>
        <v>666</v>
      </c>
      <c r="B670" s="92"/>
      <c r="C670" s="190"/>
      <c r="D670" s="164"/>
      <c r="E670" s="103"/>
      <c r="F670" s="103"/>
      <c r="G670" s="103"/>
      <c r="H670" s="149"/>
      <c r="I670" s="104"/>
      <c r="J670" s="104"/>
      <c r="K670" s="104"/>
      <c r="L670" s="145" t="s">
        <v>2916</v>
      </c>
      <c r="M670" s="145"/>
      <c r="N670" s="145"/>
      <c r="O670" s="100"/>
      <c r="P670" s="100"/>
      <c r="Q670" s="101"/>
      <c r="R670" s="93" t="s">
        <v>2927</v>
      </c>
      <c r="S670" s="93"/>
      <c r="T670" s="93"/>
      <c r="U670" s="94"/>
    </row>
    <row r="671" spans="1:21" x14ac:dyDescent="0.4">
      <c r="A671" s="86">
        <f t="shared" si="10"/>
        <v>667</v>
      </c>
      <c r="B671" s="92"/>
      <c r="C671" s="190"/>
      <c r="D671" s="164"/>
      <c r="E671" s="103"/>
      <c r="F671" s="103"/>
      <c r="G671" s="103"/>
      <c r="H671" s="149"/>
      <c r="I671" s="104"/>
      <c r="J671" s="104"/>
      <c r="K671" s="108"/>
      <c r="L671" s="145" t="s">
        <v>1815</v>
      </c>
      <c r="M671" s="145"/>
      <c r="N671" s="145"/>
      <c r="O671" s="100"/>
      <c r="P671" s="100"/>
      <c r="Q671" s="101"/>
      <c r="R671" s="93" t="s">
        <v>36</v>
      </c>
      <c r="S671" s="93"/>
      <c r="T671" s="93"/>
      <c r="U671" s="94"/>
    </row>
    <row r="672" spans="1:21" x14ac:dyDescent="0.4">
      <c r="A672" s="86">
        <f t="shared" si="10"/>
        <v>668</v>
      </c>
      <c r="B672" s="92"/>
      <c r="C672" s="190"/>
      <c r="D672" s="164"/>
      <c r="E672" s="103"/>
      <c r="F672" s="103"/>
      <c r="G672" s="103"/>
      <c r="H672" s="149"/>
      <c r="I672" s="104"/>
      <c r="J672" s="109" t="s">
        <v>1843</v>
      </c>
      <c r="K672" s="100"/>
      <c r="L672" s="145"/>
      <c r="M672" s="145"/>
      <c r="N672" s="145"/>
      <c r="O672" s="100"/>
      <c r="P672" s="100"/>
      <c r="Q672" s="101"/>
      <c r="R672" s="93" t="s">
        <v>1239</v>
      </c>
      <c r="S672" s="93"/>
      <c r="T672" s="93"/>
      <c r="U672" s="94"/>
    </row>
    <row r="673" spans="1:21" x14ac:dyDescent="0.4">
      <c r="A673" s="86">
        <f t="shared" si="10"/>
        <v>669</v>
      </c>
      <c r="B673" s="92"/>
      <c r="C673" s="190"/>
      <c r="D673" s="164"/>
      <c r="E673" s="103"/>
      <c r="F673" s="103"/>
      <c r="G673" s="103"/>
      <c r="H673" s="149"/>
      <c r="I673" s="104"/>
      <c r="J673" s="104"/>
      <c r="K673" s="70" t="s">
        <v>1813</v>
      </c>
      <c r="L673" s="145"/>
      <c r="M673" s="145"/>
      <c r="N673" s="145"/>
      <c r="O673" s="100"/>
      <c r="P673" s="100"/>
      <c r="Q673" s="101"/>
      <c r="R673" s="93" t="s">
        <v>36</v>
      </c>
      <c r="S673" s="93"/>
      <c r="T673" s="93"/>
      <c r="U673" s="94"/>
    </row>
    <row r="674" spans="1:21" x14ac:dyDescent="0.4">
      <c r="A674" s="86">
        <f t="shared" si="10"/>
        <v>670</v>
      </c>
      <c r="B674" s="92"/>
      <c r="C674" s="190"/>
      <c r="D674" s="164"/>
      <c r="E674" s="103"/>
      <c r="F674" s="103"/>
      <c r="G674" s="103"/>
      <c r="H674" s="149"/>
      <c r="I674" s="104"/>
      <c r="J674" s="104"/>
      <c r="K674" s="104"/>
      <c r="L674" s="145" t="s">
        <v>2916</v>
      </c>
      <c r="M674" s="145"/>
      <c r="N674" s="145"/>
      <c r="O674" s="100"/>
      <c r="P674" s="100"/>
      <c r="Q674" s="101"/>
      <c r="R674" s="93" t="s">
        <v>2927</v>
      </c>
      <c r="S674" s="93"/>
      <c r="T674" s="93"/>
      <c r="U674" s="94"/>
    </row>
    <row r="675" spans="1:21" x14ac:dyDescent="0.4">
      <c r="A675" s="86">
        <f t="shared" si="10"/>
        <v>671</v>
      </c>
      <c r="B675" s="92"/>
      <c r="C675" s="190"/>
      <c r="D675" s="164"/>
      <c r="E675" s="103"/>
      <c r="F675" s="103"/>
      <c r="G675" s="103"/>
      <c r="H675" s="149"/>
      <c r="I675" s="108"/>
      <c r="J675" s="108"/>
      <c r="K675" s="108"/>
      <c r="L675" s="145" t="s">
        <v>1815</v>
      </c>
      <c r="M675" s="145"/>
      <c r="N675" s="145"/>
      <c r="O675" s="100"/>
      <c r="P675" s="100"/>
      <c r="Q675" s="101"/>
      <c r="R675" s="93" t="s">
        <v>36</v>
      </c>
      <c r="S675" s="93"/>
      <c r="T675" s="93"/>
      <c r="U675" s="94"/>
    </row>
    <row r="676" spans="1:21" x14ac:dyDescent="0.4">
      <c r="A676" s="86">
        <f t="shared" si="10"/>
        <v>672</v>
      </c>
      <c r="B676" s="92"/>
      <c r="C676" s="190"/>
      <c r="D676" s="164"/>
      <c r="E676" s="103"/>
      <c r="F676" s="103"/>
      <c r="G676" s="103"/>
      <c r="H676" s="149"/>
      <c r="I676" s="70" t="s">
        <v>1847</v>
      </c>
      <c r="J676" s="145"/>
      <c r="K676" s="145"/>
      <c r="L676" s="145"/>
      <c r="M676" s="145"/>
      <c r="N676" s="145"/>
      <c r="O676" s="100"/>
      <c r="P676" s="100"/>
      <c r="Q676" s="101"/>
      <c r="R676" s="93" t="s">
        <v>1239</v>
      </c>
      <c r="S676" s="93"/>
      <c r="T676" s="93"/>
      <c r="U676" s="94"/>
    </row>
    <row r="677" spans="1:21" x14ac:dyDescent="0.4">
      <c r="A677" s="86">
        <f t="shared" si="10"/>
        <v>673</v>
      </c>
      <c r="B677" s="92"/>
      <c r="C677" s="190"/>
      <c r="D677" s="164"/>
      <c r="E677" s="103"/>
      <c r="F677" s="103"/>
      <c r="G677" s="103"/>
      <c r="H677" s="149"/>
      <c r="I677" s="104"/>
      <c r="J677" s="70" t="s">
        <v>1812</v>
      </c>
      <c r="K677" s="145"/>
      <c r="L677" s="145"/>
      <c r="M677" s="145"/>
      <c r="N677" s="145"/>
      <c r="O677" s="100"/>
      <c r="P677" s="100"/>
      <c r="Q677" s="101"/>
      <c r="R677" s="93" t="s">
        <v>1239</v>
      </c>
      <c r="S677" s="93"/>
      <c r="T677" s="93"/>
      <c r="U677" s="94"/>
    </row>
    <row r="678" spans="1:21" x14ac:dyDescent="0.4">
      <c r="A678" s="86">
        <f t="shared" si="10"/>
        <v>674</v>
      </c>
      <c r="B678" s="92"/>
      <c r="C678" s="190"/>
      <c r="D678" s="164"/>
      <c r="E678" s="103"/>
      <c r="F678" s="103"/>
      <c r="G678" s="103"/>
      <c r="H678" s="149"/>
      <c r="I678" s="104"/>
      <c r="J678" s="104"/>
      <c r="K678" s="70" t="s">
        <v>1813</v>
      </c>
      <c r="L678" s="145"/>
      <c r="M678" s="145"/>
      <c r="N678" s="145"/>
      <c r="O678" s="100"/>
      <c r="P678" s="100"/>
      <c r="Q678" s="101"/>
      <c r="R678" s="93" t="s">
        <v>36</v>
      </c>
      <c r="S678" s="93"/>
      <c r="T678" s="93"/>
      <c r="U678" s="94"/>
    </row>
    <row r="679" spans="1:21" x14ac:dyDescent="0.4">
      <c r="A679" s="86">
        <f t="shared" si="10"/>
        <v>675</v>
      </c>
      <c r="B679" s="92"/>
      <c r="C679" s="190"/>
      <c r="D679" s="164"/>
      <c r="E679" s="103"/>
      <c r="F679" s="103"/>
      <c r="G679" s="103"/>
      <c r="H679" s="149"/>
      <c r="I679" s="104"/>
      <c r="J679" s="104"/>
      <c r="K679" s="104"/>
      <c r="L679" s="145" t="s">
        <v>2916</v>
      </c>
      <c r="M679" s="145"/>
      <c r="N679" s="145"/>
      <c r="O679" s="100"/>
      <c r="P679" s="100"/>
      <c r="Q679" s="101"/>
      <c r="R679" s="93" t="s">
        <v>2927</v>
      </c>
      <c r="S679" s="93"/>
      <c r="T679" s="93"/>
      <c r="U679" s="94"/>
    </row>
    <row r="680" spans="1:21" x14ac:dyDescent="0.4">
      <c r="A680" s="86">
        <f t="shared" si="10"/>
        <v>676</v>
      </c>
      <c r="B680" s="92"/>
      <c r="C680" s="190"/>
      <c r="D680" s="164"/>
      <c r="E680" s="103"/>
      <c r="F680" s="103"/>
      <c r="G680" s="103"/>
      <c r="H680" s="149"/>
      <c r="I680" s="104"/>
      <c r="J680" s="104"/>
      <c r="K680" s="104"/>
      <c r="L680" s="145" t="s">
        <v>1814</v>
      </c>
      <c r="M680" s="145"/>
      <c r="N680" s="145"/>
      <c r="O680" s="100"/>
      <c r="P680" s="100"/>
      <c r="Q680" s="101"/>
      <c r="R680" s="93" t="s">
        <v>36</v>
      </c>
      <c r="S680" s="93"/>
      <c r="T680" s="93"/>
      <c r="U680" s="94"/>
    </row>
    <row r="681" spans="1:21" x14ac:dyDescent="0.4">
      <c r="A681" s="86">
        <f t="shared" si="10"/>
        <v>677</v>
      </c>
      <c r="B681" s="92"/>
      <c r="C681" s="190"/>
      <c r="D681" s="164"/>
      <c r="E681" s="103"/>
      <c r="F681" s="103"/>
      <c r="G681" s="103"/>
      <c r="H681" s="149"/>
      <c r="I681" s="104"/>
      <c r="J681" s="104"/>
      <c r="K681" s="108"/>
      <c r="L681" s="145" t="s">
        <v>1815</v>
      </c>
      <c r="M681" s="145"/>
      <c r="N681" s="145"/>
      <c r="O681" s="100"/>
      <c r="P681" s="100"/>
      <c r="Q681" s="101"/>
      <c r="R681" s="93" t="s">
        <v>36</v>
      </c>
      <c r="S681" s="93"/>
      <c r="T681" s="93"/>
      <c r="U681" s="94"/>
    </row>
    <row r="682" spans="1:21" x14ac:dyDescent="0.4">
      <c r="A682" s="86">
        <f t="shared" si="10"/>
        <v>678</v>
      </c>
      <c r="B682" s="92"/>
      <c r="C682" s="190"/>
      <c r="D682" s="164"/>
      <c r="E682" s="103"/>
      <c r="F682" s="103"/>
      <c r="G682" s="103"/>
      <c r="H682" s="149"/>
      <c r="I682" s="104"/>
      <c r="J682" s="109" t="s">
        <v>1816</v>
      </c>
      <c r="K682" s="145"/>
      <c r="L682" s="145"/>
      <c r="M682" s="145"/>
      <c r="N682" s="145"/>
      <c r="O682" s="100"/>
      <c r="P682" s="100"/>
      <c r="Q682" s="101"/>
      <c r="R682" s="93" t="s">
        <v>1239</v>
      </c>
      <c r="S682" s="93"/>
      <c r="T682" s="93"/>
      <c r="U682" s="94"/>
    </row>
    <row r="683" spans="1:21" x14ac:dyDescent="0.4">
      <c r="A683" s="86">
        <f t="shared" si="10"/>
        <v>679</v>
      </c>
      <c r="B683" s="92"/>
      <c r="C683" s="190"/>
      <c r="D683" s="164"/>
      <c r="E683" s="103"/>
      <c r="F683" s="103"/>
      <c r="G683" s="103"/>
      <c r="H683" s="149"/>
      <c r="I683" s="104"/>
      <c r="J683" s="104"/>
      <c r="K683" s="70" t="s">
        <v>1813</v>
      </c>
      <c r="L683" s="145"/>
      <c r="M683" s="145"/>
      <c r="N683" s="145"/>
      <c r="O683" s="100"/>
      <c r="P683" s="100"/>
      <c r="Q683" s="101"/>
      <c r="R683" s="93" t="s">
        <v>36</v>
      </c>
      <c r="S683" s="93"/>
      <c r="T683" s="93"/>
      <c r="U683" s="94"/>
    </row>
    <row r="684" spans="1:21" x14ac:dyDescent="0.4">
      <c r="A684" s="86">
        <f t="shared" si="10"/>
        <v>680</v>
      </c>
      <c r="B684" s="92"/>
      <c r="C684" s="190"/>
      <c r="D684" s="164"/>
      <c r="E684" s="103"/>
      <c r="F684" s="103"/>
      <c r="G684" s="103"/>
      <c r="H684" s="149"/>
      <c r="I684" s="104"/>
      <c r="J684" s="104"/>
      <c r="K684" s="104"/>
      <c r="L684" s="145" t="s">
        <v>2916</v>
      </c>
      <c r="M684" s="145"/>
      <c r="N684" s="145"/>
      <c r="O684" s="100"/>
      <c r="P684" s="100"/>
      <c r="Q684" s="101"/>
      <c r="R684" s="93" t="s">
        <v>2927</v>
      </c>
      <c r="S684" s="93"/>
      <c r="T684" s="93"/>
      <c r="U684" s="94"/>
    </row>
    <row r="685" spans="1:21" x14ac:dyDescent="0.4">
      <c r="A685" s="86">
        <f t="shared" si="10"/>
        <v>681</v>
      </c>
      <c r="B685" s="92"/>
      <c r="C685" s="190"/>
      <c r="D685" s="164"/>
      <c r="E685" s="103"/>
      <c r="F685" s="103"/>
      <c r="G685" s="103"/>
      <c r="H685" s="149"/>
      <c r="I685" s="104"/>
      <c r="J685" s="104"/>
      <c r="K685" s="108"/>
      <c r="L685" s="145" t="s">
        <v>1815</v>
      </c>
      <c r="M685" s="145"/>
      <c r="N685" s="145"/>
      <c r="O685" s="100"/>
      <c r="P685" s="100"/>
      <c r="Q685" s="101"/>
      <c r="R685" s="93" t="s">
        <v>36</v>
      </c>
      <c r="S685" s="93"/>
      <c r="T685" s="93"/>
      <c r="U685" s="94"/>
    </row>
    <row r="686" spans="1:21" x14ac:dyDescent="0.4">
      <c r="A686" s="86">
        <f t="shared" si="10"/>
        <v>682</v>
      </c>
      <c r="B686" s="92"/>
      <c r="C686" s="190"/>
      <c r="D686" s="164"/>
      <c r="E686" s="103"/>
      <c r="F686" s="103"/>
      <c r="G686" s="103"/>
      <c r="H686" s="149"/>
      <c r="I686" s="104"/>
      <c r="J686" s="109" t="s">
        <v>1817</v>
      </c>
      <c r="K686" s="145"/>
      <c r="L686" s="145"/>
      <c r="M686" s="145"/>
      <c r="N686" s="145"/>
      <c r="O686" s="100"/>
      <c r="P686" s="100"/>
      <c r="Q686" s="101"/>
      <c r="R686" s="93" t="s">
        <v>1239</v>
      </c>
      <c r="S686" s="93"/>
      <c r="T686" s="93"/>
      <c r="U686" s="94"/>
    </row>
    <row r="687" spans="1:21" x14ac:dyDescent="0.4">
      <c r="A687" s="86">
        <f t="shared" si="10"/>
        <v>683</v>
      </c>
      <c r="B687" s="92"/>
      <c r="C687" s="190"/>
      <c r="D687" s="164"/>
      <c r="E687" s="103"/>
      <c r="F687" s="103"/>
      <c r="G687" s="103"/>
      <c r="H687" s="149"/>
      <c r="I687" s="104"/>
      <c r="J687" s="104"/>
      <c r="K687" s="70" t="s">
        <v>1813</v>
      </c>
      <c r="L687" s="145"/>
      <c r="M687" s="145"/>
      <c r="N687" s="145"/>
      <c r="O687" s="100"/>
      <c r="P687" s="100"/>
      <c r="Q687" s="101"/>
      <c r="R687" s="93" t="s">
        <v>36</v>
      </c>
      <c r="S687" s="93"/>
      <c r="T687" s="93"/>
      <c r="U687" s="94"/>
    </row>
    <row r="688" spans="1:21" x14ac:dyDescent="0.4">
      <c r="A688" s="86">
        <f t="shared" si="10"/>
        <v>684</v>
      </c>
      <c r="B688" s="92"/>
      <c r="C688" s="190"/>
      <c r="D688" s="164"/>
      <c r="E688" s="103"/>
      <c r="F688" s="103"/>
      <c r="G688" s="103"/>
      <c r="H688" s="149"/>
      <c r="I688" s="104"/>
      <c r="J688" s="104"/>
      <c r="K688" s="104"/>
      <c r="L688" s="145" t="s">
        <v>2916</v>
      </c>
      <c r="M688" s="145"/>
      <c r="N688" s="145"/>
      <c r="O688" s="100"/>
      <c r="P688" s="100"/>
      <c r="Q688" s="101"/>
      <c r="R688" s="93" t="s">
        <v>2927</v>
      </c>
      <c r="S688" s="93"/>
      <c r="T688" s="93"/>
      <c r="U688" s="94"/>
    </row>
    <row r="689" spans="1:21" x14ac:dyDescent="0.4">
      <c r="A689" s="86">
        <f t="shared" si="10"/>
        <v>685</v>
      </c>
      <c r="B689" s="92"/>
      <c r="C689" s="190"/>
      <c r="D689" s="164"/>
      <c r="E689" s="103"/>
      <c r="F689" s="103"/>
      <c r="G689" s="103"/>
      <c r="H689" s="149"/>
      <c r="I689" s="104"/>
      <c r="J689" s="104"/>
      <c r="K689" s="108"/>
      <c r="L689" s="145" t="s">
        <v>1815</v>
      </c>
      <c r="M689" s="145"/>
      <c r="N689" s="145"/>
      <c r="O689" s="100"/>
      <c r="P689" s="100"/>
      <c r="Q689" s="101"/>
      <c r="R689" s="93" t="s">
        <v>36</v>
      </c>
      <c r="S689" s="93"/>
      <c r="T689" s="93"/>
      <c r="U689" s="94"/>
    </row>
    <row r="690" spans="1:21" x14ac:dyDescent="0.4">
      <c r="A690" s="86">
        <f t="shared" si="10"/>
        <v>686</v>
      </c>
      <c r="B690" s="92"/>
      <c r="C690" s="190"/>
      <c r="D690" s="164"/>
      <c r="E690" s="103"/>
      <c r="F690" s="103"/>
      <c r="G690" s="103"/>
      <c r="H690" s="149"/>
      <c r="I690" s="104"/>
      <c r="J690" s="109" t="s">
        <v>1818</v>
      </c>
      <c r="K690" s="145"/>
      <c r="L690" s="145"/>
      <c r="M690" s="145"/>
      <c r="N690" s="145"/>
      <c r="O690" s="100"/>
      <c r="P690" s="100"/>
      <c r="Q690" s="101"/>
      <c r="R690" s="93" t="s">
        <v>1239</v>
      </c>
      <c r="S690" s="93"/>
      <c r="T690" s="93"/>
      <c r="U690" s="94"/>
    </row>
    <row r="691" spans="1:21" x14ac:dyDescent="0.4">
      <c r="A691" s="86">
        <f t="shared" si="10"/>
        <v>687</v>
      </c>
      <c r="B691" s="92"/>
      <c r="C691" s="190"/>
      <c r="D691" s="164"/>
      <c r="E691" s="103"/>
      <c r="F691" s="103"/>
      <c r="G691" s="103"/>
      <c r="H691" s="149"/>
      <c r="I691" s="104"/>
      <c r="J691" s="104"/>
      <c r="K691" s="70" t="s">
        <v>1813</v>
      </c>
      <c r="L691" s="145"/>
      <c r="M691" s="145"/>
      <c r="N691" s="145"/>
      <c r="O691" s="100"/>
      <c r="P691" s="100"/>
      <c r="Q691" s="101"/>
      <c r="R691" s="93" t="s">
        <v>36</v>
      </c>
      <c r="S691" s="93"/>
      <c r="T691" s="93"/>
      <c r="U691" s="94"/>
    </row>
    <row r="692" spans="1:21" x14ac:dyDescent="0.4">
      <c r="A692" s="86">
        <f t="shared" si="10"/>
        <v>688</v>
      </c>
      <c r="B692" s="92"/>
      <c r="C692" s="190"/>
      <c r="D692" s="164"/>
      <c r="E692" s="103"/>
      <c r="F692" s="103"/>
      <c r="G692" s="103"/>
      <c r="H692" s="149"/>
      <c r="I692" s="104"/>
      <c r="J692" s="104"/>
      <c r="K692" s="104"/>
      <c r="L692" s="145" t="s">
        <v>2916</v>
      </c>
      <c r="M692" s="145"/>
      <c r="N692" s="145"/>
      <c r="O692" s="100"/>
      <c r="P692" s="100"/>
      <c r="Q692" s="101"/>
      <c r="R692" s="93" t="s">
        <v>2927</v>
      </c>
      <c r="S692" s="93"/>
      <c r="T692" s="93"/>
      <c r="U692" s="94"/>
    </row>
    <row r="693" spans="1:21" x14ac:dyDescent="0.4">
      <c r="A693" s="86">
        <f t="shared" si="10"/>
        <v>689</v>
      </c>
      <c r="B693" s="92"/>
      <c r="C693" s="190"/>
      <c r="D693" s="164"/>
      <c r="E693" s="103"/>
      <c r="F693" s="103"/>
      <c r="G693" s="103"/>
      <c r="H693" s="149"/>
      <c r="I693" s="104"/>
      <c r="J693" s="104"/>
      <c r="K693" s="108"/>
      <c r="L693" s="145" t="s">
        <v>1815</v>
      </c>
      <c r="M693" s="145"/>
      <c r="N693" s="145"/>
      <c r="O693" s="100"/>
      <c r="P693" s="100"/>
      <c r="Q693" s="101"/>
      <c r="R693" s="93" t="s">
        <v>36</v>
      </c>
      <c r="S693" s="93"/>
      <c r="T693" s="93"/>
      <c r="U693" s="94"/>
    </row>
    <row r="694" spans="1:21" x14ac:dyDescent="0.4">
      <c r="A694" s="86">
        <f t="shared" si="10"/>
        <v>690</v>
      </c>
      <c r="B694" s="92"/>
      <c r="C694" s="190"/>
      <c r="D694" s="164"/>
      <c r="E694" s="103"/>
      <c r="F694" s="103"/>
      <c r="G694" s="103"/>
      <c r="H694" s="149"/>
      <c r="I694" s="104"/>
      <c r="J694" s="109" t="s">
        <v>1819</v>
      </c>
      <c r="K694" s="145"/>
      <c r="L694" s="145"/>
      <c r="M694" s="145"/>
      <c r="N694" s="145"/>
      <c r="O694" s="100"/>
      <c r="P694" s="100"/>
      <c r="Q694" s="101"/>
      <c r="R694" s="93" t="s">
        <v>1239</v>
      </c>
      <c r="S694" s="93"/>
      <c r="T694" s="93"/>
      <c r="U694" s="94"/>
    </row>
    <row r="695" spans="1:21" x14ac:dyDescent="0.4">
      <c r="A695" s="86">
        <f t="shared" si="10"/>
        <v>691</v>
      </c>
      <c r="B695" s="92"/>
      <c r="C695" s="190"/>
      <c r="D695" s="164"/>
      <c r="E695" s="103"/>
      <c r="F695" s="103"/>
      <c r="G695" s="103"/>
      <c r="H695" s="149"/>
      <c r="I695" s="104"/>
      <c r="J695" s="104"/>
      <c r="K695" s="70" t="s">
        <v>1813</v>
      </c>
      <c r="L695" s="145"/>
      <c r="M695" s="145"/>
      <c r="N695" s="145"/>
      <c r="O695" s="100"/>
      <c r="P695" s="100"/>
      <c r="Q695" s="101"/>
      <c r="R695" s="93" t="s">
        <v>36</v>
      </c>
      <c r="S695" s="93"/>
      <c r="T695" s="93"/>
      <c r="U695" s="94"/>
    </row>
    <row r="696" spans="1:21" x14ac:dyDescent="0.4">
      <c r="A696" s="86">
        <f t="shared" si="10"/>
        <v>692</v>
      </c>
      <c r="B696" s="92"/>
      <c r="C696" s="190"/>
      <c r="D696" s="164"/>
      <c r="E696" s="103"/>
      <c r="F696" s="103"/>
      <c r="G696" s="103"/>
      <c r="H696" s="149"/>
      <c r="I696" s="104"/>
      <c r="J696" s="104"/>
      <c r="K696" s="104"/>
      <c r="L696" s="145" t="s">
        <v>2916</v>
      </c>
      <c r="M696" s="145"/>
      <c r="N696" s="145"/>
      <c r="O696" s="100"/>
      <c r="P696" s="100"/>
      <c r="Q696" s="101"/>
      <c r="R696" s="93" t="s">
        <v>2927</v>
      </c>
      <c r="S696" s="93"/>
      <c r="T696" s="93"/>
      <c r="U696" s="94"/>
    </row>
    <row r="697" spans="1:21" x14ac:dyDescent="0.4">
      <c r="A697" s="86">
        <f t="shared" si="10"/>
        <v>693</v>
      </c>
      <c r="B697" s="92"/>
      <c r="C697" s="190"/>
      <c r="D697" s="164"/>
      <c r="E697" s="103"/>
      <c r="F697" s="103"/>
      <c r="G697" s="103"/>
      <c r="H697" s="149"/>
      <c r="I697" s="104"/>
      <c r="J697" s="104"/>
      <c r="K697" s="104"/>
      <c r="L697" s="145" t="s">
        <v>1820</v>
      </c>
      <c r="M697" s="145"/>
      <c r="N697" s="145"/>
      <c r="O697" s="100"/>
      <c r="P697" s="100"/>
      <c r="Q697" s="101"/>
      <c r="R697" s="93" t="s">
        <v>36</v>
      </c>
      <c r="S697" s="93"/>
      <c r="T697" s="93"/>
      <c r="U697" s="94"/>
    </row>
    <row r="698" spans="1:21" x14ac:dyDescent="0.4">
      <c r="A698" s="86">
        <f t="shared" si="10"/>
        <v>694</v>
      </c>
      <c r="B698" s="92"/>
      <c r="C698" s="190"/>
      <c r="D698" s="164"/>
      <c r="E698" s="103"/>
      <c r="F698" s="103"/>
      <c r="G698" s="103"/>
      <c r="H698" s="149"/>
      <c r="I698" s="104"/>
      <c r="J698" s="104"/>
      <c r="K698" s="108"/>
      <c r="L698" s="145" t="s">
        <v>1815</v>
      </c>
      <c r="M698" s="145"/>
      <c r="N698" s="145"/>
      <c r="O698" s="100"/>
      <c r="P698" s="100"/>
      <c r="Q698" s="101"/>
      <c r="R698" s="93" t="s">
        <v>36</v>
      </c>
      <c r="S698" s="93"/>
      <c r="T698" s="93"/>
      <c r="U698" s="94"/>
    </row>
    <row r="699" spans="1:21" x14ac:dyDescent="0.4">
      <c r="A699" s="86">
        <f t="shared" si="10"/>
        <v>695</v>
      </c>
      <c r="B699" s="92"/>
      <c r="C699" s="190"/>
      <c r="D699" s="164"/>
      <c r="E699" s="103"/>
      <c r="F699" s="103"/>
      <c r="G699" s="103"/>
      <c r="H699" s="149"/>
      <c r="I699" s="104"/>
      <c r="J699" s="109" t="s">
        <v>1821</v>
      </c>
      <c r="K699" s="145"/>
      <c r="L699" s="145"/>
      <c r="M699" s="145"/>
      <c r="N699" s="145"/>
      <c r="O699" s="100"/>
      <c r="P699" s="100"/>
      <c r="Q699" s="101"/>
      <c r="R699" s="93" t="s">
        <v>1239</v>
      </c>
      <c r="S699" s="93"/>
      <c r="T699" s="93"/>
      <c r="U699" s="94"/>
    </row>
    <row r="700" spans="1:21" x14ac:dyDescent="0.4">
      <c r="A700" s="86">
        <f t="shared" si="10"/>
        <v>696</v>
      </c>
      <c r="B700" s="92"/>
      <c r="C700" s="190"/>
      <c r="D700" s="164"/>
      <c r="E700" s="103"/>
      <c r="F700" s="103"/>
      <c r="G700" s="103"/>
      <c r="H700" s="149"/>
      <c r="I700" s="104"/>
      <c r="J700" s="104"/>
      <c r="K700" s="70" t="s">
        <v>1813</v>
      </c>
      <c r="L700" s="145"/>
      <c r="M700" s="145"/>
      <c r="N700" s="145"/>
      <c r="O700" s="100"/>
      <c r="P700" s="100"/>
      <c r="Q700" s="101"/>
      <c r="R700" s="93" t="s">
        <v>36</v>
      </c>
      <c r="S700" s="93"/>
      <c r="T700" s="93"/>
      <c r="U700" s="94"/>
    </row>
    <row r="701" spans="1:21" x14ac:dyDescent="0.4">
      <c r="A701" s="86">
        <f t="shared" si="10"/>
        <v>697</v>
      </c>
      <c r="B701" s="92"/>
      <c r="C701" s="190"/>
      <c r="D701" s="164"/>
      <c r="E701" s="103"/>
      <c r="F701" s="103"/>
      <c r="G701" s="103"/>
      <c r="H701" s="149"/>
      <c r="I701" s="104"/>
      <c r="J701" s="104"/>
      <c r="K701" s="104"/>
      <c r="L701" s="145" t="s">
        <v>2916</v>
      </c>
      <c r="M701" s="145"/>
      <c r="N701" s="145"/>
      <c r="O701" s="100"/>
      <c r="P701" s="100"/>
      <c r="Q701" s="101"/>
      <c r="R701" s="93" t="s">
        <v>2982</v>
      </c>
      <c r="S701" s="93"/>
      <c r="T701" s="93"/>
      <c r="U701" s="94"/>
    </row>
    <row r="702" spans="1:21" x14ac:dyDescent="0.4">
      <c r="A702" s="86">
        <f t="shared" si="10"/>
        <v>698</v>
      </c>
      <c r="B702" s="92"/>
      <c r="C702" s="190"/>
      <c r="D702" s="164"/>
      <c r="E702" s="103"/>
      <c r="F702" s="103"/>
      <c r="G702" s="103"/>
      <c r="H702" s="149"/>
      <c r="I702" s="104"/>
      <c r="J702" s="104"/>
      <c r="K702" s="108"/>
      <c r="L702" s="145" t="s">
        <v>1822</v>
      </c>
      <c r="M702" s="145"/>
      <c r="N702" s="145"/>
      <c r="O702" s="100"/>
      <c r="P702" s="100"/>
      <c r="Q702" s="101"/>
      <c r="R702" s="93" t="s">
        <v>36</v>
      </c>
      <c r="S702" s="93"/>
      <c r="T702" s="93"/>
      <c r="U702" s="94"/>
    </row>
    <row r="703" spans="1:21" x14ac:dyDescent="0.4">
      <c r="A703" s="86">
        <f t="shared" si="10"/>
        <v>699</v>
      </c>
      <c r="B703" s="92"/>
      <c r="C703" s="190"/>
      <c r="D703" s="164"/>
      <c r="E703" s="103"/>
      <c r="F703" s="103"/>
      <c r="G703" s="103"/>
      <c r="H703" s="149"/>
      <c r="I703" s="104"/>
      <c r="J703" s="109" t="s">
        <v>1823</v>
      </c>
      <c r="K703" s="145"/>
      <c r="L703" s="145"/>
      <c r="M703" s="145"/>
      <c r="N703" s="145"/>
      <c r="O703" s="100"/>
      <c r="P703" s="100"/>
      <c r="Q703" s="101"/>
      <c r="R703" s="93" t="s">
        <v>1239</v>
      </c>
      <c r="S703" s="93"/>
      <c r="T703" s="93"/>
      <c r="U703" s="94"/>
    </row>
    <row r="704" spans="1:21" x14ac:dyDescent="0.4">
      <c r="A704" s="86">
        <f t="shared" si="10"/>
        <v>700</v>
      </c>
      <c r="B704" s="92"/>
      <c r="C704" s="190"/>
      <c r="D704" s="164"/>
      <c r="E704" s="103"/>
      <c r="F704" s="103"/>
      <c r="G704" s="103"/>
      <c r="H704" s="149"/>
      <c r="I704" s="104"/>
      <c r="J704" s="104"/>
      <c r="K704" s="70" t="s">
        <v>1813</v>
      </c>
      <c r="L704" s="145"/>
      <c r="M704" s="145"/>
      <c r="N704" s="145"/>
      <c r="O704" s="100"/>
      <c r="P704" s="100"/>
      <c r="Q704" s="101"/>
      <c r="R704" s="93" t="s">
        <v>36</v>
      </c>
      <c r="S704" s="93"/>
      <c r="T704" s="93"/>
      <c r="U704" s="94"/>
    </row>
    <row r="705" spans="1:21" x14ac:dyDescent="0.4">
      <c r="A705" s="86">
        <f t="shared" si="10"/>
        <v>701</v>
      </c>
      <c r="B705" s="92"/>
      <c r="C705" s="190"/>
      <c r="D705" s="164"/>
      <c r="E705" s="103"/>
      <c r="F705" s="103"/>
      <c r="G705" s="103"/>
      <c r="H705" s="149"/>
      <c r="I705" s="104"/>
      <c r="J705" s="104"/>
      <c r="K705" s="104"/>
      <c r="L705" s="145" t="s">
        <v>2916</v>
      </c>
      <c r="M705" s="145"/>
      <c r="N705" s="145"/>
      <c r="O705" s="100"/>
      <c r="P705" s="100"/>
      <c r="Q705" s="101"/>
      <c r="R705" s="93" t="s">
        <v>2982</v>
      </c>
      <c r="S705" s="93"/>
      <c r="T705" s="93"/>
      <c r="U705" s="94"/>
    </row>
    <row r="706" spans="1:21" x14ac:dyDescent="0.4">
      <c r="A706" s="86">
        <f t="shared" si="10"/>
        <v>702</v>
      </c>
      <c r="B706" s="92"/>
      <c r="C706" s="190"/>
      <c r="D706" s="164"/>
      <c r="E706" s="103"/>
      <c r="F706" s="103"/>
      <c r="G706" s="103"/>
      <c r="H706" s="149"/>
      <c r="I706" s="104"/>
      <c r="J706" s="104"/>
      <c r="K706" s="108"/>
      <c r="L706" s="145" t="s">
        <v>1824</v>
      </c>
      <c r="M706" s="145"/>
      <c r="N706" s="145"/>
      <c r="O706" s="100"/>
      <c r="P706" s="100"/>
      <c r="Q706" s="101"/>
      <c r="R706" s="93" t="s">
        <v>36</v>
      </c>
      <c r="S706" s="93"/>
      <c r="T706" s="93"/>
      <c r="U706" s="94"/>
    </row>
    <row r="707" spans="1:21" x14ac:dyDescent="0.4">
      <c r="A707" s="86">
        <f t="shared" si="10"/>
        <v>703</v>
      </c>
      <c r="B707" s="92"/>
      <c r="C707" s="190"/>
      <c r="D707" s="164"/>
      <c r="E707" s="103"/>
      <c r="F707" s="103"/>
      <c r="G707" s="103"/>
      <c r="H707" s="149"/>
      <c r="I707" s="104"/>
      <c r="J707" s="109" t="s">
        <v>1825</v>
      </c>
      <c r="K707" s="145"/>
      <c r="L707" s="145"/>
      <c r="M707" s="145"/>
      <c r="N707" s="145"/>
      <c r="O707" s="100"/>
      <c r="P707" s="100"/>
      <c r="Q707" s="101"/>
      <c r="R707" s="93" t="s">
        <v>1239</v>
      </c>
      <c r="S707" s="93"/>
      <c r="T707" s="93"/>
      <c r="U707" s="94"/>
    </row>
    <row r="708" spans="1:21" x14ac:dyDescent="0.4">
      <c r="A708" s="86">
        <f t="shared" si="10"/>
        <v>704</v>
      </c>
      <c r="B708" s="92"/>
      <c r="C708" s="190"/>
      <c r="D708" s="164"/>
      <c r="E708" s="103"/>
      <c r="F708" s="103"/>
      <c r="G708" s="103"/>
      <c r="H708" s="149"/>
      <c r="I708" s="104"/>
      <c r="J708" s="104"/>
      <c r="K708" s="70" t="s">
        <v>1813</v>
      </c>
      <c r="L708" s="145"/>
      <c r="M708" s="145"/>
      <c r="N708" s="145"/>
      <c r="O708" s="100"/>
      <c r="P708" s="100"/>
      <c r="Q708" s="101"/>
      <c r="R708" s="93" t="s">
        <v>36</v>
      </c>
      <c r="S708" s="93"/>
      <c r="T708" s="93"/>
      <c r="U708" s="94"/>
    </row>
    <row r="709" spans="1:21" ht="17.25" customHeight="1" x14ac:dyDescent="0.4">
      <c r="A709" s="86">
        <f t="shared" si="10"/>
        <v>705</v>
      </c>
      <c r="B709" s="92"/>
      <c r="C709" s="190"/>
      <c r="D709" s="164"/>
      <c r="E709" s="103"/>
      <c r="F709" s="103"/>
      <c r="G709" s="103"/>
      <c r="H709" s="149"/>
      <c r="I709" s="104"/>
      <c r="J709" s="104"/>
      <c r="K709" s="104"/>
      <c r="L709" s="145" t="s">
        <v>2916</v>
      </c>
      <c r="M709" s="145"/>
      <c r="N709" s="145"/>
      <c r="O709" s="100"/>
      <c r="P709" s="100"/>
      <c r="Q709" s="101"/>
      <c r="R709" s="93" t="s">
        <v>2927</v>
      </c>
      <c r="S709" s="93"/>
      <c r="T709" s="93"/>
      <c r="U709" s="94"/>
    </row>
    <row r="710" spans="1:21" x14ac:dyDescent="0.4">
      <c r="A710" s="86">
        <f t="shared" si="10"/>
        <v>706</v>
      </c>
      <c r="B710" s="92"/>
      <c r="C710" s="190"/>
      <c r="D710" s="164"/>
      <c r="E710" s="103"/>
      <c r="F710" s="103"/>
      <c r="G710" s="103"/>
      <c r="H710" s="149"/>
      <c r="I710" s="104"/>
      <c r="J710" s="109" t="s">
        <v>1826</v>
      </c>
      <c r="K710" s="100"/>
      <c r="L710" s="145"/>
      <c r="M710" s="145"/>
      <c r="N710" s="145"/>
      <c r="O710" s="100"/>
      <c r="P710" s="100"/>
      <c r="Q710" s="101"/>
      <c r="R710" s="93" t="s">
        <v>1239</v>
      </c>
      <c r="S710" s="93"/>
      <c r="T710" s="93"/>
      <c r="U710" s="94"/>
    </row>
    <row r="711" spans="1:21" x14ac:dyDescent="0.4">
      <c r="A711" s="86">
        <f t="shared" ref="A711:A774" si="11">A710+1</f>
        <v>707</v>
      </c>
      <c r="B711" s="92"/>
      <c r="C711" s="190"/>
      <c r="D711" s="164"/>
      <c r="E711" s="103"/>
      <c r="F711" s="103"/>
      <c r="G711" s="103"/>
      <c r="H711" s="149"/>
      <c r="I711" s="104"/>
      <c r="J711" s="104"/>
      <c r="K711" s="70" t="s">
        <v>1813</v>
      </c>
      <c r="L711" s="145"/>
      <c r="M711" s="145"/>
      <c r="N711" s="145"/>
      <c r="O711" s="100"/>
      <c r="P711" s="100"/>
      <c r="Q711" s="101"/>
      <c r="R711" s="93" t="s">
        <v>36</v>
      </c>
      <c r="S711" s="93"/>
      <c r="T711" s="93"/>
      <c r="U711" s="94"/>
    </row>
    <row r="712" spans="1:21" x14ac:dyDescent="0.4">
      <c r="A712" s="86">
        <f t="shared" si="11"/>
        <v>708</v>
      </c>
      <c r="B712" s="92"/>
      <c r="C712" s="190"/>
      <c r="D712" s="164"/>
      <c r="E712" s="103"/>
      <c r="F712" s="103"/>
      <c r="G712" s="103"/>
      <c r="H712" s="149"/>
      <c r="I712" s="104"/>
      <c r="J712" s="104"/>
      <c r="K712" s="104"/>
      <c r="L712" s="145" t="s">
        <v>2916</v>
      </c>
      <c r="M712" s="145"/>
      <c r="N712" s="145"/>
      <c r="O712" s="100"/>
      <c r="P712" s="100"/>
      <c r="Q712" s="101"/>
      <c r="R712" s="93" t="s">
        <v>2927</v>
      </c>
      <c r="S712" s="93"/>
      <c r="T712" s="93"/>
      <c r="U712" s="94"/>
    </row>
    <row r="713" spans="1:21" x14ac:dyDescent="0.4">
      <c r="A713" s="86">
        <f t="shared" si="11"/>
        <v>709</v>
      </c>
      <c r="B713" s="92"/>
      <c r="C713" s="190"/>
      <c r="D713" s="164"/>
      <c r="E713" s="103"/>
      <c r="F713" s="103"/>
      <c r="G713" s="103"/>
      <c r="H713" s="149"/>
      <c r="I713" s="104"/>
      <c r="J713" s="104"/>
      <c r="K713" s="108"/>
      <c r="L713" s="145" t="s">
        <v>1815</v>
      </c>
      <c r="M713" s="145"/>
      <c r="N713" s="145"/>
      <c r="O713" s="100"/>
      <c r="P713" s="100"/>
      <c r="Q713" s="101"/>
      <c r="R713" s="93" t="s">
        <v>36</v>
      </c>
      <c r="S713" s="93"/>
      <c r="T713" s="93"/>
      <c r="U713" s="94"/>
    </row>
    <row r="714" spans="1:21" x14ac:dyDescent="0.4">
      <c r="A714" s="86">
        <f t="shared" si="11"/>
        <v>710</v>
      </c>
      <c r="B714" s="92"/>
      <c r="C714" s="190"/>
      <c r="D714" s="164"/>
      <c r="E714" s="103"/>
      <c r="F714" s="103"/>
      <c r="G714" s="103"/>
      <c r="H714" s="149"/>
      <c r="I714" s="104"/>
      <c r="J714" s="109" t="s">
        <v>1827</v>
      </c>
      <c r="K714" s="100"/>
      <c r="L714" s="145"/>
      <c r="M714" s="145"/>
      <c r="N714" s="145"/>
      <c r="O714" s="100"/>
      <c r="P714" s="100"/>
      <c r="Q714" s="101"/>
      <c r="R714" s="93" t="s">
        <v>1239</v>
      </c>
      <c r="S714" s="93"/>
      <c r="T714" s="93"/>
      <c r="U714" s="94"/>
    </row>
    <row r="715" spans="1:21" x14ac:dyDescent="0.4">
      <c r="A715" s="86">
        <f t="shared" si="11"/>
        <v>711</v>
      </c>
      <c r="B715" s="92"/>
      <c r="C715" s="190"/>
      <c r="D715" s="164"/>
      <c r="E715" s="103"/>
      <c r="F715" s="103"/>
      <c r="G715" s="103"/>
      <c r="H715" s="149"/>
      <c r="I715" s="104"/>
      <c r="J715" s="104"/>
      <c r="K715" s="70" t="s">
        <v>1813</v>
      </c>
      <c r="L715" s="145"/>
      <c r="M715" s="145"/>
      <c r="N715" s="145"/>
      <c r="O715" s="100"/>
      <c r="P715" s="100"/>
      <c r="Q715" s="101"/>
      <c r="R715" s="93" t="s">
        <v>36</v>
      </c>
      <c r="S715" s="93"/>
      <c r="T715" s="93"/>
      <c r="U715" s="94"/>
    </row>
    <row r="716" spans="1:21" x14ac:dyDescent="0.4">
      <c r="A716" s="86">
        <f t="shared" si="11"/>
        <v>712</v>
      </c>
      <c r="B716" s="92"/>
      <c r="C716" s="190"/>
      <c r="D716" s="164"/>
      <c r="E716" s="103"/>
      <c r="F716" s="103"/>
      <c r="G716" s="103"/>
      <c r="H716" s="149"/>
      <c r="I716" s="104"/>
      <c r="J716" s="104"/>
      <c r="K716" s="104"/>
      <c r="L716" s="145" t="s">
        <v>2916</v>
      </c>
      <c r="M716" s="145"/>
      <c r="N716" s="145"/>
      <c r="O716" s="100"/>
      <c r="P716" s="100"/>
      <c r="Q716" s="101"/>
      <c r="R716" s="93" t="s">
        <v>2927</v>
      </c>
      <c r="S716" s="93"/>
      <c r="T716" s="93"/>
      <c r="U716" s="94"/>
    </row>
    <row r="717" spans="1:21" x14ac:dyDescent="0.4">
      <c r="A717" s="86">
        <f t="shared" si="11"/>
        <v>713</v>
      </c>
      <c r="B717" s="92"/>
      <c r="C717" s="190"/>
      <c r="D717" s="164"/>
      <c r="E717" s="103"/>
      <c r="F717" s="103"/>
      <c r="G717" s="103"/>
      <c r="H717" s="149"/>
      <c r="I717" s="104"/>
      <c r="J717" s="104"/>
      <c r="K717" s="108"/>
      <c r="L717" s="145" t="s">
        <v>1815</v>
      </c>
      <c r="M717" s="145"/>
      <c r="N717" s="145"/>
      <c r="O717" s="100"/>
      <c r="P717" s="100"/>
      <c r="Q717" s="101"/>
      <c r="R717" s="93" t="s">
        <v>36</v>
      </c>
      <c r="S717" s="93"/>
      <c r="T717" s="93"/>
      <c r="U717" s="94"/>
    </row>
    <row r="718" spans="1:21" x14ac:dyDescent="0.4">
      <c r="A718" s="86">
        <f t="shared" si="11"/>
        <v>714</v>
      </c>
      <c r="B718" s="92"/>
      <c r="C718" s="190"/>
      <c r="D718" s="164"/>
      <c r="E718" s="103"/>
      <c r="F718" s="103"/>
      <c r="G718" s="103"/>
      <c r="H718" s="149"/>
      <c r="I718" s="104"/>
      <c r="J718" s="109" t="s">
        <v>1828</v>
      </c>
      <c r="K718" s="100"/>
      <c r="L718" s="145"/>
      <c r="M718" s="145"/>
      <c r="N718" s="145"/>
      <c r="O718" s="100"/>
      <c r="P718" s="100"/>
      <c r="Q718" s="101"/>
      <c r="R718" s="93" t="s">
        <v>1239</v>
      </c>
      <c r="S718" s="93"/>
      <c r="T718" s="93"/>
      <c r="U718" s="94"/>
    </row>
    <row r="719" spans="1:21" x14ac:dyDescent="0.4">
      <c r="A719" s="86">
        <f t="shared" si="11"/>
        <v>715</v>
      </c>
      <c r="B719" s="92"/>
      <c r="C719" s="190"/>
      <c r="D719" s="164"/>
      <c r="E719" s="103"/>
      <c r="F719" s="103"/>
      <c r="G719" s="103"/>
      <c r="H719" s="149"/>
      <c r="I719" s="104"/>
      <c r="J719" s="104"/>
      <c r="K719" s="70" t="s">
        <v>1813</v>
      </c>
      <c r="L719" s="145"/>
      <c r="M719" s="145"/>
      <c r="N719" s="145"/>
      <c r="O719" s="100"/>
      <c r="P719" s="100"/>
      <c r="Q719" s="101"/>
      <c r="R719" s="93" t="s">
        <v>36</v>
      </c>
      <c r="S719" s="93"/>
      <c r="T719" s="93"/>
      <c r="U719" s="94"/>
    </row>
    <row r="720" spans="1:21" x14ac:dyDescent="0.4">
      <c r="A720" s="86">
        <f t="shared" si="11"/>
        <v>716</v>
      </c>
      <c r="B720" s="92"/>
      <c r="C720" s="190"/>
      <c r="D720" s="164"/>
      <c r="E720" s="103"/>
      <c r="F720" s="103"/>
      <c r="G720" s="103"/>
      <c r="H720" s="149"/>
      <c r="I720" s="104"/>
      <c r="J720" s="104"/>
      <c r="K720" s="104"/>
      <c r="L720" s="145" t="s">
        <v>2916</v>
      </c>
      <c r="M720" s="145"/>
      <c r="N720" s="145"/>
      <c r="O720" s="100"/>
      <c r="P720" s="100"/>
      <c r="Q720" s="101"/>
      <c r="R720" s="93" t="s">
        <v>2927</v>
      </c>
      <c r="S720" s="93"/>
      <c r="T720" s="93"/>
      <c r="U720" s="94"/>
    </row>
    <row r="721" spans="1:21" x14ac:dyDescent="0.4">
      <c r="A721" s="86">
        <f t="shared" si="11"/>
        <v>717</v>
      </c>
      <c r="B721" s="92"/>
      <c r="C721" s="190"/>
      <c r="D721" s="164"/>
      <c r="E721" s="103"/>
      <c r="F721" s="103"/>
      <c r="G721" s="103"/>
      <c r="H721" s="149"/>
      <c r="I721" s="104"/>
      <c r="J721" s="104"/>
      <c r="K721" s="104"/>
      <c r="L721" s="145" t="s">
        <v>1829</v>
      </c>
      <c r="M721" s="145"/>
      <c r="N721" s="145"/>
      <c r="O721" s="100"/>
      <c r="P721" s="100"/>
      <c r="Q721" s="101"/>
      <c r="R721" s="93" t="s">
        <v>36</v>
      </c>
      <c r="S721" s="93"/>
      <c r="T721" s="93"/>
      <c r="U721" s="94"/>
    </row>
    <row r="722" spans="1:21" x14ac:dyDescent="0.4">
      <c r="A722" s="86">
        <f t="shared" si="11"/>
        <v>718</v>
      </c>
      <c r="B722" s="92"/>
      <c r="C722" s="190"/>
      <c r="D722" s="164"/>
      <c r="E722" s="103"/>
      <c r="F722" s="103"/>
      <c r="G722" s="103"/>
      <c r="H722" s="149"/>
      <c r="I722" s="104"/>
      <c r="J722" s="104"/>
      <c r="K722" s="108"/>
      <c r="L722" s="145" t="s">
        <v>1815</v>
      </c>
      <c r="M722" s="145"/>
      <c r="N722" s="145"/>
      <c r="O722" s="100"/>
      <c r="P722" s="100"/>
      <c r="Q722" s="101"/>
      <c r="R722" s="93" t="s">
        <v>36</v>
      </c>
      <c r="S722" s="93"/>
      <c r="T722" s="93"/>
      <c r="U722" s="94"/>
    </row>
    <row r="723" spans="1:21" x14ac:dyDescent="0.4">
      <c r="A723" s="86">
        <f t="shared" si="11"/>
        <v>719</v>
      </c>
      <c r="B723" s="92"/>
      <c r="C723" s="190"/>
      <c r="D723" s="164"/>
      <c r="E723" s="103"/>
      <c r="F723" s="103"/>
      <c r="G723" s="103"/>
      <c r="H723" s="149"/>
      <c r="I723" s="104"/>
      <c r="J723" s="109" t="s">
        <v>1830</v>
      </c>
      <c r="K723" s="100"/>
      <c r="L723" s="145"/>
      <c r="M723" s="145"/>
      <c r="N723" s="145"/>
      <c r="O723" s="100"/>
      <c r="P723" s="100"/>
      <c r="Q723" s="101"/>
      <c r="R723" s="93" t="s">
        <v>1239</v>
      </c>
      <c r="S723" s="93"/>
      <c r="T723" s="93"/>
      <c r="U723" s="94"/>
    </row>
    <row r="724" spans="1:21" x14ac:dyDescent="0.4">
      <c r="A724" s="86">
        <f t="shared" si="11"/>
        <v>720</v>
      </c>
      <c r="B724" s="92"/>
      <c r="C724" s="190"/>
      <c r="D724" s="164"/>
      <c r="E724" s="103"/>
      <c r="F724" s="103"/>
      <c r="G724" s="103"/>
      <c r="H724" s="149"/>
      <c r="I724" s="104"/>
      <c r="J724" s="104"/>
      <c r="K724" s="70" t="s">
        <v>1813</v>
      </c>
      <c r="L724" s="145"/>
      <c r="M724" s="145"/>
      <c r="N724" s="145"/>
      <c r="O724" s="100"/>
      <c r="P724" s="100"/>
      <c r="Q724" s="101"/>
      <c r="R724" s="93" t="s">
        <v>20</v>
      </c>
      <c r="S724" s="93"/>
      <c r="T724" s="93"/>
      <c r="U724" s="94"/>
    </row>
    <row r="725" spans="1:21" x14ac:dyDescent="0.4">
      <c r="A725" s="86">
        <f t="shared" si="11"/>
        <v>721</v>
      </c>
      <c r="B725" s="92"/>
      <c r="C725" s="190"/>
      <c r="D725" s="164"/>
      <c r="E725" s="103"/>
      <c r="F725" s="103"/>
      <c r="G725" s="103"/>
      <c r="H725" s="149"/>
      <c r="I725" s="104"/>
      <c r="J725" s="104"/>
      <c r="K725" s="104"/>
      <c r="L725" s="145" t="s">
        <v>2916</v>
      </c>
      <c r="M725" s="145"/>
      <c r="N725" s="145"/>
      <c r="O725" s="100"/>
      <c r="P725" s="100"/>
      <c r="Q725" s="101"/>
      <c r="R725" s="93" t="s">
        <v>2982</v>
      </c>
      <c r="S725" s="93"/>
      <c r="T725" s="93"/>
      <c r="U725" s="94"/>
    </row>
    <row r="726" spans="1:21" x14ac:dyDescent="0.4">
      <c r="A726" s="86">
        <f t="shared" si="11"/>
        <v>722</v>
      </c>
      <c r="B726" s="92"/>
      <c r="C726" s="190"/>
      <c r="D726" s="164"/>
      <c r="E726" s="103"/>
      <c r="F726" s="103"/>
      <c r="G726" s="103"/>
      <c r="H726" s="149"/>
      <c r="I726" s="104"/>
      <c r="J726" s="104"/>
      <c r="K726" s="108"/>
      <c r="L726" s="145" t="s">
        <v>1831</v>
      </c>
      <c r="M726" s="145"/>
      <c r="N726" s="145"/>
      <c r="O726" s="100"/>
      <c r="P726" s="100"/>
      <c r="Q726" s="101"/>
      <c r="R726" s="93" t="s">
        <v>36</v>
      </c>
      <c r="S726" s="93"/>
      <c r="T726" s="93"/>
      <c r="U726" s="94"/>
    </row>
    <row r="727" spans="1:21" x14ac:dyDescent="0.4">
      <c r="A727" s="86">
        <f t="shared" si="11"/>
        <v>723</v>
      </c>
      <c r="B727" s="92"/>
      <c r="C727" s="190"/>
      <c r="D727" s="164"/>
      <c r="E727" s="103"/>
      <c r="F727" s="103"/>
      <c r="G727" s="103"/>
      <c r="H727" s="149"/>
      <c r="I727" s="104"/>
      <c r="J727" s="109" t="s">
        <v>1832</v>
      </c>
      <c r="K727" s="100"/>
      <c r="L727" s="145"/>
      <c r="M727" s="145"/>
      <c r="N727" s="145"/>
      <c r="O727" s="100"/>
      <c r="P727" s="100"/>
      <c r="Q727" s="101"/>
      <c r="R727" s="93" t="s">
        <v>1239</v>
      </c>
      <c r="S727" s="93"/>
      <c r="T727" s="93"/>
      <c r="U727" s="94"/>
    </row>
    <row r="728" spans="1:21" x14ac:dyDescent="0.4">
      <c r="A728" s="86">
        <f t="shared" si="11"/>
        <v>724</v>
      </c>
      <c r="B728" s="92"/>
      <c r="C728" s="190"/>
      <c r="D728" s="164"/>
      <c r="E728" s="103"/>
      <c r="F728" s="103"/>
      <c r="G728" s="103"/>
      <c r="H728" s="149"/>
      <c r="I728" s="104"/>
      <c r="J728" s="104"/>
      <c r="K728" s="70" t="s">
        <v>1813</v>
      </c>
      <c r="L728" s="145"/>
      <c r="M728" s="145"/>
      <c r="N728" s="145"/>
      <c r="O728" s="100"/>
      <c r="P728" s="100"/>
      <c r="Q728" s="101"/>
      <c r="R728" s="93" t="s">
        <v>36</v>
      </c>
      <c r="S728" s="93"/>
      <c r="T728" s="93"/>
      <c r="U728" s="94"/>
    </row>
    <row r="729" spans="1:21" x14ac:dyDescent="0.4">
      <c r="A729" s="86">
        <f t="shared" si="11"/>
        <v>725</v>
      </c>
      <c r="B729" s="92"/>
      <c r="C729" s="190"/>
      <c r="D729" s="164"/>
      <c r="E729" s="103"/>
      <c r="F729" s="103"/>
      <c r="G729" s="103"/>
      <c r="H729" s="149"/>
      <c r="I729" s="104"/>
      <c r="J729" s="104"/>
      <c r="K729" s="104"/>
      <c r="L729" s="145" t="s">
        <v>2916</v>
      </c>
      <c r="M729" s="145"/>
      <c r="N729" s="145"/>
      <c r="O729" s="100"/>
      <c r="P729" s="100"/>
      <c r="Q729" s="101"/>
      <c r="R729" s="93" t="s">
        <v>2927</v>
      </c>
      <c r="S729" s="93"/>
      <c r="T729" s="93"/>
      <c r="U729" s="94"/>
    </row>
    <row r="730" spans="1:21" x14ac:dyDescent="0.4">
      <c r="A730" s="86">
        <f t="shared" si="11"/>
        <v>726</v>
      </c>
      <c r="B730" s="92"/>
      <c r="C730" s="190"/>
      <c r="D730" s="164"/>
      <c r="E730" s="103"/>
      <c r="F730" s="103"/>
      <c r="G730" s="103"/>
      <c r="H730" s="149"/>
      <c r="I730" s="104"/>
      <c r="J730" s="104"/>
      <c r="K730" s="104"/>
      <c r="L730" s="145" t="s">
        <v>1833</v>
      </c>
      <c r="M730" s="145"/>
      <c r="N730" s="145"/>
      <c r="O730" s="100"/>
      <c r="P730" s="100"/>
      <c r="Q730" s="101"/>
      <c r="R730" s="93" t="s">
        <v>36</v>
      </c>
      <c r="S730" s="93"/>
      <c r="T730" s="93"/>
      <c r="U730" s="94"/>
    </row>
    <row r="731" spans="1:21" x14ac:dyDescent="0.4">
      <c r="A731" s="86">
        <f t="shared" si="11"/>
        <v>727</v>
      </c>
      <c r="B731" s="92"/>
      <c r="C731" s="190"/>
      <c r="D731" s="164"/>
      <c r="E731" s="103"/>
      <c r="F731" s="103"/>
      <c r="G731" s="103"/>
      <c r="H731" s="149"/>
      <c r="I731" s="104"/>
      <c r="J731" s="104"/>
      <c r="K731" s="108"/>
      <c r="L731" s="145" t="s">
        <v>1815</v>
      </c>
      <c r="M731" s="145"/>
      <c r="N731" s="145"/>
      <c r="O731" s="100"/>
      <c r="P731" s="100"/>
      <c r="Q731" s="101"/>
      <c r="R731" s="93" t="s">
        <v>36</v>
      </c>
      <c r="S731" s="93"/>
      <c r="T731" s="93"/>
      <c r="U731" s="94"/>
    </row>
    <row r="732" spans="1:21" x14ac:dyDescent="0.4">
      <c r="A732" s="86">
        <f t="shared" si="11"/>
        <v>728</v>
      </c>
      <c r="B732" s="92"/>
      <c r="C732" s="190"/>
      <c r="D732" s="164"/>
      <c r="E732" s="103"/>
      <c r="F732" s="103"/>
      <c r="G732" s="103"/>
      <c r="H732" s="149"/>
      <c r="I732" s="104"/>
      <c r="J732" s="109" t="s">
        <v>1834</v>
      </c>
      <c r="K732" s="100"/>
      <c r="L732" s="145"/>
      <c r="M732" s="145"/>
      <c r="N732" s="145"/>
      <c r="O732" s="100"/>
      <c r="P732" s="100"/>
      <c r="Q732" s="101"/>
      <c r="R732" s="93" t="s">
        <v>1239</v>
      </c>
      <c r="S732" s="93"/>
      <c r="T732" s="93"/>
      <c r="U732" s="94"/>
    </row>
    <row r="733" spans="1:21" x14ac:dyDescent="0.4">
      <c r="A733" s="86">
        <f t="shared" si="11"/>
        <v>729</v>
      </c>
      <c r="B733" s="92"/>
      <c r="C733" s="190"/>
      <c r="D733" s="164"/>
      <c r="E733" s="103"/>
      <c r="F733" s="103"/>
      <c r="G733" s="103"/>
      <c r="H733" s="149"/>
      <c r="I733" s="104"/>
      <c r="J733" s="104"/>
      <c r="K733" s="70" t="s">
        <v>1813</v>
      </c>
      <c r="L733" s="145"/>
      <c r="M733" s="145"/>
      <c r="N733" s="145"/>
      <c r="O733" s="100"/>
      <c r="P733" s="100"/>
      <c r="Q733" s="101"/>
      <c r="R733" s="93" t="s">
        <v>36</v>
      </c>
      <c r="S733" s="93"/>
      <c r="T733" s="93"/>
      <c r="U733" s="94"/>
    </row>
    <row r="734" spans="1:21" x14ac:dyDescent="0.4">
      <c r="A734" s="86">
        <f t="shared" si="11"/>
        <v>730</v>
      </c>
      <c r="B734" s="92"/>
      <c r="C734" s="190"/>
      <c r="D734" s="164"/>
      <c r="E734" s="103"/>
      <c r="F734" s="103"/>
      <c r="G734" s="103"/>
      <c r="H734" s="149"/>
      <c r="I734" s="104"/>
      <c r="J734" s="104"/>
      <c r="K734" s="104"/>
      <c r="L734" s="145" t="s">
        <v>2916</v>
      </c>
      <c r="M734" s="145"/>
      <c r="N734" s="145"/>
      <c r="O734" s="100"/>
      <c r="P734" s="100"/>
      <c r="Q734" s="101"/>
      <c r="R734" s="93" t="s">
        <v>2927</v>
      </c>
      <c r="S734" s="93"/>
      <c r="T734" s="93"/>
      <c r="U734" s="94"/>
    </row>
    <row r="735" spans="1:21" x14ac:dyDescent="0.4">
      <c r="A735" s="86">
        <f t="shared" si="11"/>
        <v>731</v>
      </c>
      <c r="B735" s="92"/>
      <c r="C735" s="190"/>
      <c r="D735" s="164"/>
      <c r="E735" s="103"/>
      <c r="F735" s="103"/>
      <c r="G735" s="103"/>
      <c r="H735" s="149"/>
      <c r="I735" s="104"/>
      <c r="J735" s="104"/>
      <c r="K735" s="108"/>
      <c r="L735" s="145" t="s">
        <v>1815</v>
      </c>
      <c r="M735" s="145"/>
      <c r="N735" s="145"/>
      <c r="O735" s="100"/>
      <c r="P735" s="100"/>
      <c r="Q735" s="101"/>
      <c r="R735" s="93" t="s">
        <v>36</v>
      </c>
      <c r="S735" s="93"/>
      <c r="T735" s="93"/>
      <c r="U735" s="94"/>
    </row>
    <row r="736" spans="1:21" x14ac:dyDescent="0.4">
      <c r="A736" s="86">
        <f t="shared" si="11"/>
        <v>732</v>
      </c>
      <c r="B736" s="92"/>
      <c r="C736" s="190"/>
      <c r="D736" s="164"/>
      <c r="E736" s="103"/>
      <c r="F736" s="103"/>
      <c r="G736" s="103"/>
      <c r="H736" s="149"/>
      <c r="I736" s="104"/>
      <c r="J736" s="109" t="s">
        <v>1835</v>
      </c>
      <c r="K736" s="100"/>
      <c r="L736" s="145"/>
      <c r="M736" s="145"/>
      <c r="N736" s="145"/>
      <c r="O736" s="100"/>
      <c r="P736" s="100"/>
      <c r="Q736" s="101"/>
      <c r="R736" s="93" t="s">
        <v>1239</v>
      </c>
      <c r="S736" s="93"/>
      <c r="T736" s="93"/>
      <c r="U736" s="94"/>
    </row>
    <row r="737" spans="1:21" x14ac:dyDescent="0.4">
      <c r="A737" s="86">
        <f t="shared" si="11"/>
        <v>733</v>
      </c>
      <c r="B737" s="92"/>
      <c r="C737" s="190"/>
      <c r="D737" s="164"/>
      <c r="E737" s="103"/>
      <c r="F737" s="103"/>
      <c r="G737" s="103"/>
      <c r="H737" s="149"/>
      <c r="I737" s="104"/>
      <c r="J737" s="104"/>
      <c r="K737" s="70" t="s">
        <v>1813</v>
      </c>
      <c r="L737" s="145"/>
      <c r="M737" s="145"/>
      <c r="N737" s="145"/>
      <c r="O737" s="100"/>
      <c r="P737" s="100"/>
      <c r="Q737" s="101"/>
      <c r="R737" s="93" t="s">
        <v>36</v>
      </c>
      <c r="S737" s="93"/>
      <c r="T737" s="93"/>
      <c r="U737" s="94"/>
    </row>
    <row r="738" spans="1:21" x14ac:dyDescent="0.4">
      <c r="A738" s="86">
        <f t="shared" si="11"/>
        <v>734</v>
      </c>
      <c r="B738" s="92"/>
      <c r="C738" s="190"/>
      <c r="D738" s="164"/>
      <c r="E738" s="103"/>
      <c r="F738" s="103"/>
      <c r="G738" s="103"/>
      <c r="H738" s="149"/>
      <c r="I738" s="104"/>
      <c r="J738" s="104"/>
      <c r="K738" s="104"/>
      <c r="L738" s="145" t="s">
        <v>2916</v>
      </c>
      <c r="M738" s="145"/>
      <c r="N738" s="145"/>
      <c r="O738" s="100"/>
      <c r="P738" s="100"/>
      <c r="Q738" s="101"/>
      <c r="R738" s="93" t="s">
        <v>2982</v>
      </c>
      <c r="S738" s="93"/>
      <c r="T738" s="93"/>
      <c r="U738" s="94"/>
    </row>
    <row r="739" spans="1:21" x14ac:dyDescent="0.4">
      <c r="A739" s="86">
        <f t="shared" si="11"/>
        <v>735</v>
      </c>
      <c r="B739" s="92"/>
      <c r="C739" s="190"/>
      <c r="D739" s="164"/>
      <c r="E739" s="103"/>
      <c r="F739" s="103"/>
      <c r="G739" s="103"/>
      <c r="H739" s="149"/>
      <c r="I739" s="104"/>
      <c r="J739" s="104"/>
      <c r="K739" s="108"/>
      <c r="L739" s="145" t="s">
        <v>1836</v>
      </c>
      <c r="M739" s="145"/>
      <c r="N739" s="145"/>
      <c r="O739" s="100"/>
      <c r="P739" s="100"/>
      <c r="Q739" s="101"/>
      <c r="R739" s="93" t="s">
        <v>36</v>
      </c>
      <c r="S739" s="93"/>
      <c r="T739" s="93"/>
      <c r="U739" s="94"/>
    </row>
    <row r="740" spans="1:21" x14ac:dyDescent="0.4">
      <c r="A740" s="86">
        <f t="shared" si="11"/>
        <v>736</v>
      </c>
      <c r="B740" s="92"/>
      <c r="C740" s="190"/>
      <c r="D740" s="164"/>
      <c r="E740" s="103"/>
      <c r="F740" s="103"/>
      <c r="G740" s="103"/>
      <c r="H740" s="149"/>
      <c r="I740" s="104"/>
      <c r="J740" s="109" t="s">
        <v>1837</v>
      </c>
      <c r="K740" s="100"/>
      <c r="L740" s="145"/>
      <c r="M740" s="145"/>
      <c r="N740" s="145"/>
      <c r="O740" s="100"/>
      <c r="P740" s="100"/>
      <c r="Q740" s="101"/>
      <c r="R740" s="93" t="s">
        <v>1239</v>
      </c>
      <c r="S740" s="93"/>
      <c r="T740" s="93"/>
      <c r="U740" s="94"/>
    </row>
    <row r="741" spans="1:21" x14ac:dyDescent="0.4">
      <c r="A741" s="86">
        <f t="shared" si="11"/>
        <v>737</v>
      </c>
      <c r="B741" s="92"/>
      <c r="C741" s="190"/>
      <c r="D741" s="164"/>
      <c r="E741" s="103"/>
      <c r="F741" s="103"/>
      <c r="G741" s="103"/>
      <c r="H741" s="149"/>
      <c r="I741" s="104"/>
      <c r="J741" s="104"/>
      <c r="K741" s="70" t="s">
        <v>1813</v>
      </c>
      <c r="L741" s="145"/>
      <c r="M741" s="145"/>
      <c r="N741" s="145"/>
      <c r="O741" s="100"/>
      <c r="P741" s="100"/>
      <c r="Q741" s="101"/>
      <c r="R741" s="93" t="s">
        <v>36</v>
      </c>
      <c r="S741" s="93"/>
      <c r="T741" s="93"/>
      <c r="U741" s="94"/>
    </row>
    <row r="742" spans="1:21" x14ac:dyDescent="0.4">
      <c r="A742" s="86">
        <f t="shared" si="11"/>
        <v>738</v>
      </c>
      <c r="B742" s="92"/>
      <c r="C742" s="190"/>
      <c r="D742" s="164"/>
      <c r="E742" s="103"/>
      <c r="F742" s="103"/>
      <c r="G742" s="103"/>
      <c r="H742" s="149"/>
      <c r="I742" s="104"/>
      <c r="J742" s="104"/>
      <c r="K742" s="104"/>
      <c r="L742" s="145" t="s">
        <v>2916</v>
      </c>
      <c r="M742" s="145"/>
      <c r="N742" s="145"/>
      <c r="O742" s="100"/>
      <c r="P742" s="100"/>
      <c r="Q742" s="101"/>
      <c r="R742" s="93" t="s">
        <v>2927</v>
      </c>
      <c r="S742" s="93"/>
      <c r="T742" s="93"/>
      <c r="U742" s="94"/>
    </row>
    <row r="743" spans="1:21" x14ac:dyDescent="0.4">
      <c r="A743" s="86">
        <f t="shared" si="11"/>
        <v>739</v>
      </c>
      <c r="B743" s="92"/>
      <c r="C743" s="190"/>
      <c r="D743" s="164"/>
      <c r="E743" s="103"/>
      <c r="F743" s="103"/>
      <c r="G743" s="103"/>
      <c r="H743" s="149"/>
      <c r="I743" s="104"/>
      <c r="J743" s="104"/>
      <c r="K743" s="108"/>
      <c r="L743" s="145" t="s">
        <v>1815</v>
      </c>
      <c r="M743" s="145"/>
      <c r="N743" s="145"/>
      <c r="O743" s="100"/>
      <c r="P743" s="100"/>
      <c r="Q743" s="101"/>
      <c r="R743" s="93" t="s">
        <v>36</v>
      </c>
      <c r="S743" s="93"/>
      <c r="T743" s="93"/>
      <c r="U743" s="94"/>
    </row>
    <row r="744" spans="1:21" x14ac:dyDescent="0.4">
      <c r="A744" s="86">
        <f t="shared" si="11"/>
        <v>740</v>
      </c>
      <c r="B744" s="92"/>
      <c r="C744" s="190"/>
      <c r="D744" s="164"/>
      <c r="E744" s="103"/>
      <c r="F744" s="103"/>
      <c r="G744" s="103"/>
      <c r="H744" s="149"/>
      <c r="I744" s="104"/>
      <c r="J744" s="109" t="s">
        <v>1838</v>
      </c>
      <c r="K744" s="100"/>
      <c r="L744" s="145"/>
      <c r="M744" s="145"/>
      <c r="N744" s="145"/>
      <c r="O744" s="100"/>
      <c r="P744" s="100"/>
      <c r="Q744" s="101"/>
      <c r="R744" s="93" t="s">
        <v>1239</v>
      </c>
      <c r="S744" s="93"/>
      <c r="T744" s="93"/>
      <c r="U744" s="94"/>
    </row>
    <row r="745" spans="1:21" x14ac:dyDescent="0.4">
      <c r="A745" s="86">
        <f t="shared" si="11"/>
        <v>741</v>
      </c>
      <c r="B745" s="92"/>
      <c r="C745" s="190"/>
      <c r="D745" s="164"/>
      <c r="E745" s="103"/>
      <c r="F745" s="103"/>
      <c r="G745" s="103"/>
      <c r="H745" s="149"/>
      <c r="I745" s="104"/>
      <c r="J745" s="104"/>
      <c r="K745" s="70" t="s">
        <v>1813</v>
      </c>
      <c r="L745" s="145"/>
      <c r="M745" s="145"/>
      <c r="N745" s="145"/>
      <c r="O745" s="100"/>
      <c r="P745" s="100"/>
      <c r="Q745" s="101"/>
      <c r="R745" s="93" t="s">
        <v>36</v>
      </c>
      <c r="S745" s="93"/>
      <c r="T745" s="93"/>
      <c r="U745" s="94"/>
    </row>
    <row r="746" spans="1:21" x14ac:dyDescent="0.4">
      <c r="A746" s="86">
        <f t="shared" si="11"/>
        <v>742</v>
      </c>
      <c r="B746" s="92"/>
      <c r="C746" s="190"/>
      <c r="D746" s="164"/>
      <c r="E746" s="103"/>
      <c r="F746" s="103"/>
      <c r="G746" s="103"/>
      <c r="H746" s="149"/>
      <c r="I746" s="104"/>
      <c r="J746" s="104"/>
      <c r="K746" s="104"/>
      <c r="L746" s="145" t="s">
        <v>2916</v>
      </c>
      <c r="M746" s="145"/>
      <c r="N746" s="145"/>
      <c r="O746" s="100"/>
      <c r="P746" s="100"/>
      <c r="Q746" s="101"/>
      <c r="R746" s="93" t="s">
        <v>2927</v>
      </c>
      <c r="S746" s="93"/>
      <c r="T746" s="93"/>
      <c r="U746" s="94"/>
    </row>
    <row r="747" spans="1:21" x14ac:dyDescent="0.4">
      <c r="A747" s="86">
        <f t="shared" si="11"/>
        <v>743</v>
      </c>
      <c r="B747" s="92"/>
      <c r="C747" s="190"/>
      <c r="D747" s="164"/>
      <c r="E747" s="103"/>
      <c r="F747" s="103"/>
      <c r="G747" s="103"/>
      <c r="H747" s="149"/>
      <c r="I747" s="104"/>
      <c r="J747" s="104"/>
      <c r="K747" s="108"/>
      <c r="L747" s="145" t="s">
        <v>1815</v>
      </c>
      <c r="M747" s="145"/>
      <c r="N747" s="145"/>
      <c r="O747" s="100"/>
      <c r="P747" s="100"/>
      <c r="Q747" s="101"/>
      <c r="R747" s="93" t="s">
        <v>36</v>
      </c>
      <c r="S747" s="93"/>
      <c r="T747" s="93"/>
      <c r="U747" s="94"/>
    </row>
    <row r="748" spans="1:21" x14ac:dyDescent="0.4">
      <c r="A748" s="86">
        <f t="shared" si="11"/>
        <v>744</v>
      </c>
      <c r="B748" s="92"/>
      <c r="C748" s="190"/>
      <c r="D748" s="164"/>
      <c r="E748" s="103"/>
      <c r="F748" s="103"/>
      <c r="G748" s="103"/>
      <c r="H748" s="149"/>
      <c r="I748" s="104"/>
      <c r="J748" s="109" t="s">
        <v>1839</v>
      </c>
      <c r="K748" s="100"/>
      <c r="L748" s="145"/>
      <c r="M748" s="145"/>
      <c r="N748" s="145"/>
      <c r="O748" s="100"/>
      <c r="P748" s="100"/>
      <c r="Q748" s="101"/>
      <c r="R748" s="93" t="s">
        <v>1239</v>
      </c>
      <c r="S748" s="93"/>
      <c r="T748" s="93"/>
      <c r="U748" s="94"/>
    </row>
    <row r="749" spans="1:21" x14ac:dyDescent="0.4">
      <c r="A749" s="86">
        <f t="shared" si="11"/>
        <v>745</v>
      </c>
      <c r="B749" s="92"/>
      <c r="C749" s="190"/>
      <c r="D749" s="164"/>
      <c r="E749" s="103"/>
      <c r="F749" s="103"/>
      <c r="G749" s="103"/>
      <c r="H749" s="149"/>
      <c r="I749" s="104"/>
      <c r="J749" s="104"/>
      <c r="K749" s="70" t="s">
        <v>1813</v>
      </c>
      <c r="L749" s="145"/>
      <c r="M749" s="145"/>
      <c r="N749" s="145"/>
      <c r="O749" s="100"/>
      <c r="P749" s="100"/>
      <c r="Q749" s="101"/>
      <c r="R749" s="93" t="s">
        <v>36</v>
      </c>
      <c r="S749" s="93"/>
      <c r="T749" s="93"/>
      <c r="U749" s="94"/>
    </row>
    <row r="750" spans="1:21" x14ac:dyDescent="0.4">
      <c r="A750" s="86">
        <f t="shared" si="11"/>
        <v>746</v>
      </c>
      <c r="B750" s="92"/>
      <c r="C750" s="190"/>
      <c r="D750" s="164"/>
      <c r="E750" s="103"/>
      <c r="F750" s="103"/>
      <c r="G750" s="103"/>
      <c r="H750" s="149"/>
      <c r="I750" s="104"/>
      <c r="J750" s="104"/>
      <c r="K750" s="104"/>
      <c r="L750" s="145" t="s">
        <v>2916</v>
      </c>
      <c r="M750" s="145"/>
      <c r="N750" s="145"/>
      <c r="O750" s="100"/>
      <c r="P750" s="100"/>
      <c r="Q750" s="101"/>
      <c r="R750" s="93" t="s">
        <v>2982</v>
      </c>
      <c r="S750" s="93"/>
      <c r="T750" s="93"/>
      <c r="U750" s="94"/>
    </row>
    <row r="751" spans="1:21" x14ac:dyDescent="0.4">
      <c r="A751" s="86">
        <f t="shared" si="11"/>
        <v>747</v>
      </c>
      <c r="B751" s="92"/>
      <c r="C751" s="190"/>
      <c r="D751" s="164"/>
      <c r="E751" s="103"/>
      <c r="F751" s="103"/>
      <c r="G751" s="103"/>
      <c r="H751" s="149"/>
      <c r="I751" s="104"/>
      <c r="J751" s="109" t="s">
        <v>1840</v>
      </c>
      <c r="K751" s="100"/>
      <c r="L751" s="145"/>
      <c r="M751" s="145"/>
      <c r="N751" s="145"/>
      <c r="O751" s="100"/>
      <c r="P751" s="100"/>
      <c r="Q751" s="101"/>
      <c r="R751" s="93" t="s">
        <v>1239</v>
      </c>
      <c r="S751" s="93"/>
      <c r="T751" s="93"/>
      <c r="U751" s="94"/>
    </row>
    <row r="752" spans="1:21" x14ac:dyDescent="0.4">
      <c r="A752" s="86">
        <f t="shared" si="11"/>
        <v>748</v>
      </c>
      <c r="B752" s="92"/>
      <c r="C752" s="190"/>
      <c r="D752" s="164"/>
      <c r="E752" s="103"/>
      <c r="F752" s="103"/>
      <c r="G752" s="103"/>
      <c r="H752" s="149"/>
      <c r="I752" s="104"/>
      <c r="J752" s="104"/>
      <c r="K752" s="70" t="s">
        <v>1813</v>
      </c>
      <c r="L752" s="145"/>
      <c r="M752" s="145"/>
      <c r="N752" s="145"/>
      <c r="O752" s="100"/>
      <c r="P752" s="100"/>
      <c r="Q752" s="101"/>
      <c r="R752" s="93" t="s">
        <v>36</v>
      </c>
      <c r="S752" s="93"/>
      <c r="T752" s="93"/>
      <c r="U752" s="94"/>
    </row>
    <row r="753" spans="1:21" x14ac:dyDescent="0.4">
      <c r="A753" s="86">
        <f t="shared" si="11"/>
        <v>749</v>
      </c>
      <c r="B753" s="92"/>
      <c r="C753" s="190"/>
      <c r="D753" s="164"/>
      <c r="E753" s="103"/>
      <c r="F753" s="103"/>
      <c r="G753" s="103"/>
      <c r="H753" s="149"/>
      <c r="I753" s="104"/>
      <c r="J753" s="104"/>
      <c r="K753" s="104"/>
      <c r="L753" s="145" t="s">
        <v>2916</v>
      </c>
      <c r="M753" s="145"/>
      <c r="N753" s="145"/>
      <c r="O753" s="100"/>
      <c r="P753" s="100"/>
      <c r="Q753" s="101"/>
      <c r="R753" s="93" t="s">
        <v>2927</v>
      </c>
      <c r="S753" s="93"/>
      <c r="T753" s="93"/>
      <c r="U753" s="94"/>
    </row>
    <row r="754" spans="1:21" x14ac:dyDescent="0.4">
      <c r="A754" s="86">
        <f t="shared" si="11"/>
        <v>750</v>
      </c>
      <c r="B754" s="92"/>
      <c r="C754" s="190"/>
      <c r="D754" s="164"/>
      <c r="E754" s="103"/>
      <c r="F754" s="103"/>
      <c r="G754" s="103"/>
      <c r="H754" s="149"/>
      <c r="I754" s="104"/>
      <c r="J754" s="109" t="s">
        <v>1841</v>
      </c>
      <c r="K754" s="100"/>
      <c r="L754" s="145"/>
      <c r="M754" s="145"/>
      <c r="N754" s="145"/>
      <c r="O754" s="100"/>
      <c r="P754" s="100"/>
      <c r="Q754" s="101"/>
      <c r="R754" s="93" t="s">
        <v>1239</v>
      </c>
      <c r="S754" s="93"/>
      <c r="T754" s="93"/>
      <c r="U754" s="94"/>
    </row>
    <row r="755" spans="1:21" x14ac:dyDescent="0.4">
      <c r="A755" s="86">
        <f t="shared" si="11"/>
        <v>751</v>
      </c>
      <c r="B755" s="92"/>
      <c r="C755" s="190"/>
      <c r="D755" s="164"/>
      <c r="E755" s="103"/>
      <c r="F755" s="103"/>
      <c r="G755" s="103"/>
      <c r="H755" s="149"/>
      <c r="I755" s="104"/>
      <c r="J755" s="104"/>
      <c r="K755" s="70" t="s">
        <v>1813</v>
      </c>
      <c r="L755" s="145"/>
      <c r="M755" s="145"/>
      <c r="N755" s="145"/>
      <c r="O755" s="100"/>
      <c r="P755" s="100"/>
      <c r="Q755" s="101"/>
      <c r="R755" s="93" t="s">
        <v>36</v>
      </c>
      <c r="S755" s="93"/>
      <c r="T755" s="93"/>
      <c r="U755" s="94"/>
    </row>
    <row r="756" spans="1:21" x14ac:dyDescent="0.4">
      <c r="A756" s="86">
        <f t="shared" si="11"/>
        <v>752</v>
      </c>
      <c r="B756" s="92"/>
      <c r="C756" s="190"/>
      <c r="D756" s="164"/>
      <c r="E756" s="103"/>
      <c r="F756" s="103"/>
      <c r="G756" s="103"/>
      <c r="H756" s="149"/>
      <c r="I756" s="104"/>
      <c r="J756" s="104"/>
      <c r="K756" s="104"/>
      <c r="L756" s="145" t="s">
        <v>2916</v>
      </c>
      <c r="M756" s="145"/>
      <c r="N756" s="145"/>
      <c r="O756" s="100"/>
      <c r="P756" s="100"/>
      <c r="Q756" s="101"/>
      <c r="R756" s="93" t="s">
        <v>2982</v>
      </c>
      <c r="S756" s="93"/>
      <c r="T756" s="93"/>
      <c r="U756" s="94"/>
    </row>
    <row r="757" spans="1:21" x14ac:dyDescent="0.4">
      <c r="A757" s="86">
        <f t="shared" si="11"/>
        <v>753</v>
      </c>
      <c r="B757" s="92"/>
      <c r="C757" s="190"/>
      <c r="D757" s="164"/>
      <c r="E757" s="103"/>
      <c r="F757" s="103"/>
      <c r="G757" s="103"/>
      <c r="H757" s="149"/>
      <c r="I757" s="104"/>
      <c r="J757" s="109" t="s">
        <v>1842</v>
      </c>
      <c r="K757" s="100"/>
      <c r="L757" s="145"/>
      <c r="M757" s="145"/>
      <c r="N757" s="145"/>
      <c r="O757" s="100"/>
      <c r="P757" s="100"/>
      <c r="Q757" s="101"/>
      <c r="R757" s="93" t="s">
        <v>1239</v>
      </c>
      <c r="S757" s="93"/>
      <c r="T757" s="93"/>
      <c r="U757" s="94"/>
    </row>
    <row r="758" spans="1:21" x14ac:dyDescent="0.4">
      <c r="A758" s="86">
        <f t="shared" si="11"/>
        <v>754</v>
      </c>
      <c r="B758" s="92"/>
      <c r="C758" s="190"/>
      <c r="D758" s="164"/>
      <c r="E758" s="103"/>
      <c r="F758" s="103"/>
      <c r="G758" s="103"/>
      <c r="H758" s="149"/>
      <c r="I758" s="104"/>
      <c r="J758" s="104"/>
      <c r="K758" s="70" t="s">
        <v>1813</v>
      </c>
      <c r="L758" s="145"/>
      <c r="M758" s="145"/>
      <c r="N758" s="145"/>
      <c r="O758" s="100"/>
      <c r="P758" s="100"/>
      <c r="Q758" s="101"/>
      <c r="R758" s="93" t="s">
        <v>36</v>
      </c>
      <c r="S758" s="93"/>
      <c r="T758" s="93"/>
      <c r="U758" s="94"/>
    </row>
    <row r="759" spans="1:21" x14ac:dyDescent="0.4">
      <c r="A759" s="86">
        <f t="shared" si="11"/>
        <v>755</v>
      </c>
      <c r="B759" s="92"/>
      <c r="C759" s="190"/>
      <c r="D759" s="164"/>
      <c r="E759" s="103"/>
      <c r="F759" s="103"/>
      <c r="G759" s="103"/>
      <c r="H759" s="149"/>
      <c r="I759" s="104"/>
      <c r="J759" s="104"/>
      <c r="K759" s="104"/>
      <c r="L759" s="145" t="s">
        <v>2916</v>
      </c>
      <c r="M759" s="145"/>
      <c r="N759" s="145"/>
      <c r="O759" s="100"/>
      <c r="P759" s="100"/>
      <c r="Q759" s="101"/>
      <c r="R759" s="93" t="s">
        <v>2927</v>
      </c>
      <c r="S759" s="93"/>
      <c r="T759" s="93"/>
      <c r="U759" s="94"/>
    </row>
    <row r="760" spans="1:21" x14ac:dyDescent="0.4">
      <c r="A760" s="86">
        <f t="shared" si="11"/>
        <v>756</v>
      </c>
      <c r="B760" s="92"/>
      <c r="C760" s="190"/>
      <c r="D760" s="164"/>
      <c r="E760" s="103"/>
      <c r="F760" s="103"/>
      <c r="G760" s="103"/>
      <c r="H760" s="149"/>
      <c r="I760" s="104"/>
      <c r="J760" s="104"/>
      <c r="K760" s="108"/>
      <c r="L760" s="145" t="s">
        <v>1815</v>
      </c>
      <c r="M760" s="145"/>
      <c r="N760" s="145"/>
      <c r="O760" s="100"/>
      <c r="P760" s="100"/>
      <c r="Q760" s="101"/>
      <c r="R760" s="93" t="s">
        <v>36</v>
      </c>
      <c r="S760" s="93"/>
      <c r="T760" s="93"/>
      <c r="U760" s="94"/>
    </row>
    <row r="761" spans="1:21" x14ac:dyDescent="0.4">
      <c r="A761" s="86">
        <f t="shared" si="11"/>
        <v>757</v>
      </c>
      <c r="B761" s="92"/>
      <c r="C761" s="190"/>
      <c r="D761" s="164"/>
      <c r="E761" s="103"/>
      <c r="F761" s="103"/>
      <c r="G761" s="103"/>
      <c r="H761" s="149"/>
      <c r="I761" s="104"/>
      <c r="J761" s="109" t="s">
        <v>1843</v>
      </c>
      <c r="K761" s="100"/>
      <c r="L761" s="145"/>
      <c r="M761" s="145"/>
      <c r="N761" s="145"/>
      <c r="O761" s="100"/>
      <c r="P761" s="100"/>
      <c r="Q761" s="101"/>
      <c r="R761" s="93" t="s">
        <v>1239</v>
      </c>
      <c r="S761" s="93"/>
      <c r="T761" s="93"/>
      <c r="U761" s="94"/>
    </row>
    <row r="762" spans="1:21" x14ac:dyDescent="0.4">
      <c r="A762" s="86">
        <f t="shared" si="11"/>
        <v>758</v>
      </c>
      <c r="B762" s="92"/>
      <c r="C762" s="190"/>
      <c r="D762" s="164"/>
      <c r="E762" s="103"/>
      <c r="F762" s="103"/>
      <c r="G762" s="103"/>
      <c r="H762" s="149"/>
      <c r="I762" s="104"/>
      <c r="J762" s="104"/>
      <c r="K762" s="70" t="s">
        <v>1813</v>
      </c>
      <c r="L762" s="145"/>
      <c r="M762" s="145"/>
      <c r="N762" s="145"/>
      <c r="O762" s="100"/>
      <c r="P762" s="100"/>
      <c r="Q762" s="101"/>
      <c r="R762" s="93" t="s">
        <v>36</v>
      </c>
      <c r="S762" s="93"/>
      <c r="T762" s="93"/>
      <c r="U762" s="94"/>
    </row>
    <row r="763" spans="1:21" x14ac:dyDescent="0.4">
      <c r="A763" s="86">
        <f t="shared" si="11"/>
        <v>759</v>
      </c>
      <c r="B763" s="92"/>
      <c r="C763" s="190"/>
      <c r="D763" s="164"/>
      <c r="E763" s="103"/>
      <c r="F763" s="103"/>
      <c r="G763" s="103"/>
      <c r="H763" s="149"/>
      <c r="I763" s="104"/>
      <c r="J763" s="104"/>
      <c r="K763" s="104"/>
      <c r="L763" s="145" t="s">
        <v>2916</v>
      </c>
      <c r="M763" s="145"/>
      <c r="N763" s="145"/>
      <c r="O763" s="100"/>
      <c r="P763" s="100"/>
      <c r="Q763" s="101"/>
      <c r="R763" s="93" t="s">
        <v>2927</v>
      </c>
      <c r="S763" s="93"/>
      <c r="T763" s="93"/>
      <c r="U763" s="94"/>
    </row>
    <row r="764" spans="1:21" x14ac:dyDescent="0.4">
      <c r="A764" s="86">
        <f t="shared" si="11"/>
        <v>760</v>
      </c>
      <c r="B764" s="92"/>
      <c r="C764" s="190"/>
      <c r="D764" s="164"/>
      <c r="E764" s="103"/>
      <c r="F764" s="103"/>
      <c r="G764" s="103"/>
      <c r="H764" s="149"/>
      <c r="I764" s="108"/>
      <c r="J764" s="108"/>
      <c r="K764" s="108"/>
      <c r="L764" s="145" t="s">
        <v>1815</v>
      </c>
      <c r="M764" s="145"/>
      <c r="N764" s="145"/>
      <c r="O764" s="100"/>
      <c r="P764" s="100"/>
      <c r="Q764" s="101"/>
      <c r="R764" s="93" t="s">
        <v>36</v>
      </c>
      <c r="S764" s="93"/>
      <c r="T764" s="93"/>
      <c r="U764" s="94"/>
    </row>
    <row r="765" spans="1:21" x14ac:dyDescent="0.4">
      <c r="A765" s="86">
        <f t="shared" si="11"/>
        <v>761</v>
      </c>
      <c r="B765" s="92"/>
      <c r="C765" s="190"/>
      <c r="D765" s="164"/>
      <c r="E765" s="103"/>
      <c r="F765" s="103"/>
      <c r="G765" s="103"/>
      <c r="H765" s="149"/>
      <c r="I765" s="70" t="s">
        <v>1848</v>
      </c>
      <c r="J765" s="145"/>
      <c r="K765" s="145"/>
      <c r="L765" s="145"/>
      <c r="M765" s="145"/>
      <c r="N765" s="145"/>
      <c r="O765" s="100"/>
      <c r="P765" s="100"/>
      <c r="Q765" s="101"/>
      <c r="R765" s="93" t="s">
        <v>1239</v>
      </c>
      <c r="S765" s="93"/>
      <c r="T765" s="93"/>
      <c r="U765" s="94"/>
    </row>
    <row r="766" spans="1:21" x14ac:dyDescent="0.4">
      <c r="A766" s="86">
        <f t="shared" si="11"/>
        <v>762</v>
      </c>
      <c r="B766" s="92"/>
      <c r="C766" s="190"/>
      <c r="D766" s="164"/>
      <c r="E766" s="103"/>
      <c r="F766" s="103"/>
      <c r="G766" s="103"/>
      <c r="H766" s="149"/>
      <c r="I766" s="104"/>
      <c r="J766" s="70" t="s">
        <v>1812</v>
      </c>
      <c r="K766" s="145"/>
      <c r="L766" s="145"/>
      <c r="M766" s="145"/>
      <c r="N766" s="145"/>
      <c r="O766" s="100"/>
      <c r="P766" s="100"/>
      <c r="Q766" s="101"/>
      <c r="R766" s="93" t="s">
        <v>1239</v>
      </c>
      <c r="S766" s="93"/>
      <c r="T766" s="93"/>
      <c r="U766" s="94"/>
    </row>
    <row r="767" spans="1:21" x14ac:dyDescent="0.4">
      <c r="A767" s="86">
        <f t="shared" si="11"/>
        <v>763</v>
      </c>
      <c r="B767" s="92"/>
      <c r="C767" s="190"/>
      <c r="D767" s="164"/>
      <c r="E767" s="103"/>
      <c r="F767" s="103"/>
      <c r="G767" s="103"/>
      <c r="H767" s="149"/>
      <c r="I767" s="104"/>
      <c r="J767" s="104"/>
      <c r="K767" s="70" t="s">
        <v>1813</v>
      </c>
      <c r="L767" s="145"/>
      <c r="M767" s="145"/>
      <c r="N767" s="145"/>
      <c r="O767" s="100"/>
      <c r="P767" s="100"/>
      <c r="Q767" s="101"/>
      <c r="R767" s="93" t="s">
        <v>36</v>
      </c>
      <c r="S767" s="93"/>
      <c r="T767" s="93"/>
      <c r="U767" s="94"/>
    </row>
    <row r="768" spans="1:21" x14ac:dyDescent="0.4">
      <c r="A768" s="86">
        <f t="shared" si="11"/>
        <v>764</v>
      </c>
      <c r="B768" s="92"/>
      <c r="C768" s="190"/>
      <c r="D768" s="164"/>
      <c r="E768" s="103"/>
      <c r="F768" s="103"/>
      <c r="G768" s="103"/>
      <c r="H768" s="149"/>
      <c r="I768" s="104"/>
      <c r="J768" s="104"/>
      <c r="K768" s="104"/>
      <c r="L768" s="145" t="s">
        <v>2916</v>
      </c>
      <c r="M768" s="145"/>
      <c r="N768" s="145"/>
      <c r="O768" s="100"/>
      <c r="P768" s="100"/>
      <c r="Q768" s="101"/>
      <c r="R768" s="93" t="s">
        <v>2982</v>
      </c>
      <c r="S768" s="93"/>
      <c r="T768" s="93"/>
      <c r="U768" s="94"/>
    </row>
    <row r="769" spans="1:21" x14ac:dyDescent="0.4">
      <c r="A769" s="86">
        <f t="shared" si="11"/>
        <v>765</v>
      </c>
      <c r="B769" s="92"/>
      <c r="C769" s="190"/>
      <c r="D769" s="164"/>
      <c r="E769" s="103"/>
      <c r="F769" s="103"/>
      <c r="G769" s="103"/>
      <c r="H769" s="149"/>
      <c r="I769" s="104"/>
      <c r="J769" s="104"/>
      <c r="K769" s="104"/>
      <c r="L769" s="145" t="s">
        <v>99</v>
      </c>
      <c r="M769" s="145"/>
      <c r="N769" s="145"/>
      <c r="O769" s="100"/>
      <c r="P769" s="100"/>
      <c r="Q769" s="101"/>
      <c r="R769" s="93" t="s">
        <v>9</v>
      </c>
      <c r="S769" s="93"/>
      <c r="T769" s="93"/>
      <c r="U769" s="94"/>
    </row>
    <row r="770" spans="1:21" x14ac:dyDescent="0.4">
      <c r="A770" s="86">
        <f t="shared" si="11"/>
        <v>766</v>
      </c>
      <c r="B770" s="92"/>
      <c r="C770" s="190"/>
      <c r="D770" s="164"/>
      <c r="E770" s="103"/>
      <c r="F770" s="103"/>
      <c r="G770" s="103"/>
      <c r="H770" s="149"/>
      <c r="I770" s="104"/>
      <c r="J770" s="104"/>
      <c r="K770" s="104"/>
      <c r="L770" s="145" t="s">
        <v>1814</v>
      </c>
      <c r="M770" s="145"/>
      <c r="N770" s="145"/>
      <c r="O770" s="100"/>
      <c r="P770" s="100"/>
      <c r="Q770" s="101"/>
      <c r="R770" s="93" t="s">
        <v>36</v>
      </c>
      <c r="S770" s="93"/>
      <c r="T770" s="93"/>
      <c r="U770" s="94"/>
    </row>
    <row r="771" spans="1:21" x14ac:dyDescent="0.4">
      <c r="A771" s="86">
        <f t="shared" si="11"/>
        <v>767</v>
      </c>
      <c r="B771" s="92"/>
      <c r="C771" s="190"/>
      <c r="D771" s="164"/>
      <c r="E771" s="103"/>
      <c r="F771" s="103"/>
      <c r="G771" s="103"/>
      <c r="H771" s="149"/>
      <c r="I771" s="104"/>
      <c r="J771" s="104"/>
      <c r="K771" s="108"/>
      <c r="L771" s="145" t="s">
        <v>1815</v>
      </c>
      <c r="M771" s="145"/>
      <c r="N771" s="145"/>
      <c r="O771" s="100"/>
      <c r="P771" s="100"/>
      <c r="Q771" s="101"/>
      <c r="R771" s="93" t="s">
        <v>36</v>
      </c>
      <c r="S771" s="93"/>
      <c r="T771" s="93"/>
      <c r="U771" s="94"/>
    </row>
    <row r="772" spans="1:21" x14ac:dyDescent="0.4">
      <c r="A772" s="86">
        <f t="shared" si="11"/>
        <v>768</v>
      </c>
      <c r="B772" s="92"/>
      <c r="C772" s="190"/>
      <c r="D772" s="164"/>
      <c r="E772" s="103"/>
      <c r="F772" s="103"/>
      <c r="G772" s="103"/>
      <c r="H772" s="149"/>
      <c r="I772" s="104"/>
      <c r="J772" s="109" t="s">
        <v>1816</v>
      </c>
      <c r="K772" s="145"/>
      <c r="L772" s="145"/>
      <c r="M772" s="145"/>
      <c r="N772" s="145"/>
      <c r="O772" s="100"/>
      <c r="P772" s="100"/>
      <c r="Q772" s="101"/>
      <c r="R772" s="93" t="s">
        <v>1239</v>
      </c>
      <c r="S772" s="93"/>
      <c r="T772" s="93"/>
      <c r="U772" s="94"/>
    </row>
    <row r="773" spans="1:21" x14ac:dyDescent="0.4">
      <c r="A773" s="86">
        <f t="shared" si="11"/>
        <v>769</v>
      </c>
      <c r="B773" s="92"/>
      <c r="C773" s="190"/>
      <c r="D773" s="164"/>
      <c r="E773" s="103"/>
      <c r="F773" s="103"/>
      <c r="G773" s="103"/>
      <c r="H773" s="149"/>
      <c r="I773" s="104"/>
      <c r="J773" s="104"/>
      <c r="K773" s="70" t="s">
        <v>1813</v>
      </c>
      <c r="L773" s="145"/>
      <c r="M773" s="145"/>
      <c r="N773" s="145"/>
      <c r="O773" s="100"/>
      <c r="P773" s="100"/>
      <c r="Q773" s="101"/>
      <c r="R773" s="93" t="s">
        <v>36</v>
      </c>
      <c r="S773" s="93"/>
      <c r="T773" s="93"/>
      <c r="U773" s="94"/>
    </row>
    <row r="774" spans="1:21" x14ac:dyDescent="0.4">
      <c r="A774" s="86">
        <f t="shared" si="11"/>
        <v>770</v>
      </c>
      <c r="B774" s="92"/>
      <c r="C774" s="190"/>
      <c r="D774" s="164"/>
      <c r="E774" s="103"/>
      <c r="F774" s="103"/>
      <c r="G774" s="103"/>
      <c r="H774" s="149"/>
      <c r="I774" s="104"/>
      <c r="J774" s="104"/>
      <c r="K774" s="104"/>
      <c r="L774" s="145" t="s">
        <v>2916</v>
      </c>
      <c r="M774" s="145"/>
      <c r="N774" s="145"/>
      <c r="O774" s="100"/>
      <c r="P774" s="100"/>
      <c r="Q774" s="101"/>
      <c r="R774" s="93" t="s">
        <v>2927</v>
      </c>
      <c r="S774" s="93"/>
      <c r="T774" s="93"/>
      <c r="U774" s="94"/>
    </row>
    <row r="775" spans="1:21" x14ac:dyDescent="0.4">
      <c r="A775" s="86">
        <f t="shared" ref="A775:A838" si="12">A774+1</f>
        <v>771</v>
      </c>
      <c r="B775" s="92"/>
      <c r="C775" s="190"/>
      <c r="D775" s="164"/>
      <c r="E775" s="103"/>
      <c r="F775" s="103"/>
      <c r="G775" s="103"/>
      <c r="H775" s="149"/>
      <c r="I775" s="104"/>
      <c r="J775" s="104"/>
      <c r="K775" s="108"/>
      <c r="L775" s="145" t="s">
        <v>1815</v>
      </c>
      <c r="M775" s="145"/>
      <c r="N775" s="145"/>
      <c r="O775" s="100"/>
      <c r="P775" s="100"/>
      <c r="Q775" s="101"/>
      <c r="R775" s="93" t="s">
        <v>36</v>
      </c>
      <c r="S775" s="93"/>
      <c r="T775" s="93"/>
      <c r="U775" s="94"/>
    </row>
    <row r="776" spans="1:21" x14ac:dyDescent="0.4">
      <c r="A776" s="86">
        <f t="shared" si="12"/>
        <v>772</v>
      </c>
      <c r="B776" s="92"/>
      <c r="C776" s="190"/>
      <c r="D776" s="164"/>
      <c r="E776" s="103"/>
      <c r="F776" s="103"/>
      <c r="G776" s="103"/>
      <c r="H776" s="149"/>
      <c r="I776" s="104"/>
      <c r="J776" s="109" t="s">
        <v>1817</v>
      </c>
      <c r="K776" s="145"/>
      <c r="L776" s="145"/>
      <c r="M776" s="145"/>
      <c r="N776" s="145"/>
      <c r="O776" s="100"/>
      <c r="P776" s="100"/>
      <c r="Q776" s="101"/>
      <c r="R776" s="93" t="s">
        <v>1239</v>
      </c>
      <c r="S776" s="93"/>
      <c r="T776" s="93"/>
      <c r="U776" s="94"/>
    </row>
    <row r="777" spans="1:21" x14ac:dyDescent="0.4">
      <c r="A777" s="86">
        <f t="shared" si="12"/>
        <v>773</v>
      </c>
      <c r="B777" s="92"/>
      <c r="C777" s="190"/>
      <c r="D777" s="164"/>
      <c r="E777" s="103"/>
      <c r="F777" s="103"/>
      <c r="G777" s="103"/>
      <c r="H777" s="149"/>
      <c r="I777" s="104"/>
      <c r="J777" s="104"/>
      <c r="K777" s="70" t="s">
        <v>1813</v>
      </c>
      <c r="L777" s="145"/>
      <c r="M777" s="145"/>
      <c r="N777" s="145"/>
      <c r="O777" s="100"/>
      <c r="P777" s="100"/>
      <c r="Q777" s="101"/>
      <c r="R777" s="93" t="s">
        <v>36</v>
      </c>
      <c r="S777" s="93"/>
      <c r="T777" s="93"/>
      <c r="U777" s="94"/>
    </row>
    <row r="778" spans="1:21" x14ac:dyDescent="0.4">
      <c r="A778" s="86">
        <f t="shared" si="12"/>
        <v>774</v>
      </c>
      <c r="B778" s="92"/>
      <c r="C778" s="190"/>
      <c r="D778" s="164"/>
      <c r="E778" s="103"/>
      <c r="F778" s="103"/>
      <c r="G778" s="103"/>
      <c r="H778" s="149"/>
      <c r="I778" s="104"/>
      <c r="J778" s="104"/>
      <c r="K778" s="104"/>
      <c r="L778" s="145" t="s">
        <v>2916</v>
      </c>
      <c r="M778" s="145"/>
      <c r="N778" s="145"/>
      <c r="O778" s="100"/>
      <c r="P778" s="100"/>
      <c r="Q778" s="101"/>
      <c r="R778" s="93" t="s">
        <v>2927</v>
      </c>
      <c r="S778" s="93"/>
      <c r="T778" s="93"/>
      <c r="U778" s="94"/>
    </row>
    <row r="779" spans="1:21" x14ac:dyDescent="0.4">
      <c r="A779" s="86">
        <f t="shared" si="12"/>
        <v>775</v>
      </c>
      <c r="B779" s="92"/>
      <c r="C779" s="190"/>
      <c r="D779" s="164"/>
      <c r="E779" s="103"/>
      <c r="F779" s="103"/>
      <c r="G779" s="103"/>
      <c r="H779" s="149"/>
      <c r="I779" s="104"/>
      <c r="J779" s="104"/>
      <c r="K779" s="108"/>
      <c r="L779" s="145" t="s">
        <v>1815</v>
      </c>
      <c r="M779" s="145"/>
      <c r="N779" s="145"/>
      <c r="O779" s="100"/>
      <c r="P779" s="100"/>
      <c r="Q779" s="101"/>
      <c r="R779" s="93" t="s">
        <v>36</v>
      </c>
      <c r="S779" s="93"/>
      <c r="T779" s="93"/>
      <c r="U779" s="94"/>
    </row>
    <row r="780" spans="1:21" x14ac:dyDescent="0.4">
      <c r="A780" s="86">
        <f t="shared" si="12"/>
        <v>776</v>
      </c>
      <c r="B780" s="92"/>
      <c r="C780" s="190"/>
      <c r="D780" s="164"/>
      <c r="E780" s="103"/>
      <c r="F780" s="103"/>
      <c r="G780" s="103"/>
      <c r="H780" s="149"/>
      <c r="I780" s="104"/>
      <c r="J780" s="109" t="s">
        <v>1818</v>
      </c>
      <c r="K780" s="145"/>
      <c r="L780" s="145"/>
      <c r="M780" s="145"/>
      <c r="N780" s="145"/>
      <c r="O780" s="100"/>
      <c r="P780" s="100"/>
      <c r="Q780" s="101"/>
      <c r="R780" s="93" t="s">
        <v>1239</v>
      </c>
      <c r="S780" s="93"/>
      <c r="T780" s="93"/>
      <c r="U780" s="94"/>
    </row>
    <row r="781" spans="1:21" x14ac:dyDescent="0.4">
      <c r="A781" s="86">
        <f t="shared" si="12"/>
        <v>777</v>
      </c>
      <c r="B781" s="92"/>
      <c r="C781" s="190"/>
      <c r="D781" s="164"/>
      <c r="E781" s="103"/>
      <c r="F781" s="103"/>
      <c r="G781" s="103"/>
      <c r="H781" s="149"/>
      <c r="I781" s="104"/>
      <c r="J781" s="104"/>
      <c r="K781" s="70" t="s">
        <v>1813</v>
      </c>
      <c r="L781" s="145"/>
      <c r="M781" s="145"/>
      <c r="N781" s="145"/>
      <c r="O781" s="100"/>
      <c r="P781" s="100"/>
      <c r="Q781" s="101"/>
      <c r="R781" s="93" t="s">
        <v>36</v>
      </c>
      <c r="S781" s="93"/>
      <c r="T781" s="93"/>
      <c r="U781" s="94"/>
    </row>
    <row r="782" spans="1:21" x14ac:dyDescent="0.4">
      <c r="A782" s="86">
        <f t="shared" si="12"/>
        <v>778</v>
      </c>
      <c r="B782" s="92"/>
      <c r="C782" s="190"/>
      <c r="D782" s="164"/>
      <c r="E782" s="103"/>
      <c r="F782" s="103"/>
      <c r="G782" s="103"/>
      <c r="H782" s="149"/>
      <c r="I782" s="104"/>
      <c r="J782" s="104"/>
      <c r="K782" s="104"/>
      <c r="L782" s="145" t="s">
        <v>2916</v>
      </c>
      <c r="M782" s="145"/>
      <c r="N782" s="145"/>
      <c r="O782" s="100"/>
      <c r="P782" s="100"/>
      <c r="Q782" s="101"/>
      <c r="R782" s="93" t="s">
        <v>2927</v>
      </c>
      <c r="S782" s="93"/>
      <c r="T782" s="93"/>
      <c r="U782" s="94"/>
    </row>
    <row r="783" spans="1:21" x14ac:dyDescent="0.4">
      <c r="A783" s="86">
        <f t="shared" si="12"/>
        <v>779</v>
      </c>
      <c r="B783" s="92"/>
      <c r="C783" s="190"/>
      <c r="D783" s="164"/>
      <c r="E783" s="103"/>
      <c r="F783" s="103"/>
      <c r="G783" s="103"/>
      <c r="H783" s="149"/>
      <c r="I783" s="104"/>
      <c r="J783" s="104"/>
      <c r="K783" s="108"/>
      <c r="L783" s="145" t="s">
        <v>1815</v>
      </c>
      <c r="M783" s="145"/>
      <c r="N783" s="145"/>
      <c r="O783" s="100"/>
      <c r="P783" s="100"/>
      <c r="Q783" s="101"/>
      <c r="R783" s="93" t="s">
        <v>36</v>
      </c>
      <c r="S783" s="93"/>
      <c r="T783" s="93"/>
      <c r="U783" s="94"/>
    </row>
    <row r="784" spans="1:21" x14ac:dyDescent="0.4">
      <c r="A784" s="86">
        <f t="shared" si="12"/>
        <v>780</v>
      </c>
      <c r="B784" s="92"/>
      <c r="C784" s="190"/>
      <c r="D784" s="164"/>
      <c r="E784" s="103"/>
      <c r="F784" s="103"/>
      <c r="G784" s="103"/>
      <c r="H784" s="149"/>
      <c r="I784" s="104"/>
      <c r="J784" s="109" t="s">
        <v>1819</v>
      </c>
      <c r="K784" s="145"/>
      <c r="L784" s="145"/>
      <c r="M784" s="145"/>
      <c r="N784" s="145"/>
      <c r="O784" s="100"/>
      <c r="P784" s="100"/>
      <c r="Q784" s="101"/>
      <c r="R784" s="93" t="s">
        <v>1239</v>
      </c>
      <c r="S784" s="93"/>
      <c r="T784" s="93"/>
      <c r="U784" s="94"/>
    </row>
    <row r="785" spans="1:21" x14ac:dyDescent="0.4">
      <c r="A785" s="86">
        <f t="shared" si="12"/>
        <v>781</v>
      </c>
      <c r="B785" s="92"/>
      <c r="C785" s="190"/>
      <c r="D785" s="164"/>
      <c r="E785" s="103"/>
      <c r="F785" s="103"/>
      <c r="G785" s="103"/>
      <c r="H785" s="149"/>
      <c r="I785" s="104"/>
      <c r="J785" s="104"/>
      <c r="K785" s="70" t="s">
        <v>1813</v>
      </c>
      <c r="L785" s="145"/>
      <c r="M785" s="145"/>
      <c r="N785" s="145"/>
      <c r="O785" s="100"/>
      <c r="P785" s="100"/>
      <c r="Q785" s="101"/>
      <c r="R785" s="93" t="s">
        <v>36</v>
      </c>
      <c r="S785" s="93"/>
      <c r="T785" s="93"/>
      <c r="U785" s="94"/>
    </row>
    <row r="786" spans="1:21" x14ac:dyDescent="0.4">
      <c r="A786" s="86">
        <f t="shared" si="12"/>
        <v>782</v>
      </c>
      <c r="B786" s="92"/>
      <c r="C786" s="190"/>
      <c r="D786" s="164"/>
      <c r="E786" s="103"/>
      <c r="F786" s="103"/>
      <c r="G786" s="103"/>
      <c r="H786" s="149"/>
      <c r="I786" s="104"/>
      <c r="J786" s="104"/>
      <c r="K786" s="104"/>
      <c r="L786" s="145" t="s">
        <v>2916</v>
      </c>
      <c r="M786" s="145"/>
      <c r="N786" s="145"/>
      <c r="O786" s="100"/>
      <c r="P786" s="100"/>
      <c r="Q786" s="101"/>
      <c r="R786" s="93" t="s">
        <v>2927</v>
      </c>
      <c r="S786" s="93"/>
      <c r="T786" s="93"/>
      <c r="U786" s="94"/>
    </row>
    <row r="787" spans="1:21" x14ac:dyDescent="0.4">
      <c r="A787" s="86">
        <f t="shared" si="12"/>
        <v>783</v>
      </c>
      <c r="B787" s="92"/>
      <c r="C787" s="190"/>
      <c r="D787" s="164"/>
      <c r="E787" s="103"/>
      <c r="F787" s="103"/>
      <c r="G787" s="103"/>
      <c r="H787" s="149"/>
      <c r="I787" s="104"/>
      <c r="J787" s="104"/>
      <c r="K787" s="104"/>
      <c r="L787" s="145" t="s">
        <v>1820</v>
      </c>
      <c r="M787" s="145"/>
      <c r="N787" s="145"/>
      <c r="O787" s="100"/>
      <c r="P787" s="100"/>
      <c r="Q787" s="101"/>
      <c r="R787" s="93" t="s">
        <v>36</v>
      </c>
      <c r="S787" s="93"/>
      <c r="T787" s="93"/>
      <c r="U787" s="94"/>
    </row>
    <row r="788" spans="1:21" x14ac:dyDescent="0.4">
      <c r="A788" s="86">
        <f t="shared" si="12"/>
        <v>784</v>
      </c>
      <c r="B788" s="92"/>
      <c r="C788" s="190"/>
      <c r="D788" s="164"/>
      <c r="E788" s="103"/>
      <c r="F788" s="103"/>
      <c r="G788" s="103"/>
      <c r="H788" s="149"/>
      <c r="I788" s="104"/>
      <c r="J788" s="104"/>
      <c r="K788" s="108"/>
      <c r="L788" s="145" t="s">
        <v>1815</v>
      </c>
      <c r="M788" s="145"/>
      <c r="N788" s="145"/>
      <c r="O788" s="100"/>
      <c r="P788" s="100"/>
      <c r="Q788" s="101"/>
      <c r="R788" s="93" t="s">
        <v>36</v>
      </c>
      <c r="S788" s="93"/>
      <c r="T788" s="93"/>
      <c r="U788" s="94"/>
    </row>
    <row r="789" spans="1:21" x14ac:dyDescent="0.4">
      <c r="A789" s="86">
        <f t="shared" si="12"/>
        <v>785</v>
      </c>
      <c r="B789" s="92"/>
      <c r="C789" s="190"/>
      <c r="D789" s="164"/>
      <c r="E789" s="103"/>
      <c r="F789" s="103"/>
      <c r="G789" s="103"/>
      <c r="H789" s="149"/>
      <c r="I789" s="104"/>
      <c r="J789" s="109" t="s">
        <v>1821</v>
      </c>
      <c r="K789" s="145"/>
      <c r="L789" s="145"/>
      <c r="M789" s="145"/>
      <c r="N789" s="145"/>
      <c r="O789" s="100"/>
      <c r="P789" s="100"/>
      <c r="Q789" s="101"/>
      <c r="R789" s="93" t="s">
        <v>1239</v>
      </c>
      <c r="S789" s="93"/>
      <c r="T789" s="93"/>
      <c r="U789" s="94"/>
    </row>
    <row r="790" spans="1:21" x14ac:dyDescent="0.4">
      <c r="A790" s="86">
        <f t="shared" si="12"/>
        <v>786</v>
      </c>
      <c r="B790" s="92"/>
      <c r="C790" s="190"/>
      <c r="D790" s="164"/>
      <c r="E790" s="103"/>
      <c r="F790" s="103"/>
      <c r="G790" s="103"/>
      <c r="H790" s="149"/>
      <c r="I790" s="104"/>
      <c r="J790" s="104"/>
      <c r="K790" s="70" t="s">
        <v>1813</v>
      </c>
      <c r="L790" s="145"/>
      <c r="M790" s="145"/>
      <c r="N790" s="145"/>
      <c r="O790" s="100"/>
      <c r="P790" s="100"/>
      <c r="Q790" s="101"/>
      <c r="R790" s="93" t="s">
        <v>36</v>
      </c>
      <c r="S790" s="93"/>
      <c r="T790" s="93"/>
      <c r="U790" s="94"/>
    </row>
    <row r="791" spans="1:21" x14ac:dyDescent="0.4">
      <c r="A791" s="86">
        <f t="shared" si="12"/>
        <v>787</v>
      </c>
      <c r="B791" s="92"/>
      <c r="C791" s="190"/>
      <c r="D791" s="164"/>
      <c r="E791" s="103"/>
      <c r="F791" s="103"/>
      <c r="G791" s="103"/>
      <c r="H791" s="149"/>
      <c r="I791" s="104"/>
      <c r="J791" s="104"/>
      <c r="K791" s="104"/>
      <c r="L791" s="145" t="s">
        <v>2916</v>
      </c>
      <c r="M791" s="145"/>
      <c r="N791" s="145"/>
      <c r="O791" s="100"/>
      <c r="P791" s="100"/>
      <c r="Q791" s="101"/>
      <c r="R791" s="93" t="s">
        <v>2982</v>
      </c>
      <c r="S791" s="93"/>
      <c r="T791" s="93"/>
      <c r="U791" s="94"/>
    </row>
    <row r="792" spans="1:21" x14ac:dyDescent="0.4">
      <c r="A792" s="86">
        <f t="shared" si="12"/>
        <v>788</v>
      </c>
      <c r="B792" s="92"/>
      <c r="C792" s="190"/>
      <c r="D792" s="164"/>
      <c r="E792" s="103"/>
      <c r="F792" s="103"/>
      <c r="G792" s="103"/>
      <c r="H792" s="149"/>
      <c r="I792" s="104"/>
      <c r="J792" s="104"/>
      <c r="K792" s="108"/>
      <c r="L792" s="145" t="s">
        <v>1822</v>
      </c>
      <c r="M792" s="145"/>
      <c r="N792" s="145"/>
      <c r="O792" s="100"/>
      <c r="P792" s="100"/>
      <c r="Q792" s="101"/>
      <c r="R792" s="93" t="s">
        <v>36</v>
      </c>
      <c r="S792" s="93"/>
      <c r="T792" s="93"/>
      <c r="U792" s="94"/>
    </row>
    <row r="793" spans="1:21" x14ac:dyDescent="0.4">
      <c r="A793" s="86">
        <f t="shared" si="12"/>
        <v>789</v>
      </c>
      <c r="B793" s="92"/>
      <c r="C793" s="190"/>
      <c r="D793" s="164"/>
      <c r="E793" s="103"/>
      <c r="F793" s="103"/>
      <c r="G793" s="103"/>
      <c r="H793" s="149"/>
      <c r="I793" s="104"/>
      <c r="J793" s="109" t="s">
        <v>1823</v>
      </c>
      <c r="K793" s="145"/>
      <c r="L793" s="145"/>
      <c r="M793" s="145"/>
      <c r="N793" s="145"/>
      <c r="O793" s="100"/>
      <c r="P793" s="100"/>
      <c r="Q793" s="101"/>
      <c r="R793" s="93" t="s">
        <v>1239</v>
      </c>
      <c r="S793" s="93"/>
      <c r="T793" s="93"/>
      <c r="U793" s="94"/>
    </row>
    <row r="794" spans="1:21" x14ac:dyDescent="0.4">
      <c r="A794" s="86">
        <f t="shared" si="12"/>
        <v>790</v>
      </c>
      <c r="B794" s="92"/>
      <c r="C794" s="190"/>
      <c r="D794" s="164"/>
      <c r="E794" s="103"/>
      <c r="F794" s="103"/>
      <c r="G794" s="103"/>
      <c r="H794" s="149"/>
      <c r="I794" s="104"/>
      <c r="J794" s="104"/>
      <c r="K794" s="70" t="s">
        <v>1813</v>
      </c>
      <c r="L794" s="145"/>
      <c r="M794" s="145"/>
      <c r="N794" s="145"/>
      <c r="O794" s="100"/>
      <c r="P794" s="100"/>
      <c r="Q794" s="101"/>
      <c r="R794" s="93" t="s">
        <v>36</v>
      </c>
      <c r="S794" s="93"/>
      <c r="T794" s="93"/>
      <c r="U794" s="94"/>
    </row>
    <row r="795" spans="1:21" x14ac:dyDescent="0.4">
      <c r="A795" s="86">
        <f t="shared" si="12"/>
        <v>791</v>
      </c>
      <c r="B795" s="92"/>
      <c r="C795" s="190"/>
      <c r="D795" s="164"/>
      <c r="E795" s="103"/>
      <c r="F795" s="103"/>
      <c r="G795" s="103"/>
      <c r="H795" s="149"/>
      <c r="I795" s="104"/>
      <c r="J795" s="104"/>
      <c r="K795" s="104"/>
      <c r="L795" s="145" t="s">
        <v>2916</v>
      </c>
      <c r="M795" s="145"/>
      <c r="N795" s="145"/>
      <c r="O795" s="100"/>
      <c r="P795" s="100"/>
      <c r="Q795" s="101"/>
      <c r="R795" s="93" t="s">
        <v>2982</v>
      </c>
      <c r="S795" s="93"/>
      <c r="T795" s="93"/>
      <c r="U795" s="94"/>
    </row>
    <row r="796" spans="1:21" x14ac:dyDescent="0.4">
      <c r="A796" s="86">
        <f t="shared" si="12"/>
        <v>792</v>
      </c>
      <c r="B796" s="92"/>
      <c r="C796" s="190"/>
      <c r="D796" s="164"/>
      <c r="E796" s="103"/>
      <c r="F796" s="103"/>
      <c r="G796" s="103"/>
      <c r="H796" s="149"/>
      <c r="I796" s="104"/>
      <c r="J796" s="104"/>
      <c r="K796" s="108"/>
      <c r="L796" s="145" t="s">
        <v>1824</v>
      </c>
      <c r="M796" s="145"/>
      <c r="N796" s="145"/>
      <c r="O796" s="100"/>
      <c r="P796" s="100"/>
      <c r="Q796" s="101"/>
      <c r="R796" s="93" t="s">
        <v>36</v>
      </c>
      <c r="S796" s="93"/>
      <c r="T796" s="93"/>
      <c r="U796" s="94"/>
    </row>
    <row r="797" spans="1:21" x14ac:dyDescent="0.4">
      <c r="A797" s="86">
        <f t="shared" si="12"/>
        <v>793</v>
      </c>
      <c r="B797" s="92"/>
      <c r="C797" s="190"/>
      <c r="D797" s="164"/>
      <c r="E797" s="103"/>
      <c r="F797" s="103"/>
      <c r="G797" s="103"/>
      <c r="H797" s="149"/>
      <c r="I797" s="104"/>
      <c r="J797" s="109" t="s">
        <v>1825</v>
      </c>
      <c r="K797" s="145"/>
      <c r="L797" s="145"/>
      <c r="M797" s="145"/>
      <c r="N797" s="145"/>
      <c r="O797" s="100"/>
      <c r="P797" s="100"/>
      <c r="Q797" s="101"/>
      <c r="R797" s="93" t="s">
        <v>1239</v>
      </c>
      <c r="S797" s="93"/>
      <c r="T797" s="93"/>
      <c r="U797" s="94"/>
    </row>
    <row r="798" spans="1:21" x14ac:dyDescent="0.4">
      <c r="A798" s="86">
        <f t="shared" si="12"/>
        <v>794</v>
      </c>
      <c r="B798" s="92"/>
      <c r="C798" s="190"/>
      <c r="D798" s="164"/>
      <c r="E798" s="103"/>
      <c r="F798" s="103"/>
      <c r="G798" s="103"/>
      <c r="H798" s="149"/>
      <c r="I798" s="104"/>
      <c r="J798" s="104"/>
      <c r="K798" s="70" t="s">
        <v>1813</v>
      </c>
      <c r="L798" s="145"/>
      <c r="M798" s="145"/>
      <c r="N798" s="145"/>
      <c r="O798" s="100"/>
      <c r="P798" s="100"/>
      <c r="Q798" s="101"/>
      <c r="R798" s="93" t="s">
        <v>36</v>
      </c>
      <c r="S798" s="93"/>
      <c r="T798" s="93"/>
      <c r="U798" s="94"/>
    </row>
    <row r="799" spans="1:21" x14ac:dyDescent="0.4">
      <c r="A799" s="86">
        <f t="shared" si="12"/>
        <v>795</v>
      </c>
      <c r="B799" s="92"/>
      <c r="C799" s="190"/>
      <c r="D799" s="164"/>
      <c r="E799" s="103"/>
      <c r="F799" s="103"/>
      <c r="G799" s="103"/>
      <c r="H799" s="149"/>
      <c r="I799" s="104"/>
      <c r="J799" s="104"/>
      <c r="K799" s="104"/>
      <c r="L799" s="145" t="s">
        <v>2916</v>
      </c>
      <c r="M799" s="145"/>
      <c r="N799" s="145"/>
      <c r="O799" s="100"/>
      <c r="P799" s="100"/>
      <c r="Q799" s="101"/>
      <c r="R799" s="93" t="s">
        <v>2927</v>
      </c>
      <c r="S799" s="93"/>
      <c r="T799" s="93"/>
      <c r="U799" s="94"/>
    </row>
    <row r="800" spans="1:21" x14ac:dyDescent="0.4">
      <c r="A800" s="86">
        <f t="shared" si="12"/>
        <v>796</v>
      </c>
      <c r="B800" s="92"/>
      <c r="C800" s="190"/>
      <c r="D800" s="164"/>
      <c r="E800" s="103"/>
      <c r="F800" s="103"/>
      <c r="G800" s="103"/>
      <c r="H800" s="149"/>
      <c r="I800" s="104"/>
      <c r="J800" s="109" t="s">
        <v>1826</v>
      </c>
      <c r="K800" s="100"/>
      <c r="L800" s="145"/>
      <c r="M800" s="145"/>
      <c r="N800" s="145"/>
      <c r="O800" s="100"/>
      <c r="P800" s="100"/>
      <c r="Q800" s="101"/>
      <c r="R800" s="93" t="s">
        <v>1239</v>
      </c>
      <c r="S800" s="93"/>
      <c r="T800" s="93"/>
      <c r="U800" s="94"/>
    </row>
    <row r="801" spans="1:21" x14ac:dyDescent="0.4">
      <c r="A801" s="86">
        <f t="shared" si="12"/>
        <v>797</v>
      </c>
      <c r="B801" s="92"/>
      <c r="C801" s="190"/>
      <c r="D801" s="164"/>
      <c r="E801" s="103"/>
      <c r="F801" s="103"/>
      <c r="G801" s="103"/>
      <c r="H801" s="149"/>
      <c r="I801" s="104"/>
      <c r="J801" s="104"/>
      <c r="K801" s="70" t="s">
        <v>1813</v>
      </c>
      <c r="L801" s="145"/>
      <c r="M801" s="145"/>
      <c r="N801" s="145"/>
      <c r="O801" s="100"/>
      <c r="P801" s="100"/>
      <c r="Q801" s="101"/>
      <c r="R801" s="93" t="s">
        <v>36</v>
      </c>
      <c r="S801" s="93"/>
      <c r="T801" s="93"/>
      <c r="U801" s="94"/>
    </row>
    <row r="802" spans="1:21" x14ac:dyDescent="0.4">
      <c r="A802" s="86">
        <f t="shared" si="12"/>
        <v>798</v>
      </c>
      <c r="B802" s="92"/>
      <c r="C802" s="190"/>
      <c r="D802" s="164"/>
      <c r="E802" s="103"/>
      <c r="F802" s="103"/>
      <c r="G802" s="103"/>
      <c r="H802" s="149"/>
      <c r="I802" s="104"/>
      <c r="J802" s="104"/>
      <c r="K802" s="104"/>
      <c r="L802" s="145" t="s">
        <v>2916</v>
      </c>
      <c r="M802" s="145"/>
      <c r="N802" s="145"/>
      <c r="O802" s="100"/>
      <c r="P802" s="100"/>
      <c r="Q802" s="101"/>
      <c r="R802" s="93" t="s">
        <v>2927</v>
      </c>
      <c r="S802" s="93"/>
      <c r="T802" s="93"/>
      <c r="U802" s="94"/>
    </row>
    <row r="803" spans="1:21" x14ac:dyDescent="0.4">
      <c r="A803" s="86">
        <f t="shared" si="12"/>
        <v>799</v>
      </c>
      <c r="B803" s="92"/>
      <c r="C803" s="190"/>
      <c r="D803" s="164"/>
      <c r="E803" s="103"/>
      <c r="F803" s="103"/>
      <c r="G803" s="103"/>
      <c r="H803" s="149"/>
      <c r="I803" s="104"/>
      <c r="J803" s="104"/>
      <c r="K803" s="108"/>
      <c r="L803" s="145" t="s">
        <v>1815</v>
      </c>
      <c r="M803" s="145"/>
      <c r="N803" s="145"/>
      <c r="O803" s="100"/>
      <c r="P803" s="100"/>
      <c r="Q803" s="101"/>
      <c r="R803" s="93" t="s">
        <v>36</v>
      </c>
      <c r="S803" s="93"/>
      <c r="T803" s="93"/>
      <c r="U803" s="94"/>
    </row>
    <row r="804" spans="1:21" x14ac:dyDescent="0.4">
      <c r="A804" s="86">
        <f t="shared" si="12"/>
        <v>800</v>
      </c>
      <c r="B804" s="92"/>
      <c r="C804" s="190"/>
      <c r="D804" s="164"/>
      <c r="E804" s="103"/>
      <c r="F804" s="103"/>
      <c r="G804" s="103"/>
      <c r="H804" s="149"/>
      <c r="I804" s="104"/>
      <c r="J804" s="109" t="s">
        <v>1827</v>
      </c>
      <c r="K804" s="100"/>
      <c r="L804" s="145"/>
      <c r="M804" s="145"/>
      <c r="N804" s="145"/>
      <c r="O804" s="100"/>
      <c r="P804" s="100"/>
      <c r="Q804" s="101"/>
      <c r="R804" s="93" t="s">
        <v>1239</v>
      </c>
      <c r="S804" s="93"/>
      <c r="T804" s="93"/>
      <c r="U804" s="94"/>
    </row>
    <row r="805" spans="1:21" x14ac:dyDescent="0.4">
      <c r="A805" s="86">
        <f t="shared" si="12"/>
        <v>801</v>
      </c>
      <c r="B805" s="92"/>
      <c r="C805" s="190"/>
      <c r="D805" s="164"/>
      <c r="E805" s="103"/>
      <c r="F805" s="103"/>
      <c r="G805" s="103"/>
      <c r="H805" s="149"/>
      <c r="I805" s="104"/>
      <c r="J805" s="104"/>
      <c r="K805" s="70" t="s">
        <v>1813</v>
      </c>
      <c r="L805" s="145"/>
      <c r="M805" s="145"/>
      <c r="N805" s="145"/>
      <c r="O805" s="100"/>
      <c r="P805" s="100"/>
      <c r="Q805" s="101"/>
      <c r="R805" s="93" t="s">
        <v>36</v>
      </c>
      <c r="S805" s="93"/>
      <c r="T805" s="93"/>
      <c r="U805" s="94"/>
    </row>
    <row r="806" spans="1:21" x14ac:dyDescent="0.4">
      <c r="A806" s="86">
        <f t="shared" si="12"/>
        <v>802</v>
      </c>
      <c r="B806" s="92"/>
      <c r="C806" s="190"/>
      <c r="D806" s="164"/>
      <c r="E806" s="103"/>
      <c r="F806" s="103"/>
      <c r="G806" s="103"/>
      <c r="H806" s="149"/>
      <c r="I806" s="104"/>
      <c r="J806" s="104"/>
      <c r="K806" s="104"/>
      <c r="L806" s="145" t="s">
        <v>2916</v>
      </c>
      <c r="M806" s="145"/>
      <c r="N806" s="145"/>
      <c r="O806" s="100"/>
      <c r="P806" s="100"/>
      <c r="Q806" s="101"/>
      <c r="R806" s="93" t="s">
        <v>2927</v>
      </c>
      <c r="S806" s="93"/>
      <c r="T806" s="93"/>
      <c r="U806" s="94"/>
    </row>
    <row r="807" spans="1:21" x14ac:dyDescent="0.4">
      <c r="A807" s="86">
        <f t="shared" si="12"/>
        <v>803</v>
      </c>
      <c r="B807" s="92"/>
      <c r="C807" s="190"/>
      <c r="D807" s="164"/>
      <c r="E807" s="103"/>
      <c r="F807" s="103"/>
      <c r="G807" s="103"/>
      <c r="H807" s="149"/>
      <c r="I807" s="104"/>
      <c r="J807" s="104"/>
      <c r="K807" s="108"/>
      <c r="L807" s="145" t="s">
        <v>1815</v>
      </c>
      <c r="M807" s="145"/>
      <c r="N807" s="145"/>
      <c r="O807" s="100"/>
      <c r="P807" s="100"/>
      <c r="Q807" s="101"/>
      <c r="R807" s="93" t="s">
        <v>36</v>
      </c>
      <c r="S807" s="93"/>
      <c r="T807" s="93"/>
      <c r="U807" s="94"/>
    </row>
    <row r="808" spans="1:21" x14ac:dyDescent="0.4">
      <c r="A808" s="86">
        <f t="shared" si="12"/>
        <v>804</v>
      </c>
      <c r="B808" s="92"/>
      <c r="C808" s="190"/>
      <c r="D808" s="164"/>
      <c r="E808" s="103"/>
      <c r="F808" s="103"/>
      <c r="G808" s="103"/>
      <c r="H808" s="149"/>
      <c r="I808" s="104"/>
      <c r="J808" s="109" t="s">
        <v>1828</v>
      </c>
      <c r="K808" s="100"/>
      <c r="L808" s="145"/>
      <c r="M808" s="145"/>
      <c r="N808" s="145"/>
      <c r="O808" s="100"/>
      <c r="P808" s="100"/>
      <c r="Q808" s="101"/>
      <c r="R808" s="93" t="s">
        <v>1239</v>
      </c>
      <c r="S808" s="93"/>
      <c r="T808" s="93"/>
      <c r="U808" s="94"/>
    </row>
    <row r="809" spans="1:21" x14ac:dyDescent="0.4">
      <c r="A809" s="86">
        <f t="shared" si="12"/>
        <v>805</v>
      </c>
      <c r="B809" s="92"/>
      <c r="C809" s="190"/>
      <c r="D809" s="164"/>
      <c r="E809" s="103"/>
      <c r="F809" s="103"/>
      <c r="G809" s="103"/>
      <c r="H809" s="149"/>
      <c r="I809" s="104"/>
      <c r="J809" s="104"/>
      <c r="K809" s="70" t="s">
        <v>1813</v>
      </c>
      <c r="L809" s="145"/>
      <c r="M809" s="145"/>
      <c r="N809" s="145"/>
      <c r="O809" s="100"/>
      <c r="P809" s="100"/>
      <c r="Q809" s="101"/>
      <c r="R809" s="93" t="s">
        <v>36</v>
      </c>
      <c r="S809" s="93"/>
      <c r="T809" s="93"/>
      <c r="U809" s="94"/>
    </row>
    <row r="810" spans="1:21" x14ac:dyDescent="0.4">
      <c r="A810" s="86">
        <f t="shared" si="12"/>
        <v>806</v>
      </c>
      <c r="B810" s="92"/>
      <c r="C810" s="190"/>
      <c r="D810" s="164"/>
      <c r="E810" s="103"/>
      <c r="F810" s="103"/>
      <c r="G810" s="103"/>
      <c r="H810" s="149"/>
      <c r="I810" s="104"/>
      <c r="J810" s="104"/>
      <c r="K810" s="104"/>
      <c r="L810" s="145" t="s">
        <v>2916</v>
      </c>
      <c r="M810" s="145"/>
      <c r="N810" s="145"/>
      <c r="O810" s="100"/>
      <c r="P810" s="100"/>
      <c r="Q810" s="101"/>
      <c r="R810" s="93" t="s">
        <v>2927</v>
      </c>
      <c r="S810" s="93"/>
      <c r="T810" s="93"/>
      <c r="U810" s="94"/>
    </row>
    <row r="811" spans="1:21" x14ac:dyDescent="0.4">
      <c r="A811" s="86">
        <f t="shared" si="12"/>
        <v>807</v>
      </c>
      <c r="B811" s="92"/>
      <c r="C811" s="190"/>
      <c r="D811" s="164"/>
      <c r="E811" s="103"/>
      <c r="F811" s="103"/>
      <c r="G811" s="103"/>
      <c r="H811" s="149"/>
      <c r="I811" s="104"/>
      <c r="J811" s="104"/>
      <c r="K811" s="104"/>
      <c r="L811" s="145" t="s">
        <v>1829</v>
      </c>
      <c r="M811" s="145"/>
      <c r="N811" s="145"/>
      <c r="O811" s="100"/>
      <c r="P811" s="100"/>
      <c r="Q811" s="101"/>
      <c r="R811" s="93" t="s">
        <v>36</v>
      </c>
      <c r="S811" s="93"/>
      <c r="T811" s="93"/>
      <c r="U811" s="94"/>
    </row>
    <row r="812" spans="1:21" x14ac:dyDescent="0.4">
      <c r="A812" s="86">
        <f t="shared" si="12"/>
        <v>808</v>
      </c>
      <c r="B812" s="92"/>
      <c r="C812" s="190"/>
      <c r="D812" s="164"/>
      <c r="E812" s="103"/>
      <c r="F812" s="103"/>
      <c r="G812" s="103"/>
      <c r="H812" s="149"/>
      <c r="I812" s="104"/>
      <c r="J812" s="104"/>
      <c r="K812" s="108"/>
      <c r="L812" s="145" t="s">
        <v>1815</v>
      </c>
      <c r="M812" s="145"/>
      <c r="N812" s="145"/>
      <c r="O812" s="100"/>
      <c r="P812" s="100"/>
      <c r="Q812" s="101"/>
      <c r="R812" s="93" t="s">
        <v>36</v>
      </c>
      <c r="S812" s="93"/>
      <c r="T812" s="93"/>
      <c r="U812" s="94"/>
    </row>
    <row r="813" spans="1:21" x14ac:dyDescent="0.4">
      <c r="A813" s="86">
        <f t="shared" si="12"/>
        <v>809</v>
      </c>
      <c r="B813" s="92"/>
      <c r="C813" s="190"/>
      <c r="D813" s="164"/>
      <c r="E813" s="103"/>
      <c r="F813" s="103"/>
      <c r="G813" s="103"/>
      <c r="H813" s="149"/>
      <c r="I813" s="104"/>
      <c r="J813" s="109" t="s">
        <v>1830</v>
      </c>
      <c r="K813" s="100"/>
      <c r="L813" s="145"/>
      <c r="M813" s="145"/>
      <c r="N813" s="145"/>
      <c r="O813" s="100"/>
      <c r="P813" s="100"/>
      <c r="Q813" s="101"/>
      <c r="R813" s="93" t="s">
        <v>1239</v>
      </c>
      <c r="S813" s="93"/>
      <c r="T813" s="93"/>
      <c r="U813" s="94"/>
    </row>
    <row r="814" spans="1:21" x14ac:dyDescent="0.4">
      <c r="A814" s="86">
        <f t="shared" si="12"/>
        <v>810</v>
      </c>
      <c r="B814" s="92"/>
      <c r="C814" s="190"/>
      <c r="D814" s="164"/>
      <c r="E814" s="103"/>
      <c r="F814" s="103"/>
      <c r="G814" s="103"/>
      <c r="H814" s="149"/>
      <c r="I814" s="104"/>
      <c r="J814" s="104"/>
      <c r="K814" s="70" t="s">
        <v>1813</v>
      </c>
      <c r="L814" s="145"/>
      <c r="M814" s="145"/>
      <c r="N814" s="145"/>
      <c r="O814" s="100"/>
      <c r="P814" s="100"/>
      <c r="Q814" s="101"/>
      <c r="R814" s="93" t="s">
        <v>20</v>
      </c>
      <c r="S814" s="93"/>
      <c r="T814" s="93"/>
      <c r="U814" s="94"/>
    </row>
    <row r="815" spans="1:21" x14ac:dyDescent="0.4">
      <c r="A815" s="86">
        <f t="shared" si="12"/>
        <v>811</v>
      </c>
      <c r="B815" s="92"/>
      <c r="C815" s="190"/>
      <c r="D815" s="164"/>
      <c r="E815" s="103"/>
      <c r="F815" s="103"/>
      <c r="G815" s="103"/>
      <c r="H815" s="149"/>
      <c r="I815" s="104"/>
      <c r="J815" s="104"/>
      <c r="K815" s="104"/>
      <c r="L815" s="145" t="s">
        <v>2916</v>
      </c>
      <c r="M815" s="145"/>
      <c r="N815" s="145"/>
      <c r="O815" s="100"/>
      <c r="P815" s="100"/>
      <c r="Q815" s="101"/>
      <c r="R815" s="93" t="s">
        <v>2982</v>
      </c>
      <c r="S815" s="93"/>
      <c r="T815" s="93"/>
      <c r="U815" s="94"/>
    </row>
    <row r="816" spans="1:21" x14ac:dyDescent="0.4">
      <c r="A816" s="86">
        <f t="shared" si="12"/>
        <v>812</v>
      </c>
      <c r="B816" s="92"/>
      <c r="C816" s="190"/>
      <c r="D816" s="164"/>
      <c r="E816" s="103"/>
      <c r="F816" s="103"/>
      <c r="G816" s="103"/>
      <c r="H816" s="149"/>
      <c r="I816" s="104"/>
      <c r="J816" s="104"/>
      <c r="K816" s="108"/>
      <c r="L816" s="145" t="s">
        <v>1831</v>
      </c>
      <c r="M816" s="145"/>
      <c r="N816" s="145"/>
      <c r="O816" s="100"/>
      <c r="P816" s="100"/>
      <c r="Q816" s="101"/>
      <c r="R816" s="93" t="s">
        <v>36</v>
      </c>
      <c r="S816" s="93"/>
      <c r="T816" s="93"/>
      <c r="U816" s="94"/>
    </row>
    <row r="817" spans="1:21" x14ac:dyDescent="0.4">
      <c r="A817" s="86">
        <f t="shared" si="12"/>
        <v>813</v>
      </c>
      <c r="B817" s="92"/>
      <c r="C817" s="190"/>
      <c r="D817" s="164"/>
      <c r="E817" s="103"/>
      <c r="F817" s="103"/>
      <c r="G817" s="103"/>
      <c r="H817" s="149"/>
      <c r="I817" s="104"/>
      <c r="J817" s="109" t="s">
        <v>1832</v>
      </c>
      <c r="K817" s="100"/>
      <c r="L817" s="145"/>
      <c r="M817" s="145"/>
      <c r="N817" s="145"/>
      <c r="O817" s="100"/>
      <c r="P817" s="100"/>
      <c r="Q817" s="101"/>
      <c r="R817" s="93" t="s">
        <v>1239</v>
      </c>
      <c r="S817" s="93"/>
      <c r="T817" s="93"/>
      <c r="U817" s="94"/>
    </row>
    <row r="818" spans="1:21" x14ac:dyDescent="0.4">
      <c r="A818" s="86">
        <f t="shared" si="12"/>
        <v>814</v>
      </c>
      <c r="B818" s="92"/>
      <c r="C818" s="190"/>
      <c r="D818" s="164"/>
      <c r="E818" s="103"/>
      <c r="F818" s="103"/>
      <c r="G818" s="103"/>
      <c r="H818" s="149"/>
      <c r="I818" s="104"/>
      <c r="J818" s="104"/>
      <c r="K818" s="70" t="s">
        <v>1813</v>
      </c>
      <c r="L818" s="145"/>
      <c r="M818" s="145"/>
      <c r="N818" s="145"/>
      <c r="O818" s="100"/>
      <c r="P818" s="100"/>
      <c r="Q818" s="101"/>
      <c r="R818" s="93" t="s">
        <v>36</v>
      </c>
      <c r="S818" s="93"/>
      <c r="T818" s="93"/>
      <c r="U818" s="94"/>
    </row>
    <row r="819" spans="1:21" x14ac:dyDescent="0.4">
      <c r="A819" s="86">
        <f t="shared" si="12"/>
        <v>815</v>
      </c>
      <c r="B819" s="92"/>
      <c r="C819" s="190"/>
      <c r="D819" s="164"/>
      <c r="E819" s="103"/>
      <c r="F819" s="103"/>
      <c r="G819" s="103"/>
      <c r="H819" s="149"/>
      <c r="I819" s="104"/>
      <c r="J819" s="104"/>
      <c r="K819" s="104"/>
      <c r="L819" s="145" t="s">
        <v>2916</v>
      </c>
      <c r="M819" s="145"/>
      <c r="N819" s="145"/>
      <c r="O819" s="100"/>
      <c r="P819" s="100"/>
      <c r="Q819" s="101"/>
      <c r="R819" s="93" t="s">
        <v>2927</v>
      </c>
      <c r="S819" s="93"/>
      <c r="T819" s="93"/>
      <c r="U819" s="94"/>
    </row>
    <row r="820" spans="1:21" x14ac:dyDescent="0.4">
      <c r="A820" s="86">
        <f t="shared" si="12"/>
        <v>816</v>
      </c>
      <c r="B820" s="92"/>
      <c r="C820" s="190"/>
      <c r="D820" s="164"/>
      <c r="E820" s="103"/>
      <c r="F820" s="103"/>
      <c r="G820" s="103"/>
      <c r="H820" s="149"/>
      <c r="I820" s="104"/>
      <c r="J820" s="104"/>
      <c r="K820" s="104"/>
      <c r="L820" s="145" t="s">
        <v>1833</v>
      </c>
      <c r="M820" s="145"/>
      <c r="N820" s="145"/>
      <c r="O820" s="100"/>
      <c r="P820" s="100"/>
      <c r="Q820" s="101"/>
      <c r="R820" s="93" t="s">
        <v>36</v>
      </c>
      <c r="S820" s="93"/>
      <c r="T820" s="93"/>
      <c r="U820" s="94"/>
    </row>
    <row r="821" spans="1:21" x14ac:dyDescent="0.4">
      <c r="A821" s="86">
        <f t="shared" si="12"/>
        <v>817</v>
      </c>
      <c r="B821" s="92"/>
      <c r="C821" s="190"/>
      <c r="D821" s="164"/>
      <c r="E821" s="103"/>
      <c r="F821" s="103"/>
      <c r="G821" s="103"/>
      <c r="H821" s="149"/>
      <c r="I821" s="104"/>
      <c r="J821" s="104"/>
      <c r="K821" s="108"/>
      <c r="L821" s="145" t="s">
        <v>1815</v>
      </c>
      <c r="M821" s="145"/>
      <c r="N821" s="145"/>
      <c r="O821" s="100"/>
      <c r="P821" s="100"/>
      <c r="Q821" s="101"/>
      <c r="R821" s="93" t="s">
        <v>36</v>
      </c>
      <c r="S821" s="93"/>
      <c r="T821" s="93"/>
      <c r="U821" s="94"/>
    </row>
    <row r="822" spans="1:21" x14ac:dyDescent="0.4">
      <c r="A822" s="86">
        <f t="shared" si="12"/>
        <v>818</v>
      </c>
      <c r="B822" s="92"/>
      <c r="C822" s="190"/>
      <c r="D822" s="164"/>
      <c r="E822" s="103"/>
      <c r="F822" s="103"/>
      <c r="G822" s="103"/>
      <c r="H822" s="149"/>
      <c r="I822" s="104"/>
      <c r="J822" s="109" t="s">
        <v>1834</v>
      </c>
      <c r="K822" s="100"/>
      <c r="L822" s="145"/>
      <c r="M822" s="145"/>
      <c r="N822" s="145"/>
      <c r="O822" s="100"/>
      <c r="P822" s="100"/>
      <c r="Q822" s="101"/>
      <c r="R822" s="93" t="s">
        <v>1239</v>
      </c>
      <c r="S822" s="93"/>
      <c r="T822" s="93"/>
      <c r="U822" s="94"/>
    </row>
    <row r="823" spans="1:21" x14ac:dyDescent="0.4">
      <c r="A823" s="86">
        <f t="shared" si="12"/>
        <v>819</v>
      </c>
      <c r="B823" s="92"/>
      <c r="C823" s="190"/>
      <c r="D823" s="164"/>
      <c r="E823" s="103"/>
      <c r="F823" s="103"/>
      <c r="G823" s="103"/>
      <c r="H823" s="149"/>
      <c r="I823" s="104"/>
      <c r="J823" s="104"/>
      <c r="K823" s="70" t="s">
        <v>1813</v>
      </c>
      <c r="L823" s="145"/>
      <c r="M823" s="145"/>
      <c r="N823" s="145"/>
      <c r="O823" s="100"/>
      <c r="P823" s="100"/>
      <c r="Q823" s="101"/>
      <c r="R823" s="93" t="s">
        <v>36</v>
      </c>
      <c r="S823" s="93"/>
      <c r="T823" s="93"/>
      <c r="U823" s="94"/>
    </row>
    <row r="824" spans="1:21" x14ac:dyDescent="0.4">
      <c r="A824" s="86">
        <f t="shared" si="12"/>
        <v>820</v>
      </c>
      <c r="B824" s="92"/>
      <c r="C824" s="190"/>
      <c r="D824" s="164"/>
      <c r="E824" s="103"/>
      <c r="F824" s="103"/>
      <c r="G824" s="103"/>
      <c r="H824" s="149"/>
      <c r="I824" s="104"/>
      <c r="J824" s="104"/>
      <c r="K824" s="104"/>
      <c r="L824" s="145" t="s">
        <v>2916</v>
      </c>
      <c r="M824" s="145"/>
      <c r="N824" s="145"/>
      <c r="O824" s="100"/>
      <c r="P824" s="100"/>
      <c r="Q824" s="101"/>
      <c r="R824" s="93" t="s">
        <v>2927</v>
      </c>
      <c r="S824" s="93"/>
      <c r="T824" s="93"/>
      <c r="U824" s="94"/>
    </row>
    <row r="825" spans="1:21" x14ac:dyDescent="0.4">
      <c r="A825" s="86">
        <f t="shared" si="12"/>
        <v>821</v>
      </c>
      <c r="B825" s="92"/>
      <c r="C825" s="190"/>
      <c r="D825" s="164"/>
      <c r="E825" s="103"/>
      <c r="F825" s="103"/>
      <c r="G825" s="103"/>
      <c r="H825" s="149"/>
      <c r="I825" s="104"/>
      <c r="J825" s="104"/>
      <c r="K825" s="108"/>
      <c r="L825" s="145" t="s">
        <v>1815</v>
      </c>
      <c r="M825" s="145"/>
      <c r="N825" s="145"/>
      <c r="O825" s="100"/>
      <c r="P825" s="100"/>
      <c r="Q825" s="101"/>
      <c r="R825" s="93" t="s">
        <v>36</v>
      </c>
      <c r="S825" s="93"/>
      <c r="T825" s="93"/>
      <c r="U825" s="94"/>
    </row>
    <row r="826" spans="1:21" x14ac:dyDescent="0.4">
      <c r="A826" s="86">
        <f t="shared" si="12"/>
        <v>822</v>
      </c>
      <c r="B826" s="92"/>
      <c r="C826" s="190"/>
      <c r="D826" s="164"/>
      <c r="E826" s="103"/>
      <c r="F826" s="103"/>
      <c r="G826" s="103"/>
      <c r="H826" s="149"/>
      <c r="I826" s="104"/>
      <c r="J826" s="109" t="s">
        <v>1835</v>
      </c>
      <c r="K826" s="100"/>
      <c r="L826" s="145"/>
      <c r="M826" s="145"/>
      <c r="N826" s="145"/>
      <c r="O826" s="100"/>
      <c r="P826" s="100"/>
      <c r="Q826" s="101"/>
      <c r="R826" s="93" t="s">
        <v>1239</v>
      </c>
      <c r="S826" s="93"/>
      <c r="T826" s="93"/>
      <c r="U826" s="94"/>
    </row>
    <row r="827" spans="1:21" x14ac:dyDescent="0.4">
      <c r="A827" s="86">
        <f t="shared" si="12"/>
        <v>823</v>
      </c>
      <c r="B827" s="92"/>
      <c r="C827" s="190"/>
      <c r="D827" s="164"/>
      <c r="E827" s="103"/>
      <c r="F827" s="103"/>
      <c r="G827" s="103"/>
      <c r="H827" s="149"/>
      <c r="I827" s="104"/>
      <c r="J827" s="104"/>
      <c r="K827" s="70" t="s">
        <v>1813</v>
      </c>
      <c r="L827" s="145"/>
      <c r="M827" s="145"/>
      <c r="N827" s="145"/>
      <c r="O827" s="100"/>
      <c r="P827" s="100"/>
      <c r="Q827" s="101"/>
      <c r="R827" s="93" t="s">
        <v>36</v>
      </c>
      <c r="S827" s="93"/>
      <c r="T827" s="93"/>
      <c r="U827" s="94"/>
    </row>
    <row r="828" spans="1:21" x14ac:dyDescent="0.4">
      <c r="A828" s="86">
        <f t="shared" si="12"/>
        <v>824</v>
      </c>
      <c r="B828" s="92"/>
      <c r="C828" s="190"/>
      <c r="D828" s="164"/>
      <c r="E828" s="103"/>
      <c r="F828" s="103"/>
      <c r="G828" s="103"/>
      <c r="H828" s="149"/>
      <c r="I828" s="104"/>
      <c r="J828" s="104"/>
      <c r="K828" s="104"/>
      <c r="L828" s="145" t="s">
        <v>2916</v>
      </c>
      <c r="M828" s="145"/>
      <c r="N828" s="145"/>
      <c r="O828" s="100"/>
      <c r="P828" s="100"/>
      <c r="Q828" s="101"/>
      <c r="R828" s="93" t="s">
        <v>2982</v>
      </c>
      <c r="S828" s="93"/>
      <c r="T828" s="93"/>
      <c r="U828" s="94"/>
    </row>
    <row r="829" spans="1:21" x14ac:dyDescent="0.4">
      <c r="A829" s="86">
        <f t="shared" si="12"/>
        <v>825</v>
      </c>
      <c r="B829" s="92"/>
      <c r="C829" s="190"/>
      <c r="D829" s="164"/>
      <c r="E829" s="103"/>
      <c r="F829" s="103"/>
      <c r="G829" s="103"/>
      <c r="H829" s="149"/>
      <c r="I829" s="104"/>
      <c r="J829" s="104"/>
      <c r="K829" s="104"/>
      <c r="L829" s="145" t="s">
        <v>99</v>
      </c>
      <c r="M829" s="145"/>
      <c r="N829" s="145"/>
      <c r="O829" s="100"/>
      <c r="P829" s="100"/>
      <c r="Q829" s="101"/>
      <c r="R829" s="93" t="s">
        <v>10</v>
      </c>
      <c r="S829" s="93"/>
      <c r="T829" s="93"/>
      <c r="U829" s="94"/>
    </row>
    <row r="830" spans="1:21" x14ac:dyDescent="0.4">
      <c r="A830" s="86">
        <f t="shared" si="12"/>
        <v>826</v>
      </c>
      <c r="B830" s="92"/>
      <c r="C830" s="190"/>
      <c r="D830" s="164"/>
      <c r="E830" s="103"/>
      <c r="F830" s="103"/>
      <c r="G830" s="103"/>
      <c r="H830" s="149"/>
      <c r="I830" s="104"/>
      <c r="J830" s="104"/>
      <c r="K830" s="108"/>
      <c r="L830" s="145" t="s">
        <v>1836</v>
      </c>
      <c r="M830" s="145"/>
      <c r="N830" s="145"/>
      <c r="O830" s="100"/>
      <c r="P830" s="100"/>
      <c r="Q830" s="101"/>
      <c r="R830" s="93" t="s">
        <v>36</v>
      </c>
      <c r="S830" s="93"/>
      <c r="T830" s="93"/>
      <c r="U830" s="94"/>
    </row>
    <row r="831" spans="1:21" x14ac:dyDescent="0.4">
      <c r="A831" s="86">
        <f t="shared" si="12"/>
        <v>827</v>
      </c>
      <c r="B831" s="92"/>
      <c r="C831" s="190"/>
      <c r="D831" s="164"/>
      <c r="E831" s="103"/>
      <c r="F831" s="103"/>
      <c r="G831" s="103"/>
      <c r="H831" s="149"/>
      <c r="I831" s="104"/>
      <c r="J831" s="109" t="s">
        <v>1837</v>
      </c>
      <c r="K831" s="100"/>
      <c r="L831" s="145"/>
      <c r="M831" s="145"/>
      <c r="N831" s="145"/>
      <c r="O831" s="100"/>
      <c r="P831" s="100"/>
      <c r="Q831" s="101"/>
      <c r="R831" s="93" t="s">
        <v>1239</v>
      </c>
      <c r="S831" s="93"/>
      <c r="T831" s="93"/>
      <c r="U831" s="94"/>
    </row>
    <row r="832" spans="1:21" x14ac:dyDescent="0.4">
      <c r="A832" s="86">
        <f t="shared" si="12"/>
        <v>828</v>
      </c>
      <c r="B832" s="92"/>
      <c r="C832" s="190"/>
      <c r="D832" s="164"/>
      <c r="E832" s="103"/>
      <c r="F832" s="103"/>
      <c r="G832" s="103"/>
      <c r="H832" s="149"/>
      <c r="I832" s="104"/>
      <c r="J832" s="104"/>
      <c r="K832" s="70" t="s">
        <v>1813</v>
      </c>
      <c r="L832" s="145"/>
      <c r="M832" s="145"/>
      <c r="N832" s="145"/>
      <c r="O832" s="100"/>
      <c r="P832" s="100"/>
      <c r="Q832" s="101"/>
      <c r="R832" s="93" t="s">
        <v>36</v>
      </c>
      <c r="S832" s="93"/>
      <c r="T832" s="93"/>
      <c r="U832" s="94"/>
    </row>
    <row r="833" spans="1:21" x14ac:dyDescent="0.4">
      <c r="A833" s="86">
        <f t="shared" si="12"/>
        <v>829</v>
      </c>
      <c r="B833" s="92"/>
      <c r="C833" s="190"/>
      <c r="D833" s="164"/>
      <c r="E833" s="103"/>
      <c r="F833" s="103"/>
      <c r="G833" s="103"/>
      <c r="H833" s="149"/>
      <c r="I833" s="104"/>
      <c r="J833" s="104"/>
      <c r="K833" s="104"/>
      <c r="L833" s="145" t="s">
        <v>2916</v>
      </c>
      <c r="M833" s="145"/>
      <c r="N833" s="145"/>
      <c r="O833" s="100"/>
      <c r="P833" s="100"/>
      <c r="Q833" s="101"/>
      <c r="R833" s="93" t="s">
        <v>2927</v>
      </c>
      <c r="S833" s="93"/>
      <c r="T833" s="93"/>
      <c r="U833" s="94"/>
    </row>
    <row r="834" spans="1:21" x14ac:dyDescent="0.4">
      <c r="A834" s="86">
        <f t="shared" si="12"/>
        <v>830</v>
      </c>
      <c r="B834" s="92"/>
      <c r="C834" s="190"/>
      <c r="D834" s="164"/>
      <c r="E834" s="103"/>
      <c r="F834" s="103"/>
      <c r="G834" s="103"/>
      <c r="H834" s="149"/>
      <c r="I834" s="104"/>
      <c r="J834" s="104"/>
      <c r="K834" s="108"/>
      <c r="L834" s="145" t="s">
        <v>1815</v>
      </c>
      <c r="M834" s="145"/>
      <c r="N834" s="145"/>
      <c r="O834" s="100"/>
      <c r="P834" s="100"/>
      <c r="Q834" s="101"/>
      <c r="R834" s="93" t="s">
        <v>36</v>
      </c>
      <c r="S834" s="93"/>
      <c r="T834" s="93"/>
      <c r="U834" s="94"/>
    </row>
    <row r="835" spans="1:21" x14ac:dyDescent="0.4">
      <c r="A835" s="86">
        <f t="shared" si="12"/>
        <v>831</v>
      </c>
      <c r="B835" s="92"/>
      <c r="C835" s="190"/>
      <c r="D835" s="164"/>
      <c r="E835" s="103"/>
      <c r="F835" s="103"/>
      <c r="G835" s="103"/>
      <c r="H835" s="149"/>
      <c r="I835" s="104"/>
      <c r="J835" s="109" t="s">
        <v>1838</v>
      </c>
      <c r="K835" s="100"/>
      <c r="L835" s="145"/>
      <c r="M835" s="145"/>
      <c r="N835" s="145"/>
      <c r="O835" s="100"/>
      <c r="P835" s="100"/>
      <c r="Q835" s="101"/>
      <c r="R835" s="93" t="s">
        <v>1239</v>
      </c>
      <c r="S835" s="93"/>
      <c r="T835" s="93"/>
      <c r="U835" s="94"/>
    </row>
    <row r="836" spans="1:21" x14ac:dyDescent="0.4">
      <c r="A836" s="86">
        <f t="shared" si="12"/>
        <v>832</v>
      </c>
      <c r="B836" s="92"/>
      <c r="C836" s="190"/>
      <c r="D836" s="164"/>
      <c r="E836" s="103"/>
      <c r="F836" s="103"/>
      <c r="G836" s="103"/>
      <c r="H836" s="149"/>
      <c r="I836" s="104"/>
      <c r="J836" s="104"/>
      <c r="K836" s="70" t="s">
        <v>1813</v>
      </c>
      <c r="L836" s="145"/>
      <c r="M836" s="145"/>
      <c r="N836" s="145"/>
      <c r="O836" s="100"/>
      <c r="P836" s="100"/>
      <c r="Q836" s="101"/>
      <c r="R836" s="93" t="s">
        <v>36</v>
      </c>
      <c r="S836" s="93"/>
      <c r="T836" s="93"/>
      <c r="U836" s="94"/>
    </row>
    <row r="837" spans="1:21" x14ac:dyDescent="0.4">
      <c r="A837" s="86">
        <f t="shared" si="12"/>
        <v>833</v>
      </c>
      <c r="B837" s="92"/>
      <c r="C837" s="190"/>
      <c r="D837" s="164"/>
      <c r="E837" s="103"/>
      <c r="F837" s="103"/>
      <c r="G837" s="103"/>
      <c r="H837" s="149"/>
      <c r="I837" s="104"/>
      <c r="J837" s="104"/>
      <c r="K837" s="104"/>
      <c r="L837" s="145" t="s">
        <v>2916</v>
      </c>
      <c r="M837" s="145"/>
      <c r="N837" s="145"/>
      <c r="O837" s="100"/>
      <c r="P837" s="100"/>
      <c r="Q837" s="101"/>
      <c r="R837" s="93" t="s">
        <v>2927</v>
      </c>
      <c r="S837" s="93"/>
      <c r="T837" s="93"/>
      <c r="U837" s="94"/>
    </row>
    <row r="838" spans="1:21" x14ac:dyDescent="0.4">
      <c r="A838" s="86">
        <f t="shared" si="12"/>
        <v>834</v>
      </c>
      <c r="B838" s="92"/>
      <c r="C838" s="190"/>
      <c r="D838" s="164"/>
      <c r="E838" s="103"/>
      <c r="F838" s="103"/>
      <c r="G838" s="103"/>
      <c r="H838" s="149"/>
      <c r="I838" s="104"/>
      <c r="J838" s="104"/>
      <c r="K838" s="108"/>
      <c r="L838" s="145" t="s">
        <v>1815</v>
      </c>
      <c r="M838" s="145"/>
      <c r="N838" s="145"/>
      <c r="O838" s="100"/>
      <c r="P838" s="100"/>
      <c r="Q838" s="101"/>
      <c r="R838" s="93" t="s">
        <v>36</v>
      </c>
      <c r="S838" s="93"/>
      <c r="T838" s="93"/>
      <c r="U838" s="94"/>
    </row>
    <row r="839" spans="1:21" x14ac:dyDescent="0.4">
      <c r="A839" s="86">
        <f t="shared" ref="A839:A902" si="13">A838+1</f>
        <v>835</v>
      </c>
      <c r="B839" s="92"/>
      <c r="C839" s="190"/>
      <c r="D839" s="164"/>
      <c r="E839" s="103"/>
      <c r="F839" s="103"/>
      <c r="G839" s="103"/>
      <c r="H839" s="149"/>
      <c r="I839" s="104"/>
      <c r="J839" s="109" t="s">
        <v>1839</v>
      </c>
      <c r="K839" s="100"/>
      <c r="L839" s="145"/>
      <c r="M839" s="145"/>
      <c r="N839" s="145"/>
      <c r="O839" s="100"/>
      <c r="P839" s="100"/>
      <c r="Q839" s="101"/>
      <c r="R839" s="93" t="s">
        <v>1239</v>
      </c>
      <c r="S839" s="93"/>
      <c r="T839" s="93"/>
      <c r="U839" s="94"/>
    </row>
    <row r="840" spans="1:21" x14ac:dyDescent="0.4">
      <c r="A840" s="86">
        <f t="shared" si="13"/>
        <v>836</v>
      </c>
      <c r="B840" s="92"/>
      <c r="C840" s="190"/>
      <c r="D840" s="164"/>
      <c r="E840" s="103"/>
      <c r="F840" s="103"/>
      <c r="G840" s="103"/>
      <c r="H840" s="149"/>
      <c r="I840" s="104"/>
      <c r="J840" s="104"/>
      <c r="K840" s="70" t="s">
        <v>1813</v>
      </c>
      <c r="L840" s="145"/>
      <c r="M840" s="145"/>
      <c r="N840" s="145"/>
      <c r="O840" s="100"/>
      <c r="P840" s="100"/>
      <c r="Q840" s="101"/>
      <c r="R840" s="93" t="s">
        <v>36</v>
      </c>
      <c r="S840" s="93"/>
      <c r="T840" s="93"/>
      <c r="U840" s="94"/>
    </row>
    <row r="841" spans="1:21" x14ac:dyDescent="0.4">
      <c r="A841" s="86">
        <f t="shared" si="13"/>
        <v>837</v>
      </c>
      <c r="B841" s="92"/>
      <c r="C841" s="190"/>
      <c r="D841" s="164"/>
      <c r="E841" s="103"/>
      <c r="F841" s="103"/>
      <c r="G841" s="103"/>
      <c r="H841" s="149"/>
      <c r="I841" s="104"/>
      <c r="J841" s="104"/>
      <c r="K841" s="104"/>
      <c r="L841" s="145" t="s">
        <v>2916</v>
      </c>
      <c r="M841" s="145"/>
      <c r="N841" s="145"/>
      <c r="O841" s="100"/>
      <c r="P841" s="100"/>
      <c r="Q841" s="101"/>
      <c r="R841" s="93" t="s">
        <v>2982</v>
      </c>
      <c r="S841" s="93"/>
      <c r="T841" s="93"/>
      <c r="U841" s="94"/>
    </row>
    <row r="842" spans="1:21" x14ac:dyDescent="0.4">
      <c r="A842" s="86">
        <f t="shared" si="13"/>
        <v>838</v>
      </c>
      <c r="B842" s="92"/>
      <c r="C842" s="190"/>
      <c r="D842" s="164"/>
      <c r="E842" s="103"/>
      <c r="F842" s="103"/>
      <c r="G842" s="103"/>
      <c r="H842" s="149"/>
      <c r="I842" s="104"/>
      <c r="J842" s="109" t="s">
        <v>1840</v>
      </c>
      <c r="K842" s="100"/>
      <c r="L842" s="145"/>
      <c r="M842" s="145"/>
      <c r="N842" s="145"/>
      <c r="O842" s="100"/>
      <c r="P842" s="100"/>
      <c r="Q842" s="101"/>
      <c r="R842" s="93" t="s">
        <v>1239</v>
      </c>
      <c r="S842" s="93"/>
      <c r="T842" s="93"/>
      <c r="U842" s="94"/>
    </row>
    <row r="843" spans="1:21" x14ac:dyDescent="0.4">
      <c r="A843" s="86">
        <f t="shared" si="13"/>
        <v>839</v>
      </c>
      <c r="B843" s="92"/>
      <c r="C843" s="190"/>
      <c r="D843" s="164"/>
      <c r="E843" s="103"/>
      <c r="F843" s="103"/>
      <c r="G843" s="103"/>
      <c r="H843" s="149"/>
      <c r="I843" s="104"/>
      <c r="J843" s="104"/>
      <c r="K843" s="70" t="s">
        <v>1813</v>
      </c>
      <c r="L843" s="145"/>
      <c r="M843" s="145"/>
      <c r="N843" s="145"/>
      <c r="O843" s="100"/>
      <c r="P843" s="100"/>
      <c r="Q843" s="101"/>
      <c r="R843" s="93" t="s">
        <v>36</v>
      </c>
      <c r="S843" s="93"/>
      <c r="T843" s="93"/>
      <c r="U843" s="94"/>
    </row>
    <row r="844" spans="1:21" x14ac:dyDescent="0.4">
      <c r="A844" s="86">
        <f t="shared" si="13"/>
        <v>840</v>
      </c>
      <c r="B844" s="92"/>
      <c r="C844" s="190"/>
      <c r="D844" s="164"/>
      <c r="E844" s="103"/>
      <c r="F844" s="103"/>
      <c r="G844" s="103"/>
      <c r="H844" s="149"/>
      <c r="I844" s="104"/>
      <c r="J844" s="104"/>
      <c r="K844" s="104"/>
      <c r="L844" s="145" t="s">
        <v>2916</v>
      </c>
      <c r="M844" s="145"/>
      <c r="N844" s="145"/>
      <c r="O844" s="100"/>
      <c r="P844" s="100"/>
      <c r="Q844" s="101"/>
      <c r="R844" s="93" t="s">
        <v>2927</v>
      </c>
      <c r="S844" s="93"/>
      <c r="T844" s="93"/>
      <c r="U844" s="94"/>
    </row>
    <row r="845" spans="1:21" x14ac:dyDescent="0.4">
      <c r="A845" s="86">
        <f t="shared" si="13"/>
        <v>841</v>
      </c>
      <c r="B845" s="92"/>
      <c r="C845" s="190"/>
      <c r="D845" s="164"/>
      <c r="E845" s="103"/>
      <c r="F845" s="103"/>
      <c r="G845" s="103"/>
      <c r="H845" s="149"/>
      <c r="I845" s="104"/>
      <c r="J845" s="109" t="s">
        <v>1841</v>
      </c>
      <c r="K845" s="100"/>
      <c r="L845" s="145"/>
      <c r="M845" s="145"/>
      <c r="N845" s="145"/>
      <c r="O845" s="100"/>
      <c r="P845" s="100"/>
      <c r="Q845" s="101"/>
      <c r="R845" s="93" t="s">
        <v>1239</v>
      </c>
      <c r="S845" s="93"/>
      <c r="T845" s="93"/>
      <c r="U845" s="94"/>
    </row>
    <row r="846" spans="1:21" x14ac:dyDescent="0.4">
      <c r="A846" s="86">
        <f t="shared" si="13"/>
        <v>842</v>
      </c>
      <c r="B846" s="92"/>
      <c r="C846" s="190"/>
      <c r="D846" s="164"/>
      <c r="E846" s="103"/>
      <c r="F846" s="103"/>
      <c r="G846" s="103"/>
      <c r="H846" s="149"/>
      <c r="I846" s="104"/>
      <c r="J846" s="104"/>
      <c r="K846" s="70" t="s">
        <v>1813</v>
      </c>
      <c r="L846" s="145"/>
      <c r="M846" s="145"/>
      <c r="N846" s="145"/>
      <c r="O846" s="100"/>
      <c r="P846" s="100"/>
      <c r="Q846" s="101"/>
      <c r="R846" s="93" t="s">
        <v>36</v>
      </c>
      <c r="S846" s="93"/>
      <c r="T846" s="93"/>
      <c r="U846" s="94"/>
    </row>
    <row r="847" spans="1:21" x14ac:dyDescent="0.4">
      <c r="A847" s="86">
        <f t="shared" si="13"/>
        <v>843</v>
      </c>
      <c r="B847" s="92"/>
      <c r="C847" s="190"/>
      <c r="D847" s="164"/>
      <c r="E847" s="103"/>
      <c r="F847" s="103"/>
      <c r="G847" s="103"/>
      <c r="H847" s="149"/>
      <c r="I847" s="104"/>
      <c r="J847" s="104"/>
      <c r="K847" s="104"/>
      <c r="L847" s="145" t="s">
        <v>2916</v>
      </c>
      <c r="M847" s="145"/>
      <c r="N847" s="145"/>
      <c r="O847" s="100"/>
      <c r="P847" s="100"/>
      <c r="Q847" s="101"/>
      <c r="R847" s="93" t="s">
        <v>2982</v>
      </c>
      <c r="S847" s="93"/>
      <c r="T847" s="93"/>
      <c r="U847" s="94"/>
    </row>
    <row r="848" spans="1:21" x14ac:dyDescent="0.4">
      <c r="A848" s="86">
        <f t="shared" si="13"/>
        <v>844</v>
      </c>
      <c r="B848" s="92"/>
      <c r="C848" s="190"/>
      <c r="D848" s="164"/>
      <c r="E848" s="103"/>
      <c r="F848" s="103"/>
      <c r="G848" s="103"/>
      <c r="H848" s="149"/>
      <c r="I848" s="104"/>
      <c r="J848" s="109" t="s">
        <v>1842</v>
      </c>
      <c r="K848" s="100"/>
      <c r="L848" s="145"/>
      <c r="M848" s="145"/>
      <c r="N848" s="145"/>
      <c r="O848" s="100"/>
      <c r="P848" s="100"/>
      <c r="Q848" s="101"/>
      <c r="R848" s="93" t="s">
        <v>1239</v>
      </c>
      <c r="S848" s="93"/>
      <c r="T848" s="93"/>
      <c r="U848" s="94"/>
    </row>
    <row r="849" spans="1:21" x14ac:dyDescent="0.4">
      <c r="A849" s="86">
        <f t="shared" si="13"/>
        <v>845</v>
      </c>
      <c r="B849" s="92"/>
      <c r="C849" s="190"/>
      <c r="D849" s="164"/>
      <c r="E849" s="103"/>
      <c r="F849" s="103"/>
      <c r="G849" s="103"/>
      <c r="H849" s="149"/>
      <c r="I849" s="104"/>
      <c r="J849" s="104"/>
      <c r="K849" s="70" t="s">
        <v>1813</v>
      </c>
      <c r="L849" s="145"/>
      <c r="M849" s="145"/>
      <c r="N849" s="145"/>
      <c r="O849" s="100"/>
      <c r="P849" s="100"/>
      <c r="Q849" s="101"/>
      <c r="R849" s="93" t="s">
        <v>36</v>
      </c>
      <c r="S849" s="93"/>
      <c r="T849" s="93"/>
      <c r="U849" s="94"/>
    </row>
    <row r="850" spans="1:21" x14ac:dyDescent="0.4">
      <c r="A850" s="86">
        <f t="shared" si="13"/>
        <v>846</v>
      </c>
      <c r="B850" s="92"/>
      <c r="C850" s="190"/>
      <c r="D850" s="164"/>
      <c r="E850" s="103"/>
      <c r="F850" s="103"/>
      <c r="G850" s="103"/>
      <c r="H850" s="149"/>
      <c r="I850" s="104"/>
      <c r="J850" s="104"/>
      <c r="K850" s="104"/>
      <c r="L850" s="145" t="s">
        <v>2916</v>
      </c>
      <c r="M850" s="145"/>
      <c r="N850" s="145"/>
      <c r="O850" s="100"/>
      <c r="P850" s="100"/>
      <c r="Q850" s="101"/>
      <c r="R850" s="93" t="s">
        <v>2927</v>
      </c>
      <c r="S850" s="93"/>
      <c r="T850" s="93"/>
      <c r="U850" s="94"/>
    </row>
    <row r="851" spans="1:21" x14ac:dyDescent="0.4">
      <c r="A851" s="86">
        <f t="shared" si="13"/>
        <v>847</v>
      </c>
      <c r="B851" s="92"/>
      <c r="C851" s="190"/>
      <c r="D851" s="164"/>
      <c r="E851" s="103"/>
      <c r="F851" s="103"/>
      <c r="G851" s="103"/>
      <c r="H851" s="149"/>
      <c r="I851" s="104"/>
      <c r="J851" s="104"/>
      <c r="K851" s="108"/>
      <c r="L851" s="145" t="s">
        <v>1815</v>
      </c>
      <c r="M851" s="145"/>
      <c r="N851" s="145"/>
      <c r="O851" s="100"/>
      <c r="P851" s="100"/>
      <c r="Q851" s="101"/>
      <c r="R851" s="93" t="s">
        <v>36</v>
      </c>
      <c r="S851" s="93"/>
      <c r="T851" s="93"/>
      <c r="U851" s="94"/>
    </row>
    <row r="852" spans="1:21" x14ac:dyDescent="0.4">
      <c r="A852" s="86">
        <f t="shared" si="13"/>
        <v>848</v>
      </c>
      <c r="B852" s="92"/>
      <c r="C852" s="190"/>
      <c r="D852" s="164"/>
      <c r="E852" s="103"/>
      <c r="F852" s="103"/>
      <c r="G852" s="103"/>
      <c r="H852" s="149"/>
      <c r="I852" s="104"/>
      <c r="J852" s="109" t="s">
        <v>1843</v>
      </c>
      <c r="K852" s="100"/>
      <c r="L852" s="145"/>
      <c r="M852" s="145"/>
      <c r="N852" s="145"/>
      <c r="O852" s="100"/>
      <c r="P852" s="100"/>
      <c r="Q852" s="101"/>
      <c r="R852" s="93" t="s">
        <v>1239</v>
      </c>
      <c r="S852" s="93"/>
      <c r="T852" s="93"/>
      <c r="U852" s="94"/>
    </row>
    <row r="853" spans="1:21" x14ac:dyDescent="0.4">
      <c r="A853" s="86">
        <f t="shared" si="13"/>
        <v>849</v>
      </c>
      <c r="B853" s="92"/>
      <c r="C853" s="190"/>
      <c r="D853" s="164"/>
      <c r="E853" s="103"/>
      <c r="F853" s="103"/>
      <c r="G853" s="103"/>
      <c r="H853" s="149"/>
      <c r="I853" s="104"/>
      <c r="J853" s="104"/>
      <c r="K853" s="70" t="s">
        <v>1813</v>
      </c>
      <c r="L853" s="145"/>
      <c r="M853" s="145"/>
      <c r="N853" s="145"/>
      <c r="O853" s="100"/>
      <c r="P853" s="100"/>
      <c r="Q853" s="101"/>
      <c r="R853" s="93" t="s">
        <v>36</v>
      </c>
      <c r="S853" s="93"/>
      <c r="T853" s="93"/>
      <c r="U853" s="94"/>
    </row>
    <row r="854" spans="1:21" x14ac:dyDescent="0.4">
      <c r="A854" s="86">
        <f t="shared" si="13"/>
        <v>850</v>
      </c>
      <c r="B854" s="92"/>
      <c r="C854" s="190"/>
      <c r="D854" s="164"/>
      <c r="E854" s="103"/>
      <c r="F854" s="103"/>
      <c r="G854" s="103"/>
      <c r="H854" s="149"/>
      <c r="I854" s="104"/>
      <c r="J854" s="104"/>
      <c r="K854" s="104"/>
      <c r="L854" s="145" t="s">
        <v>2916</v>
      </c>
      <c r="M854" s="145"/>
      <c r="N854" s="145"/>
      <c r="O854" s="100"/>
      <c r="P854" s="100"/>
      <c r="Q854" s="101"/>
      <c r="R854" s="93" t="s">
        <v>2927</v>
      </c>
      <c r="S854" s="93"/>
      <c r="T854" s="93"/>
      <c r="U854" s="94"/>
    </row>
    <row r="855" spans="1:21" x14ac:dyDescent="0.4">
      <c r="A855" s="86">
        <f t="shared" si="13"/>
        <v>851</v>
      </c>
      <c r="B855" s="92"/>
      <c r="C855" s="190"/>
      <c r="D855" s="164"/>
      <c r="E855" s="103"/>
      <c r="F855" s="103"/>
      <c r="G855" s="103"/>
      <c r="H855" s="149"/>
      <c r="I855" s="108"/>
      <c r="J855" s="108"/>
      <c r="K855" s="108"/>
      <c r="L855" s="145" t="s">
        <v>1815</v>
      </c>
      <c r="M855" s="145"/>
      <c r="N855" s="145"/>
      <c r="O855" s="100"/>
      <c r="P855" s="100"/>
      <c r="Q855" s="101"/>
      <c r="R855" s="93" t="s">
        <v>36</v>
      </c>
      <c r="S855" s="93"/>
      <c r="T855" s="93"/>
      <c r="U855" s="94"/>
    </row>
    <row r="856" spans="1:21" x14ac:dyDescent="0.4">
      <c r="A856" s="86">
        <f t="shared" si="13"/>
        <v>852</v>
      </c>
      <c r="B856" s="92"/>
      <c r="C856" s="190"/>
      <c r="D856" s="164"/>
      <c r="E856" s="103"/>
      <c r="F856" s="103"/>
      <c r="G856" s="103"/>
      <c r="H856" s="149"/>
      <c r="I856" s="70" t="s">
        <v>1849</v>
      </c>
      <c r="J856" s="145"/>
      <c r="K856" s="145"/>
      <c r="L856" s="145"/>
      <c r="M856" s="145"/>
      <c r="N856" s="145"/>
      <c r="O856" s="100"/>
      <c r="P856" s="100"/>
      <c r="Q856" s="101"/>
      <c r="R856" s="93" t="s">
        <v>1239</v>
      </c>
      <c r="S856" s="93"/>
      <c r="T856" s="93"/>
      <c r="U856" s="94"/>
    </row>
    <row r="857" spans="1:21" x14ac:dyDescent="0.4">
      <c r="A857" s="86">
        <f t="shared" si="13"/>
        <v>853</v>
      </c>
      <c r="B857" s="92"/>
      <c r="C857" s="190"/>
      <c r="D857" s="164"/>
      <c r="E857" s="103"/>
      <c r="F857" s="103"/>
      <c r="G857" s="103"/>
      <c r="H857" s="149"/>
      <c r="I857" s="104"/>
      <c r="J857" s="70" t="s">
        <v>1812</v>
      </c>
      <c r="K857" s="145"/>
      <c r="L857" s="145"/>
      <c r="M857" s="145"/>
      <c r="N857" s="145"/>
      <c r="O857" s="100"/>
      <c r="P857" s="100"/>
      <c r="Q857" s="101"/>
      <c r="R857" s="93" t="s">
        <v>1239</v>
      </c>
      <c r="S857" s="93"/>
      <c r="T857" s="93"/>
      <c r="U857" s="94"/>
    </row>
    <row r="858" spans="1:21" x14ac:dyDescent="0.4">
      <c r="A858" s="86">
        <f t="shared" si="13"/>
        <v>854</v>
      </c>
      <c r="B858" s="92"/>
      <c r="C858" s="190"/>
      <c r="D858" s="164"/>
      <c r="E858" s="103"/>
      <c r="F858" s="103"/>
      <c r="G858" s="103"/>
      <c r="H858" s="149"/>
      <c r="I858" s="104"/>
      <c r="J858" s="104"/>
      <c r="K858" s="70" t="s">
        <v>1813</v>
      </c>
      <c r="L858" s="145"/>
      <c r="M858" s="145"/>
      <c r="N858" s="145"/>
      <c r="O858" s="100"/>
      <c r="P858" s="100"/>
      <c r="Q858" s="101"/>
      <c r="R858" s="93" t="s">
        <v>36</v>
      </c>
      <c r="S858" s="93"/>
      <c r="T858" s="93"/>
      <c r="U858" s="94"/>
    </row>
    <row r="859" spans="1:21" x14ac:dyDescent="0.4">
      <c r="A859" s="86">
        <f t="shared" si="13"/>
        <v>855</v>
      </c>
      <c r="B859" s="92"/>
      <c r="C859" s="190"/>
      <c r="D859" s="164"/>
      <c r="E859" s="103"/>
      <c r="F859" s="103"/>
      <c r="G859" s="103"/>
      <c r="H859" s="149"/>
      <c r="I859" s="104"/>
      <c r="J859" s="104"/>
      <c r="K859" s="104"/>
      <c r="L859" s="145" t="s">
        <v>2916</v>
      </c>
      <c r="M859" s="145"/>
      <c r="N859" s="145"/>
      <c r="O859" s="100"/>
      <c r="P859" s="100"/>
      <c r="Q859" s="101"/>
      <c r="R859" s="93" t="s">
        <v>2927</v>
      </c>
      <c r="S859" s="93"/>
      <c r="T859" s="93"/>
      <c r="U859" s="94"/>
    </row>
    <row r="860" spans="1:21" x14ac:dyDescent="0.4">
      <c r="A860" s="86">
        <f t="shared" si="13"/>
        <v>856</v>
      </c>
      <c r="B860" s="92"/>
      <c r="C860" s="190"/>
      <c r="D860" s="164"/>
      <c r="E860" s="103"/>
      <c r="F860" s="103"/>
      <c r="G860" s="103"/>
      <c r="H860" s="149"/>
      <c r="I860" s="104"/>
      <c r="J860" s="104"/>
      <c r="K860" s="104"/>
      <c r="L860" s="145" t="s">
        <v>1814</v>
      </c>
      <c r="M860" s="145"/>
      <c r="N860" s="145"/>
      <c r="O860" s="100"/>
      <c r="P860" s="100"/>
      <c r="Q860" s="101"/>
      <c r="R860" s="93" t="s">
        <v>36</v>
      </c>
      <c r="S860" s="93"/>
      <c r="T860" s="93"/>
      <c r="U860" s="94"/>
    </row>
    <row r="861" spans="1:21" x14ac:dyDescent="0.4">
      <c r="A861" s="86">
        <f t="shared" si="13"/>
        <v>857</v>
      </c>
      <c r="B861" s="92"/>
      <c r="C861" s="190"/>
      <c r="D861" s="164"/>
      <c r="E861" s="103"/>
      <c r="F861" s="103"/>
      <c r="G861" s="103"/>
      <c r="H861" s="149"/>
      <c r="I861" s="104"/>
      <c r="J861" s="104"/>
      <c r="K861" s="108"/>
      <c r="L861" s="145" t="s">
        <v>1815</v>
      </c>
      <c r="M861" s="145"/>
      <c r="N861" s="145"/>
      <c r="O861" s="100"/>
      <c r="P861" s="100"/>
      <c r="Q861" s="101"/>
      <c r="R861" s="93" t="s">
        <v>36</v>
      </c>
      <c r="S861" s="93"/>
      <c r="T861" s="93"/>
      <c r="U861" s="94"/>
    </row>
    <row r="862" spans="1:21" x14ac:dyDescent="0.4">
      <c r="A862" s="86">
        <f t="shared" si="13"/>
        <v>858</v>
      </c>
      <c r="B862" s="92"/>
      <c r="C862" s="190"/>
      <c r="D862" s="164"/>
      <c r="E862" s="103"/>
      <c r="F862" s="103"/>
      <c r="G862" s="103"/>
      <c r="H862" s="149"/>
      <c r="I862" s="104"/>
      <c r="J862" s="109" t="s">
        <v>1816</v>
      </c>
      <c r="K862" s="145"/>
      <c r="L862" s="145"/>
      <c r="M862" s="145"/>
      <c r="N862" s="145"/>
      <c r="O862" s="100"/>
      <c r="P862" s="100"/>
      <c r="Q862" s="101"/>
      <c r="R862" s="93" t="s">
        <v>1239</v>
      </c>
      <c r="S862" s="93"/>
      <c r="T862" s="93"/>
      <c r="U862" s="94"/>
    </row>
    <row r="863" spans="1:21" x14ac:dyDescent="0.4">
      <c r="A863" s="86">
        <f t="shared" si="13"/>
        <v>859</v>
      </c>
      <c r="B863" s="92"/>
      <c r="C863" s="190"/>
      <c r="D863" s="164"/>
      <c r="E863" s="103"/>
      <c r="F863" s="103"/>
      <c r="G863" s="103"/>
      <c r="H863" s="149"/>
      <c r="I863" s="104"/>
      <c r="J863" s="104"/>
      <c r="K863" s="70" t="s">
        <v>1813</v>
      </c>
      <c r="L863" s="145"/>
      <c r="M863" s="145"/>
      <c r="N863" s="145"/>
      <c r="O863" s="100"/>
      <c r="P863" s="100"/>
      <c r="Q863" s="101"/>
      <c r="R863" s="93" t="s">
        <v>36</v>
      </c>
      <c r="S863" s="93"/>
      <c r="T863" s="93"/>
      <c r="U863" s="94"/>
    </row>
    <row r="864" spans="1:21" x14ac:dyDescent="0.4">
      <c r="A864" s="86">
        <f t="shared" si="13"/>
        <v>860</v>
      </c>
      <c r="B864" s="92"/>
      <c r="C864" s="190"/>
      <c r="D864" s="164"/>
      <c r="E864" s="103"/>
      <c r="F864" s="103"/>
      <c r="G864" s="103"/>
      <c r="H864" s="149"/>
      <c r="I864" s="104"/>
      <c r="J864" s="104"/>
      <c r="K864" s="104"/>
      <c r="L864" s="145" t="s">
        <v>2916</v>
      </c>
      <c r="M864" s="145"/>
      <c r="N864" s="145"/>
      <c r="O864" s="100"/>
      <c r="P864" s="100"/>
      <c r="Q864" s="101"/>
      <c r="R864" s="93" t="s">
        <v>2927</v>
      </c>
      <c r="S864" s="93"/>
      <c r="T864" s="93"/>
      <c r="U864" s="94"/>
    </row>
    <row r="865" spans="1:21" x14ac:dyDescent="0.4">
      <c r="A865" s="86">
        <f t="shared" si="13"/>
        <v>861</v>
      </c>
      <c r="B865" s="92"/>
      <c r="C865" s="190"/>
      <c r="D865" s="164"/>
      <c r="E865" s="103"/>
      <c r="F865" s="103"/>
      <c r="G865" s="103"/>
      <c r="H865" s="149"/>
      <c r="I865" s="104"/>
      <c r="J865" s="104"/>
      <c r="K865" s="108"/>
      <c r="L865" s="145" t="s">
        <v>1815</v>
      </c>
      <c r="M865" s="145"/>
      <c r="N865" s="145"/>
      <c r="O865" s="100"/>
      <c r="P865" s="100"/>
      <c r="Q865" s="101"/>
      <c r="R865" s="93" t="s">
        <v>36</v>
      </c>
      <c r="S865" s="93"/>
      <c r="T865" s="93"/>
      <c r="U865" s="94"/>
    </row>
    <row r="866" spans="1:21" x14ac:dyDescent="0.4">
      <c r="A866" s="86">
        <f t="shared" si="13"/>
        <v>862</v>
      </c>
      <c r="B866" s="92"/>
      <c r="C866" s="190"/>
      <c r="D866" s="164"/>
      <c r="E866" s="103"/>
      <c r="F866" s="103"/>
      <c r="G866" s="103"/>
      <c r="H866" s="149"/>
      <c r="I866" s="104"/>
      <c r="J866" s="109" t="s">
        <v>1817</v>
      </c>
      <c r="K866" s="145"/>
      <c r="L866" s="145"/>
      <c r="M866" s="145"/>
      <c r="N866" s="145"/>
      <c r="O866" s="100"/>
      <c r="P866" s="100"/>
      <c r="Q866" s="101"/>
      <c r="R866" s="93" t="s">
        <v>1239</v>
      </c>
      <c r="S866" s="93"/>
      <c r="T866" s="93"/>
      <c r="U866" s="94"/>
    </row>
    <row r="867" spans="1:21" x14ac:dyDescent="0.4">
      <c r="A867" s="86">
        <f t="shared" si="13"/>
        <v>863</v>
      </c>
      <c r="B867" s="92"/>
      <c r="C867" s="190"/>
      <c r="D867" s="164"/>
      <c r="E867" s="103"/>
      <c r="F867" s="103"/>
      <c r="G867" s="103"/>
      <c r="H867" s="149"/>
      <c r="I867" s="104"/>
      <c r="J867" s="104"/>
      <c r="K867" s="70" t="s">
        <v>1813</v>
      </c>
      <c r="L867" s="145"/>
      <c r="M867" s="145"/>
      <c r="N867" s="145"/>
      <c r="O867" s="100"/>
      <c r="P867" s="100"/>
      <c r="Q867" s="101"/>
      <c r="R867" s="93" t="s">
        <v>36</v>
      </c>
      <c r="S867" s="93"/>
      <c r="T867" s="93"/>
      <c r="U867" s="94"/>
    </row>
    <row r="868" spans="1:21" x14ac:dyDescent="0.4">
      <c r="A868" s="86">
        <f t="shared" si="13"/>
        <v>864</v>
      </c>
      <c r="B868" s="92"/>
      <c r="C868" s="190"/>
      <c r="D868" s="164"/>
      <c r="E868" s="103"/>
      <c r="F868" s="103"/>
      <c r="G868" s="103"/>
      <c r="H868" s="149"/>
      <c r="I868" s="104"/>
      <c r="J868" s="104"/>
      <c r="K868" s="104"/>
      <c r="L868" s="145" t="s">
        <v>2916</v>
      </c>
      <c r="M868" s="145"/>
      <c r="N868" s="145"/>
      <c r="O868" s="100"/>
      <c r="P868" s="100"/>
      <c r="Q868" s="101"/>
      <c r="R868" s="93" t="s">
        <v>2927</v>
      </c>
      <c r="S868" s="93"/>
      <c r="T868" s="93"/>
      <c r="U868" s="94"/>
    </row>
    <row r="869" spans="1:21" x14ac:dyDescent="0.4">
      <c r="A869" s="86">
        <f t="shared" si="13"/>
        <v>865</v>
      </c>
      <c r="B869" s="92"/>
      <c r="C869" s="190"/>
      <c r="D869" s="164"/>
      <c r="E869" s="103"/>
      <c r="F869" s="103"/>
      <c r="G869" s="103"/>
      <c r="H869" s="149"/>
      <c r="I869" s="104"/>
      <c r="J869" s="104"/>
      <c r="K869" s="108"/>
      <c r="L869" s="145" t="s">
        <v>1815</v>
      </c>
      <c r="M869" s="145"/>
      <c r="N869" s="145"/>
      <c r="O869" s="100"/>
      <c r="P869" s="100"/>
      <c r="Q869" s="101"/>
      <c r="R869" s="93" t="s">
        <v>36</v>
      </c>
      <c r="S869" s="93"/>
      <c r="T869" s="93"/>
      <c r="U869" s="94"/>
    </row>
    <row r="870" spans="1:21" x14ac:dyDescent="0.4">
      <c r="A870" s="86">
        <f t="shared" si="13"/>
        <v>866</v>
      </c>
      <c r="B870" s="92"/>
      <c r="C870" s="190"/>
      <c r="D870" s="164"/>
      <c r="E870" s="103"/>
      <c r="F870" s="103"/>
      <c r="G870" s="103"/>
      <c r="H870" s="149"/>
      <c r="I870" s="104"/>
      <c r="J870" s="109" t="s">
        <v>1818</v>
      </c>
      <c r="K870" s="145"/>
      <c r="L870" s="145"/>
      <c r="M870" s="145"/>
      <c r="N870" s="145"/>
      <c r="O870" s="100"/>
      <c r="P870" s="100"/>
      <c r="Q870" s="101"/>
      <c r="R870" s="93" t="s">
        <v>1239</v>
      </c>
      <c r="S870" s="93"/>
      <c r="T870" s="93"/>
      <c r="U870" s="94"/>
    </row>
    <row r="871" spans="1:21" x14ac:dyDescent="0.4">
      <c r="A871" s="86">
        <f t="shared" si="13"/>
        <v>867</v>
      </c>
      <c r="B871" s="92"/>
      <c r="C871" s="190"/>
      <c r="D871" s="164"/>
      <c r="E871" s="103"/>
      <c r="F871" s="103"/>
      <c r="G871" s="103"/>
      <c r="H871" s="149"/>
      <c r="I871" s="104"/>
      <c r="J871" s="104"/>
      <c r="K871" s="70" t="s">
        <v>1813</v>
      </c>
      <c r="L871" s="145"/>
      <c r="M871" s="145"/>
      <c r="N871" s="145"/>
      <c r="O871" s="100"/>
      <c r="P871" s="100"/>
      <c r="Q871" s="101"/>
      <c r="R871" s="93" t="s">
        <v>36</v>
      </c>
      <c r="S871" s="93"/>
      <c r="T871" s="93"/>
      <c r="U871" s="94"/>
    </row>
    <row r="872" spans="1:21" x14ac:dyDescent="0.4">
      <c r="A872" s="86">
        <f t="shared" si="13"/>
        <v>868</v>
      </c>
      <c r="B872" s="92"/>
      <c r="C872" s="190"/>
      <c r="D872" s="164"/>
      <c r="E872" s="103"/>
      <c r="F872" s="103"/>
      <c r="G872" s="103"/>
      <c r="H872" s="149"/>
      <c r="I872" s="104"/>
      <c r="J872" s="104"/>
      <c r="K872" s="104"/>
      <c r="L872" s="145" t="s">
        <v>2916</v>
      </c>
      <c r="M872" s="145"/>
      <c r="N872" s="145"/>
      <c r="O872" s="100"/>
      <c r="P872" s="100"/>
      <c r="Q872" s="101"/>
      <c r="R872" s="93" t="s">
        <v>2927</v>
      </c>
      <c r="S872" s="93"/>
      <c r="T872" s="93"/>
      <c r="U872" s="94"/>
    </row>
    <row r="873" spans="1:21" x14ac:dyDescent="0.4">
      <c r="A873" s="86">
        <f t="shared" si="13"/>
        <v>869</v>
      </c>
      <c r="B873" s="92"/>
      <c r="C873" s="190"/>
      <c r="D873" s="164"/>
      <c r="E873" s="103"/>
      <c r="F873" s="103"/>
      <c r="G873" s="103"/>
      <c r="H873" s="149"/>
      <c r="I873" s="104"/>
      <c r="J873" s="104"/>
      <c r="K873" s="108"/>
      <c r="L873" s="145" t="s">
        <v>1815</v>
      </c>
      <c r="M873" s="145"/>
      <c r="N873" s="145"/>
      <c r="O873" s="100"/>
      <c r="P873" s="100"/>
      <c r="Q873" s="101"/>
      <c r="R873" s="93" t="s">
        <v>36</v>
      </c>
      <c r="S873" s="93"/>
      <c r="T873" s="93"/>
      <c r="U873" s="94"/>
    </row>
    <row r="874" spans="1:21" x14ac:dyDescent="0.4">
      <c r="A874" s="86">
        <f t="shared" si="13"/>
        <v>870</v>
      </c>
      <c r="B874" s="92"/>
      <c r="C874" s="190"/>
      <c r="D874" s="164"/>
      <c r="E874" s="103"/>
      <c r="F874" s="103"/>
      <c r="G874" s="103"/>
      <c r="H874" s="149"/>
      <c r="I874" s="104"/>
      <c r="J874" s="109" t="s">
        <v>1819</v>
      </c>
      <c r="K874" s="145"/>
      <c r="L874" s="145"/>
      <c r="M874" s="145"/>
      <c r="N874" s="145"/>
      <c r="O874" s="100"/>
      <c r="P874" s="100"/>
      <c r="Q874" s="101"/>
      <c r="R874" s="93" t="s">
        <v>1239</v>
      </c>
      <c r="S874" s="93"/>
      <c r="T874" s="93"/>
      <c r="U874" s="94"/>
    </row>
    <row r="875" spans="1:21" x14ac:dyDescent="0.4">
      <c r="A875" s="86">
        <f t="shared" si="13"/>
        <v>871</v>
      </c>
      <c r="B875" s="92"/>
      <c r="C875" s="190"/>
      <c r="D875" s="164"/>
      <c r="E875" s="103"/>
      <c r="F875" s="103"/>
      <c r="G875" s="103"/>
      <c r="H875" s="149"/>
      <c r="I875" s="104"/>
      <c r="J875" s="104"/>
      <c r="K875" s="70" t="s">
        <v>1813</v>
      </c>
      <c r="L875" s="145"/>
      <c r="M875" s="145"/>
      <c r="N875" s="145"/>
      <c r="O875" s="100"/>
      <c r="P875" s="100"/>
      <c r="Q875" s="101"/>
      <c r="R875" s="93" t="s">
        <v>36</v>
      </c>
      <c r="S875" s="93"/>
      <c r="T875" s="93"/>
      <c r="U875" s="94"/>
    </row>
    <row r="876" spans="1:21" x14ac:dyDescent="0.4">
      <c r="A876" s="86">
        <f t="shared" si="13"/>
        <v>872</v>
      </c>
      <c r="B876" s="92"/>
      <c r="C876" s="190"/>
      <c r="D876" s="164"/>
      <c r="E876" s="103"/>
      <c r="F876" s="103"/>
      <c r="G876" s="103"/>
      <c r="H876" s="149"/>
      <c r="I876" s="104"/>
      <c r="J876" s="104"/>
      <c r="K876" s="104"/>
      <c r="L876" s="145" t="s">
        <v>2916</v>
      </c>
      <c r="M876" s="145"/>
      <c r="N876" s="145"/>
      <c r="O876" s="100"/>
      <c r="P876" s="100"/>
      <c r="Q876" s="101"/>
      <c r="R876" s="93" t="s">
        <v>2927</v>
      </c>
      <c r="S876" s="93"/>
      <c r="T876" s="93"/>
      <c r="U876" s="94"/>
    </row>
    <row r="877" spans="1:21" x14ac:dyDescent="0.4">
      <c r="A877" s="86">
        <f t="shared" si="13"/>
        <v>873</v>
      </c>
      <c r="B877" s="92"/>
      <c r="C877" s="190"/>
      <c r="D877" s="164"/>
      <c r="E877" s="103"/>
      <c r="F877" s="103"/>
      <c r="G877" s="103"/>
      <c r="H877" s="149"/>
      <c r="I877" s="104"/>
      <c r="J877" s="104"/>
      <c r="K877" s="104"/>
      <c r="L877" s="145" t="s">
        <v>1820</v>
      </c>
      <c r="M877" s="145"/>
      <c r="N877" s="145"/>
      <c r="O877" s="100"/>
      <c r="P877" s="100"/>
      <c r="Q877" s="101"/>
      <c r="R877" s="93" t="s">
        <v>36</v>
      </c>
      <c r="S877" s="93"/>
      <c r="T877" s="93"/>
      <c r="U877" s="94"/>
    </row>
    <row r="878" spans="1:21" x14ac:dyDescent="0.4">
      <c r="A878" s="86">
        <f t="shared" si="13"/>
        <v>874</v>
      </c>
      <c r="B878" s="92"/>
      <c r="C878" s="190"/>
      <c r="D878" s="164"/>
      <c r="E878" s="103"/>
      <c r="F878" s="103"/>
      <c r="G878" s="103"/>
      <c r="H878" s="149"/>
      <c r="I878" s="104"/>
      <c r="J878" s="104"/>
      <c r="K878" s="108"/>
      <c r="L878" s="145" t="s">
        <v>1815</v>
      </c>
      <c r="M878" s="145"/>
      <c r="N878" s="145"/>
      <c r="O878" s="100"/>
      <c r="P878" s="100"/>
      <c r="Q878" s="101"/>
      <c r="R878" s="93" t="s">
        <v>36</v>
      </c>
      <c r="S878" s="93"/>
      <c r="T878" s="93"/>
      <c r="U878" s="94"/>
    </row>
    <row r="879" spans="1:21" x14ac:dyDescent="0.4">
      <c r="A879" s="86">
        <f t="shared" si="13"/>
        <v>875</v>
      </c>
      <c r="B879" s="92"/>
      <c r="C879" s="190"/>
      <c r="D879" s="164"/>
      <c r="E879" s="103"/>
      <c r="F879" s="103"/>
      <c r="G879" s="103"/>
      <c r="H879" s="149"/>
      <c r="I879" s="104"/>
      <c r="J879" s="109" t="s">
        <v>1821</v>
      </c>
      <c r="K879" s="145"/>
      <c r="L879" s="145"/>
      <c r="M879" s="145"/>
      <c r="N879" s="145"/>
      <c r="O879" s="100"/>
      <c r="P879" s="100"/>
      <c r="Q879" s="101"/>
      <c r="R879" s="93" t="s">
        <v>1239</v>
      </c>
      <c r="S879" s="93"/>
      <c r="T879" s="93"/>
      <c r="U879" s="94"/>
    </row>
    <row r="880" spans="1:21" x14ac:dyDescent="0.4">
      <c r="A880" s="86">
        <f t="shared" si="13"/>
        <v>876</v>
      </c>
      <c r="B880" s="92"/>
      <c r="C880" s="190"/>
      <c r="D880" s="164"/>
      <c r="E880" s="103"/>
      <c r="F880" s="103"/>
      <c r="G880" s="103"/>
      <c r="H880" s="149"/>
      <c r="I880" s="104"/>
      <c r="J880" s="104"/>
      <c r="K880" s="70" t="s">
        <v>1813</v>
      </c>
      <c r="L880" s="145"/>
      <c r="M880" s="145"/>
      <c r="N880" s="145"/>
      <c r="O880" s="100"/>
      <c r="P880" s="100"/>
      <c r="Q880" s="101"/>
      <c r="R880" s="93" t="s">
        <v>36</v>
      </c>
      <c r="S880" s="93"/>
      <c r="T880" s="93"/>
      <c r="U880" s="94"/>
    </row>
    <row r="881" spans="1:21" x14ac:dyDescent="0.4">
      <c r="A881" s="86">
        <f t="shared" si="13"/>
        <v>877</v>
      </c>
      <c r="B881" s="92"/>
      <c r="C881" s="190"/>
      <c r="D881" s="164"/>
      <c r="E881" s="103"/>
      <c r="F881" s="103"/>
      <c r="G881" s="103"/>
      <c r="H881" s="149"/>
      <c r="I881" s="104"/>
      <c r="J881" s="104"/>
      <c r="K881" s="104"/>
      <c r="L881" s="145" t="s">
        <v>2916</v>
      </c>
      <c r="M881" s="145"/>
      <c r="N881" s="145"/>
      <c r="O881" s="100"/>
      <c r="P881" s="100"/>
      <c r="Q881" s="101"/>
      <c r="R881" s="93" t="s">
        <v>2982</v>
      </c>
      <c r="S881" s="93"/>
      <c r="T881" s="93"/>
      <c r="U881" s="94"/>
    </row>
    <row r="882" spans="1:21" x14ac:dyDescent="0.4">
      <c r="A882" s="86">
        <f t="shared" si="13"/>
        <v>878</v>
      </c>
      <c r="B882" s="92"/>
      <c r="C882" s="190"/>
      <c r="D882" s="164"/>
      <c r="E882" s="103"/>
      <c r="F882" s="103"/>
      <c r="G882" s="103"/>
      <c r="H882" s="149"/>
      <c r="I882" s="104"/>
      <c r="J882" s="104"/>
      <c r="K882" s="108"/>
      <c r="L882" s="145" t="s">
        <v>1822</v>
      </c>
      <c r="M882" s="145"/>
      <c r="N882" s="145"/>
      <c r="O882" s="100"/>
      <c r="P882" s="100"/>
      <c r="Q882" s="101"/>
      <c r="R882" s="93" t="s">
        <v>36</v>
      </c>
      <c r="S882" s="93"/>
      <c r="T882" s="93"/>
      <c r="U882" s="94"/>
    </row>
    <row r="883" spans="1:21" x14ac:dyDescent="0.4">
      <c r="A883" s="86">
        <f t="shared" si="13"/>
        <v>879</v>
      </c>
      <c r="B883" s="92"/>
      <c r="C883" s="190"/>
      <c r="D883" s="164"/>
      <c r="E883" s="103"/>
      <c r="F883" s="103"/>
      <c r="G883" s="103"/>
      <c r="H883" s="149"/>
      <c r="I883" s="104"/>
      <c r="J883" s="109" t="s">
        <v>1823</v>
      </c>
      <c r="K883" s="145"/>
      <c r="L883" s="145"/>
      <c r="M883" s="145"/>
      <c r="N883" s="145"/>
      <c r="O883" s="100"/>
      <c r="P883" s="100"/>
      <c r="Q883" s="101"/>
      <c r="R883" s="93" t="s">
        <v>1239</v>
      </c>
      <c r="S883" s="93"/>
      <c r="T883" s="93"/>
      <c r="U883" s="94"/>
    </row>
    <row r="884" spans="1:21" x14ac:dyDescent="0.4">
      <c r="A884" s="86">
        <f t="shared" si="13"/>
        <v>880</v>
      </c>
      <c r="B884" s="92"/>
      <c r="C884" s="190"/>
      <c r="D884" s="164"/>
      <c r="E884" s="103"/>
      <c r="F884" s="103"/>
      <c r="G884" s="103"/>
      <c r="H884" s="149"/>
      <c r="I884" s="104"/>
      <c r="J884" s="104"/>
      <c r="K884" s="70" t="s">
        <v>1813</v>
      </c>
      <c r="L884" s="145"/>
      <c r="M884" s="145"/>
      <c r="N884" s="145"/>
      <c r="O884" s="100"/>
      <c r="P884" s="100"/>
      <c r="Q884" s="101"/>
      <c r="R884" s="93" t="s">
        <v>36</v>
      </c>
      <c r="S884" s="93"/>
      <c r="T884" s="93"/>
      <c r="U884" s="94"/>
    </row>
    <row r="885" spans="1:21" x14ac:dyDescent="0.4">
      <c r="A885" s="86">
        <f t="shared" si="13"/>
        <v>881</v>
      </c>
      <c r="B885" s="92"/>
      <c r="C885" s="190"/>
      <c r="D885" s="164"/>
      <c r="E885" s="103"/>
      <c r="F885" s="103"/>
      <c r="G885" s="103"/>
      <c r="H885" s="149"/>
      <c r="I885" s="104"/>
      <c r="J885" s="104"/>
      <c r="K885" s="104"/>
      <c r="L885" s="145" t="s">
        <v>2916</v>
      </c>
      <c r="M885" s="145"/>
      <c r="N885" s="145"/>
      <c r="O885" s="100"/>
      <c r="P885" s="100"/>
      <c r="Q885" s="101"/>
      <c r="R885" s="93" t="s">
        <v>2982</v>
      </c>
      <c r="S885" s="93"/>
      <c r="T885" s="93"/>
      <c r="U885" s="94"/>
    </row>
    <row r="886" spans="1:21" x14ac:dyDescent="0.4">
      <c r="A886" s="86">
        <f t="shared" si="13"/>
        <v>882</v>
      </c>
      <c r="B886" s="92"/>
      <c r="C886" s="190"/>
      <c r="D886" s="164"/>
      <c r="E886" s="103"/>
      <c r="F886" s="103"/>
      <c r="G886" s="103"/>
      <c r="H886" s="149"/>
      <c r="I886" s="104"/>
      <c r="J886" s="104"/>
      <c r="K886" s="108"/>
      <c r="L886" s="145" t="s">
        <v>1824</v>
      </c>
      <c r="M886" s="145"/>
      <c r="N886" s="145"/>
      <c r="O886" s="100"/>
      <c r="P886" s="100"/>
      <c r="Q886" s="101"/>
      <c r="R886" s="93" t="s">
        <v>36</v>
      </c>
      <c r="S886" s="93"/>
      <c r="T886" s="93"/>
      <c r="U886" s="94"/>
    </row>
    <row r="887" spans="1:21" x14ac:dyDescent="0.4">
      <c r="A887" s="86">
        <f t="shared" si="13"/>
        <v>883</v>
      </c>
      <c r="B887" s="92"/>
      <c r="C887" s="190"/>
      <c r="D887" s="164"/>
      <c r="E887" s="103"/>
      <c r="F887" s="103"/>
      <c r="G887" s="103"/>
      <c r="H887" s="149"/>
      <c r="I887" s="104"/>
      <c r="J887" s="109" t="s">
        <v>1825</v>
      </c>
      <c r="K887" s="145"/>
      <c r="L887" s="145"/>
      <c r="M887" s="145"/>
      <c r="N887" s="145"/>
      <c r="O887" s="100"/>
      <c r="P887" s="100"/>
      <c r="Q887" s="101"/>
      <c r="R887" s="93" t="s">
        <v>1239</v>
      </c>
      <c r="S887" s="93"/>
      <c r="T887" s="93"/>
      <c r="U887" s="94"/>
    </row>
    <row r="888" spans="1:21" x14ac:dyDescent="0.4">
      <c r="A888" s="86">
        <f t="shared" si="13"/>
        <v>884</v>
      </c>
      <c r="B888" s="92"/>
      <c r="C888" s="190"/>
      <c r="D888" s="164"/>
      <c r="E888" s="103"/>
      <c r="F888" s="103"/>
      <c r="G888" s="103"/>
      <c r="H888" s="149"/>
      <c r="I888" s="104"/>
      <c r="J888" s="104"/>
      <c r="K888" s="70" t="s">
        <v>1813</v>
      </c>
      <c r="L888" s="145"/>
      <c r="M888" s="145"/>
      <c r="N888" s="145"/>
      <c r="O888" s="100"/>
      <c r="P888" s="100"/>
      <c r="Q888" s="101"/>
      <c r="R888" s="93" t="s">
        <v>36</v>
      </c>
      <c r="S888" s="93"/>
      <c r="T888" s="93"/>
      <c r="U888" s="94"/>
    </row>
    <row r="889" spans="1:21" x14ac:dyDescent="0.4">
      <c r="A889" s="86">
        <f t="shared" si="13"/>
        <v>885</v>
      </c>
      <c r="B889" s="92"/>
      <c r="C889" s="190"/>
      <c r="D889" s="164"/>
      <c r="E889" s="103"/>
      <c r="F889" s="103"/>
      <c r="G889" s="103"/>
      <c r="H889" s="149"/>
      <c r="I889" s="104"/>
      <c r="J889" s="104"/>
      <c r="K889" s="104"/>
      <c r="L889" s="145" t="s">
        <v>2916</v>
      </c>
      <c r="M889" s="145"/>
      <c r="N889" s="145"/>
      <c r="O889" s="100"/>
      <c r="P889" s="100"/>
      <c r="Q889" s="101"/>
      <c r="R889" s="93" t="s">
        <v>2927</v>
      </c>
      <c r="S889" s="93"/>
      <c r="T889" s="93"/>
      <c r="U889" s="94"/>
    </row>
    <row r="890" spans="1:21" x14ac:dyDescent="0.4">
      <c r="A890" s="86">
        <f t="shared" si="13"/>
        <v>886</v>
      </c>
      <c r="B890" s="92"/>
      <c r="C890" s="190"/>
      <c r="D890" s="164"/>
      <c r="E890" s="103"/>
      <c r="F890" s="103"/>
      <c r="G890" s="103"/>
      <c r="H890" s="149"/>
      <c r="I890" s="104"/>
      <c r="J890" s="109" t="s">
        <v>1826</v>
      </c>
      <c r="K890" s="100"/>
      <c r="L890" s="145"/>
      <c r="M890" s="145"/>
      <c r="N890" s="145"/>
      <c r="O890" s="100"/>
      <c r="P890" s="100"/>
      <c r="Q890" s="101"/>
      <c r="R890" s="93" t="s">
        <v>1239</v>
      </c>
      <c r="S890" s="93"/>
      <c r="T890" s="93"/>
      <c r="U890" s="94"/>
    </row>
    <row r="891" spans="1:21" x14ac:dyDescent="0.4">
      <c r="A891" s="86">
        <f t="shared" si="13"/>
        <v>887</v>
      </c>
      <c r="B891" s="92"/>
      <c r="C891" s="190"/>
      <c r="D891" s="164"/>
      <c r="E891" s="103"/>
      <c r="F891" s="103"/>
      <c r="G891" s="103"/>
      <c r="H891" s="149"/>
      <c r="I891" s="104"/>
      <c r="J891" s="104"/>
      <c r="K891" s="70" t="s">
        <v>1813</v>
      </c>
      <c r="L891" s="145"/>
      <c r="M891" s="145"/>
      <c r="N891" s="145"/>
      <c r="O891" s="100"/>
      <c r="P891" s="100"/>
      <c r="Q891" s="101"/>
      <c r="R891" s="93" t="s">
        <v>36</v>
      </c>
      <c r="S891" s="93"/>
      <c r="T891" s="93"/>
      <c r="U891" s="94"/>
    </row>
    <row r="892" spans="1:21" x14ac:dyDescent="0.4">
      <c r="A892" s="86">
        <f t="shared" si="13"/>
        <v>888</v>
      </c>
      <c r="B892" s="92"/>
      <c r="C892" s="190"/>
      <c r="D892" s="164"/>
      <c r="E892" s="103"/>
      <c r="F892" s="103"/>
      <c r="G892" s="103"/>
      <c r="H892" s="149"/>
      <c r="I892" s="104"/>
      <c r="J892" s="104"/>
      <c r="K892" s="104"/>
      <c r="L892" s="145" t="s">
        <v>2916</v>
      </c>
      <c r="M892" s="145"/>
      <c r="N892" s="145"/>
      <c r="O892" s="100"/>
      <c r="P892" s="100"/>
      <c r="Q892" s="101"/>
      <c r="R892" s="93" t="s">
        <v>2927</v>
      </c>
      <c r="S892" s="93"/>
      <c r="T892" s="93"/>
      <c r="U892" s="94"/>
    </row>
    <row r="893" spans="1:21" x14ac:dyDescent="0.4">
      <c r="A893" s="86">
        <f t="shared" si="13"/>
        <v>889</v>
      </c>
      <c r="B893" s="92"/>
      <c r="C893" s="190"/>
      <c r="D893" s="164"/>
      <c r="E893" s="103"/>
      <c r="F893" s="103"/>
      <c r="G893" s="103"/>
      <c r="H893" s="149"/>
      <c r="I893" s="104"/>
      <c r="J893" s="104"/>
      <c r="K893" s="108"/>
      <c r="L893" s="145" t="s">
        <v>1815</v>
      </c>
      <c r="M893" s="145"/>
      <c r="N893" s="145"/>
      <c r="O893" s="100"/>
      <c r="P893" s="100"/>
      <c r="Q893" s="101"/>
      <c r="R893" s="93" t="s">
        <v>36</v>
      </c>
      <c r="S893" s="93"/>
      <c r="T893" s="93"/>
      <c r="U893" s="94"/>
    </row>
    <row r="894" spans="1:21" x14ac:dyDescent="0.4">
      <c r="A894" s="86">
        <f t="shared" si="13"/>
        <v>890</v>
      </c>
      <c r="B894" s="92"/>
      <c r="C894" s="190"/>
      <c r="D894" s="164"/>
      <c r="E894" s="103"/>
      <c r="F894" s="103"/>
      <c r="G894" s="103"/>
      <c r="H894" s="149"/>
      <c r="I894" s="104"/>
      <c r="J894" s="109" t="s">
        <v>1827</v>
      </c>
      <c r="K894" s="100"/>
      <c r="L894" s="145"/>
      <c r="M894" s="145"/>
      <c r="N894" s="145"/>
      <c r="O894" s="100"/>
      <c r="P894" s="100"/>
      <c r="Q894" s="101"/>
      <c r="R894" s="93" t="s">
        <v>1239</v>
      </c>
      <c r="S894" s="93"/>
      <c r="T894" s="93"/>
      <c r="U894" s="94"/>
    </row>
    <row r="895" spans="1:21" x14ac:dyDescent="0.4">
      <c r="A895" s="86">
        <f t="shared" si="13"/>
        <v>891</v>
      </c>
      <c r="B895" s="92"/>
      <c r="C895" s="190"/>
      <c r="D895" s="164"/>
      <c r="E895" s="103"/>
      <c r="F895" s="103"/>
      <c r="G895" s="103"/>
      <c r="H895" s="149"/>
      <c r="I895" s="104"/>
      <c r="J895" s="104"/>
      <c r="K895" s="70" t="s">
        <v>1813</v>
      </c>
      <c r="L895" s="145"/>
      <c r="M895" s="145"/>
      <c r="N895" s="145"/>
      <c r="O895" s="100"/>
      <c r="P895" s="100"/>
      <c r="Q895" s="101"/>
      <c r="R895" s="93" t="s">
        <v>36</v>
      </c>
      <c r="S895" s="93"/>
      <c r="T895" s="93"/>
      <c r="U895" s="94"/>
    </row>
    <row r="896" spans="1:21" x14ac:dyDescent="0.4">
      <c r="A896" s="86">
        <f t="shared" si="13"/>
        <v>892</v>
      </c>
      <c r="B896" s="92"/>
      <c r="C896" s="190"/>
      <c r="D896" s="164"/>
      <c r="E896" s="103"/>
      <c r="F896" s="103"/>
      <c r="G896" s="103"/>
      <c r="H896" s="149"/>
      <c r="I896" s="104"/>
      <c r="J896" s="104"/>
      <c r="K896" s="104"/>
      <c r="L896" s="145" t="s">
        <v>2916</v>
      </c>
      <c r="M896" s="145"/>
      <c r="N896" s="145"/>
      <c r="O896" s="100"/>
      <c r="P896" s="100"/>
      <c r="Q896" s="101"/>
      <c r="R896" s="93" t="s">
        <v>2927</v>
      </c>
      <c r="S896" s="93"/>
      <c r="T896" s="93"/>
      <c r="U896" s="94"/>
    </row>
    <row r="897" spans="1:21" x14ac:dyDescent="0.4">
      <c r="A897" s="86">
        <f t="shared" si="13"/>
        <v>893</v>
      </c>
      <c r="B897" s="92"/>
      <c r="C897" s="190"/>
      <c r="D897" s="164"/>
      <c r="E897" s="103"/>
      <c r="F897" s="103"/>
      <c r="G897" s="103"/>
      <c r="H897" s="149"/>
      <c r="I897" s="104"/>
      <c r="J897" s="104"/>
      <c r="K897" s="108"/>
      <c r="L897" s="145" t="s">
        <v>1815</v>
      </c>
      <c r="M897" s="145"/>
      <c r="N897" s="145"/>
      <c r="O897" s="100"/>
      <c r="P897" s="100"/>
      <c r="Q897" s="101"/>
      <c r="R897" s="93" t="s">
        <v>36</v>
      </c>
      <c r="S897" s="93"/>
      <c r="T897" s="93"/>
      <c r="U897" s="94"/>
    </row>
    <row r="898" spans="1:21" x14ac:dyDescent="0.4">
      <c r="A898" s="86">
        <f t="shared" si="13"/>
        <v>894</v>
      </c>
      <c r="B898" s="92"/>
      <c r="C898" s="190"/>
      <c r="D898" s="164"/>
      <c r="E898" s="103"/>
      <c r="F898" s="103"/>
      <c r="G898" s="103"/>
      <c r="H898" s="149"/>
      <c r="I898" s="104"/>
      <c r="J898" s="109" t="s">
        <v>1828</v>
      </c>
      <c r="K898" s="100"/>
      <c r="L898" s="145"/>
      <c r="M898" s="145"/>
      <c r="N898" s="145"/>
      <c r="O898" s="100"/>
      <c r="P898" s="100"/>
      <c r="Q898" s="101"/>
      <c r="R898" s="93" t="s">
        <v>1239</v>
      </c>
      <c r="S898" s="93"/>
      <c r="T898" s="93"/>
      <c r="U898" s="94"/>
    </row>
    <row r="899" spans="1:21" x14ac:dyDescent="0.4">
      <c r="A899" s="86">
        <f t="shared" si="13"/>
        <v>895</v>
      </c>
      <c r="B899" s="92"/>
      <c r="C899" s="190"/>
      <c r="D899" s="164"/>
      <c r="E899" s="103"/>
      <c r="F899" s="103"/>
      <c r="G899" s="103"/>
      <c r="H899" s="149"/>
      <c r="I899" s="104"/>
      <c r="J899" s="104"/>
      <c r="K899" s="70" t="s">
        <v>1813</v>
      </c>
      <c r="L899" s="145"/>
      <c r="M899" s="145"/>
      <c r="N899" s="145"/>
      <c r="O899" s="100"/>
      <c r="P899" s="100"/>
      <c r="Q899" s="101"/>
      <c r="R899" s="93" t="s">
        <v>36</v>
      </c>
      <c r="S899" s="93"/>
      <c r="T899" s="93"/>
      <c r="U899" s="94"/>
    </row>
    <row r="900" spans="1:21" x14ac:dyDescent="0.4">
      <c r="A900" s="86">
        <f t="shared" si="13"/>
        <v>896</v>
      </c>
      <c r="B900" s="92"/>
      <c r="C900" s="190"/>
      <c r="D900" s="164"/>
      <c r="E900" s="103"/>
      <c r="F900" s="103"/>
      <c r="G900" s="103"/>
      <c r="H900" s="149"/>
      <c r="I900" s="104"/>
      <c r="J900" s="104"/>
      <c r="K900" s="104"/>
      <c r="L900" s="145" t="s">
        <v>2916</v>
      </c>
      <c r="M900" s="145"/>
      <c r="N900" s="145"/>
      <c r="O900" s="100"/>
      <c r="P900" s="100"/>
      <c r="Q900" s="101"/>
      <c r="R900" s="93" t="s">
        <v>2927</v>
      </c>
      <c r="S900" s="93"/>
      <c r="T900" s="93"/>
      <c r="U900" s="94"/>
    </row>
    <row r="901" spans="1:21" x14ac:dyDescent="0.4">
      <c r="A901" s="86">
        <f t="shared" si="13"/>
        <v>897</v>
      </c>
      <c r="B901" s="92"/>
      <c r="C901" s="190"/>
      <c r="D901" s="164"/>
      <c r="E901" s="103"/>
      <c r="F901" s="103"/>
      <c r="G901" s="103"/>
      <c r="H901" s="149"/>
      <c r="I901" s="104"/>
      <c r="J901" s="104"/>
      <c r="K901" s="104"/>
      <c r="L901" s="145" t="s">
        <v>1829</v>
      </c>
      <c r="M901" s="145"/>
      <c r="N901" s="145"/>
      <c r="O901" s="100"/>
      <c r="P901" s="100"/>
      <c r="Q901" s="101"/>
      <c r="R901" s="93" t="s">
        <v>36</v>
      </c>
      <c r="S901" s="93"/>
      <c r="T901" s="93"/>
      <c r="U901" s="94"/>
    </row>
    <row r="902" spans="1:21" x14ac:dyDescent="0.4">
      <c r="A902" s="86">
        <f t="shared" si="13"/>
        <v>898</v>
      </c>
      <c r="B902" s="92"/>
      <c r="C902" s="190"/>
      <c r="D902" s="164"/>
      <c r="E902" s="103"/>
      <c r="F902" s="103"/>
      <c r="G902" s="103"/>
      <c r="H902" s="149"/>
      <c r="I902" s="104"/>
      <c r="J902" s="104"/>
      <c r="K902" s="108"/>
      <c r="L902" s="145" t="s">
        <v>1815</v>
      </c>
      <c r="M902" s="145"/>
      <c r="N902" s="145"/>
      <c r="O902" s="100"/>
      <c r="P902" s="100"/>
      <c r="Q902" s="101"/>
      <c r="R902" s="93" t="s">
        <v>36</v>
      </c>
      <c r="S902" s="93"/>
      <c r="T902" s="93"/>
      <c r="U902" s="94"/>
    </row>
    <row r="903" spans="1:21" x14ac:dyDescent="0.4">
      <c r="A903" s="86">
        <f t="shared" ref="A903:A966" si="14">A902+1</f>
        <v>899</v>
      </c>
      <c r="B903" s="92"/>
      <c r="C903" s="190"/>
      <c r="D903" s="164"/>
      <c r="E903" s="103"/>
      <c r="F903" s="103"/>
      <c r="G903" s="103"/>
      <c r="H903" s="149"/>
      <c r="I903" s="104"/>
      <c r="J903" s="109" t="s">
        <v>1830</v>
      </c>
      <c r="K903" s="100"/>
      <c r="L903" s="145"/>
      <c r="M903" s="145"/>
      <c r="N903" s="145"/>
      <c r="O903" s="100"/>
      <c r="P903" s="100"/>
      <c r="Q903" s="101"/>
      <c r="R903" s="93" t="s">
        <v>1239</v>
      </c>
      <c r="S903" s="93"/>
      <c r="T903" s="93"/>
      <c r="U903" s="94"/>
    </row>
    <row r="904" spans="1:21" x14ac:dyDescent="0.4">
      <c r="A904" s="86">
        <f t="shared" si="14"/>
        <v>900</v>
      </c>
      <c r="B904" s="92"/>
      <c r="C904" s="190"/>
      <c r="D904" s="164"/>
      <c r="E904" s="103"/>
      <c r="F904" s="103"/>
      <c r="G904" s="103"/>
      <c r="H904" s="149"/>
      <c r="I904" s="104"/>
      <c r="J904" s="104"/>
      <c r="K904" s="70" t="s">
        <v>1813</v>
      </c>
      <c r="L904" s="145"/>
      <c r="M904" s="145"/>
      <c r="N904" s="145"/>
      <c r="O904" s="100"/>
      <c r="P904" s="100"/>
      <c r="Q904" s="101"/>
      <c r="R904" s="93" t="s">
        <v>20</v>
      </c>
      <c r="S904" s="93"/>
      <c r="T904" s="93"/>
      <c r="U904" s="94"/>
    </row>
    <row r="905" spans="1:21" x14ac:dyDescent="0.4">
      <c r="A905" s="86">
        <f t="shared" si="14"/>
        <v>901</v>
      </c>
      <c r="B905" s="92"/>
      <c r="C905" s="190"/>
      <c r="D905" s="164"/>
      <c r="E905" s="103"/>
      <c r="F905" s="103"/>
      <c r="G905" s="103"/>
      <c r="H905" s="149"/>
      <c r="I905" s="104"/>
      <c r="J905" s="104"/>
      <c r="K905" s="104"/>
      <c r="L905" s="145" t="s">
        <v>2916</v>
      </c>
      <c r="M905" s="145"/>
      <c r="N905" s="145"/>
      <c r="O905" s="100"/>
      <c r="P905" s="100"/>
      <c r="Q905" s="101"/>
      <c r="R905" s="93" t="s">
        <v>2982</v>
      </c>
      <c r="S905" s="93"/>
      <c r="T905" s="93"/>
      <c r="U905" s="94"/>
    </row>
    <row r="906" spans="1:21" x14ac:dyDescent="0.4">
      <c r="A906" s="86">
        <f t="shared" si="14"/>
        <v>902</v>
      </c>
      <c r="B906" s="92"/>
      <c r="C906" s="190"/>
      <c r="D906" s="164"/>
      <c r="E906" s="103"/>
      <c r="F906" s="103"/>
      <c r="G906" s="103"/>
      <c r="H906" s="149"/>
      <c r="I906" s="104"/>
      <c r="J906" s="104"/>
      <c r="K906" s="108"/>
      <c r="L906" s="145" t="s">
        <v>1831</v>
      </c>
      <c r="M906" s="145"/>
      <c r="N906" s="145"/>
      <c r="O906" s="100"/>
      <c r="P906" s="100"/>
      <c r="Q906" s="101"/>
      <c r="R906" s="93" t="s">
        <v>36</v>
      </c>
      <c r="S906" s="93"/>
      <c r="T906" s="93"/>
      <c r="U906" s="94"/>
    </row>
    <row r="907" spans="1:21" x14ac:dyDescent="0.4">
      <c r="A907" s="86">
        <f t="shared" si="14"/>
        <v>903</v>
      </c>
      <c r="B907" s="92"/>
      <c r="C907" s="190"/>
      <c r="D907" s="164"/>
      <c r="E907" s="103"/>
      <c r="F907" s="103"/>
      <c r="G907" s="103"/>
      <c r="H907" s="149"/>
      <c r="I907" s="104"/>
      <c r="J907" s="109" t="s">
        <v>1832</v>
      </c>
      <c r="K907" s="100"/>
      <c r="L907" s="145"/>
      <c r="M907" s="145"/>
      <c r="N907" s="145"/>
      <c r="O907" s="100"/>
      <c r="P907" s="100"/>
      <c r="Q907" s="101"/>
      <c r="R907" s="93" t="s">
        <v>1239</v>
      </c>
      <c r="S907" s="93"/>
      <c r="T907" s="93"/>
      <c r="U907" s="94"/>
    </row>
    <row r="908" spans="1:21" x14ac:dyDescent="0.4">
      <c r="A908" s="86">
        <f t="shared" si="14"/>
        <v>904</v>
      </c>
      <c r="B908" s="92"/>
      <c r="C908" s="190"/>
      <c r="D908" s="164"/>
      <c r="E908" s="103"/>
      <c r="F908" s="103"/>
      <c r="G908" s="103"/>
      <c r="H908" s="149"/>
      <c r="I908" s="104"/>
      <c r="J908" s="104"/>
      <c r="K908" s="70" t="s">
        <v>1813</v>
      </c>
      <c r="L908" s="145"/>
      <c r="M908" s="145"/>
      <c r="N908" s="145"/>
      <c r="O908" s="100"/>
      <c r="P908" s="100"/>
      <c r="Q908" s="101"/>
      <c r="R908" s="93" t="s">
        <v>36</v>
      </c>
      <c r="S908" s="93"/>
      <c r="T908" s="93"/>
      <c r="U908" s="94"/>
    </row>
    <row r="909" spans="1:21" x14ac:dyDescent="0.4">
      <c r="A909" s="86">
        <f t="shared" si="14"/>
        <v>905</v>
      </c>
      <c r="B909" s="92"/>
      <c r="C909" s="190"/>
      <c r="D909" s="164"/>
      <c r="E909" s="103"/>
      <c r="F909" s="103"/>
      <c r="G909" s="103"/>
      <c r="H909" s="149"/>
      <c r="I909" s="104"/>
      <c r="J909" s="104"/>
      <c r="K909" s="104"/>
      <c r="L909" s="145" t="s">
        <v>2916</v>
      </c>
      <c r="M909" s="145"/>
      <c r="N909" s="145"/>
      <c r="O909" s="100"/>
      <c r="P909" s="100"/>
      <c r="Q909" s="101"/>
      <c r="R909" s="93" t="s">
        <v>2927</v>
      </c>
      <c r="S909" s="93"/>
      <c r="T909" s="93"/>
      <c r="U909" s="94"/>
    </row>
    <row r="910" spans="1:21" x14ac:dyDescent="0.4">
      <c r="A910" s="86">
        <f t="shared" si="14"/>
        <v>906</v>
      </c>
      <c r="B910" s="92"/>
      <c r="C910" s="190"/>
      <c r="D910" s="164"/>
      <c r="E910" s="103"/>
      <c r="F910" s="103"/>
      <c r="G910" s="103"/>
      <c r="H910" s="149"/>
      <c r="I910" s="104"/>
      <c r="J910" s="104"/>
      <c r="K910" s="104"/>
      <c r="L910" s="145" t="s">
        <v>1833</v>
      </c>
      <c r="M910" s="145"/>
      <c r="N910" s="145"/>
      <c r="O910" s="100"/>
      <c r="P910" s="100"/>
      <c r="Q910" s="101"/>
      <c r="R910" s="93" t="s">
        <v>36</v>
      </c>
      <c r="S910" s="93"/>
      <c r="T910" s="93"/>
      <c r="U910" s="94"/>
    </row>
    <row r="911" spans="1:21" x14ac:dyDescent="0.4">
      <c r="A911" s="86">
        <f t="shared" si="14"/>
        <v>907</v>
      </c>
      <c r="B911" s="92"/>
      <c r="C911" s="190"/>
      <c r="D911" s="164"/>
      <c r="E911" s="103"/>
      <c r="F911" s="103"/>
      <c r="G911" s="103"/>
      <c r="H911" s="149"/>
      <c r="I911" s="104"/>
      <c r="J911" s="104"/>
      <c r="K911" s="108"/>
      <c r="L911" s="145" t="s">
        <v>1815</v>
      </c>
      <c r="M911" s="145"/>
      <c r="N911" s="145"/>
      <c r="O911" s="100"/>
      <c r="P911" s="100"/>
      <c r="Q911" s="101"/>
      <c r="R911" s="93" t="s">
        <v>36</v>
      </c>
      <c r="S911" s="93"/>
      <c r="T911" s="93"/>
      <c r="U911" s="94"/>
    </row>
    <row r="912" spans="1:21" x14ac:dyDescent="0.4">
      <c r="A912" s="86">
        <f t="shared" si="14"/>
        <v>908</v>
      </c>
      <c r="B912" s="92"/>
      <c r="C912" s="190"/>
      <c r="D912" s="164"/>
      <c r="E912" s="103"/>
      <c r="F912" s="103"/>
      <c r="G912" s="103"/>
      <c r="H912" s="149"/>
      <c r="I912" s="104"/>
      <c r="J912" s="109" t="s">
        <v>1834</v>
      </c>
      <c r="K912" s="100"/>
      <c r="L912" s="145"/>
      <c r="M912" s="145"/>
      <c r="N912" s="145"/>
      <c r="O912" s="100"/>
      <c r="P912" s="100"/>
      <c r="Q912" s="101"/>
      <c r="R912" s="93" t="s">
        <v>1239</v>
      </c>
      <c r="S912" s="93"/>
      <c r="T912" s="93"/>
      <c r="U912" s="94"/>
    </row>
    <row r="913" spans="1:21" x14ac:dyDescent="0.4">
      <c r="A913" s="86">
        <f t="shared" si="14"/>
        <v>909</v>
      </c>
      <c r="B913" s="92"/>
      <c r="C913" s="190"/>
      <c r="D913" s="164"/>
      <c r="E913" s="103"/>
      <c r="F913" s="103"/>
      <c r="G913" s="103"/>
      <c r="H913" s="149"/>
      <c r="I913" s="104"/>
      <c r="J913" s="104"/>
      <c r="K913" s="70" t="s">
        <v>1813</v>
      </c>
      <c r="L913" s="145"/>
      <c r="M913" s="145"/>
      <c r="N913" s="145"/>
      <c r="O913" s="100"/>
      <c r="P913" s="100"/>
      <c r="Q913" s="101"/>
      <c r="R913" s="93" t="s">
        <v>36</v>
      </c>
      <c r="S913" s="93"/>
      <c r="T913" s="93"/>
      <c r="U913" s="94"/>
    </row>
    <row r="914" spans="1:21" x14ac:dyDescent="0.4">
      <c r="A914" s="86">
        <f t="shared" si="14"/>
        <v>910</v>
      </c>
      <c r="B914" s="92"/>
      <c r="C914" s="190"/>
      <c r="D914" s="164"/>
      <c r="E914" s="103"/>
      <c r="F914" s="103"/>
      <c r="G914" s="103"/>
      <c r="H914" s="149"/>
      <c r="I914" s="104"/>
      <c r="J914" s="104"/>
      <c r="K914" s="104"/>
      <c r="L914" s="145" t="s">
        <v>2916</v>
      </c>
      <c r="M914" s="145"/>
      <c r="N914" s="145"/>
      <c r="O914" s="100"/>
      <c r="P914" s="100"/>
      <c r="Q914" s="101"/>
      <c r="R914" s="93" t="s">
        <v>2927</v>
      </c>
      <c r="S914" s="93"/>
      <c r="T914" s="93"/>
      <c r="U914" s="94"/>
    </row>
    <row r="915" spans="1:21" x14ac:dyDescent="0.4">
      <c r="A915" s="86">
        <f t="shared" si="14"/>
        <v>911</v>
      </c>
      <c r="B915" s="92"/>
      <c r="C915" s="190"/>
      <c r="D915" s="164"/>
      <c r="E915" s="103"/>
      <c r="F915" s="103"/>
      <c r="G915" s="103"/>
      <c r="H915" s="149"/>
      <c r="I915" s="104"/>
      <c r="J915" s="104"/>
      <c r="K915" s="108"/>
      <c r="L915" s="145" t="s">
        <v>1815</v>
      </c>
      <c r="M915" s="145"/>
      <c r="N915" s="145"/>
      <c r="O915" s="100"/>
      <c r="P915" s="100"/>
      <c r="Q915" s="101"/>
      <c r="R915" s="93" t="s">
        <v>36</v>
      </c>
      <c r="S915" s="93"/>
      <c r="T915" s="93"/>
      <c r="U915" s="94"/>
    </row>
    <row r="916" spans="1:21" x14ac:dyDescent="0.4">
      <c r="A916" s="86">
        <f t="shared" si="14"/>
        <v>912</v>
      </c>
      <c r="B916" s="92"/>
      <c r="C916" s="190"/>
      <c r="D916" s="164"/>
      <c r="E916" s="103"/>
      <c r="F916" s="103"/>
      <c r="G916" s="103"/>
      <c r="H916" s="149"/>
      <c r="I916" s="104"/>
      <c r="J916" s="109" t="s">
        <v>1835</v>
      </c>
      <c r="K916" s="100"/>
      <c r="L916" s="145"/>
      <c r="M916" s="145"/>
      <c r="N916" s="145"/>
      <c r="O916" s="100"/>
      <c r="P916" s="100"/>
      <c r="Q916" s="101"/>
      <c r="R916" s="93" t="s">
        <v>1239</v>
      </c>
      <c r="S916" s="93"/>
      <c r="T916" s="93"/>
      <c r="U916" s="94"/>
    </row>
    <row r="917" spans="1:21" x14ac:dyDescent="0.4">
      <c r="A917" s="86">
        <f t="shared" si="14"/>
        <v>913</v>
      </c>
      <c r="B917" s="92"/>
      <c r="C917" s="190"/>
      <c r="D917" s="164"/>
      <c r="E917" s="103"/>
      <c r="F917" s="103"/>
      <c r="G917" s="103"/>
      <c r="H917" s="149"/>
      <c r="I917" s="104"/>
      <c r="J917" s="104"/>
      <c r="K917" s="70" t="s">
        <v>1813</v>
      </c>
      <c r="L917" s="145"/>
      <c r="M917" s="145"/>
      <c r="N917" s="145"/>
      <c r="O917" s="100"/>
      <c r="P917" s="100"/>
      <c r="Q917" s="101"/>
      <c r="R917" s="93" t="s">
        <v>36</v>
      </c>
      <c r="S917" s="93"/>
      <c r="T917" s="93"/>
      <c r="U917" s="94"/>
    </row>
    <row r="918" spans="1:21" x14ac:dyDescent="0.4">
      <c r="A918" s="86">
        <f t="shared" si="14"/>
        <v>914</v>
      </c>
      <c r="B918" s="92"/>
      <c r="C918" s="190"/>
      <c r="D918" s="164"/>
      <c r="E918" s="103"/>
      <c r="F918" s="103"/>
      <c r="G918" s="103"/>
      <c r="H918" s="149"/>
      <c r="I918" s="104"/>
      <c r="J918" s="104"/>
      <c r="K918" s="104"/>
      <c r="L918" s="145" t="s">
        <v>2916</v>
      </c>
      <c r="M918" s="145"/>
      <c r="N918" s="145"/>
      <c r="O918" s="100"/>
      <c r="P918" s="100"/>
      <c r="Q918" s="101"/>
      <c r="R918" s="93" t="s">
        <v>2982</v>
      </c>
      <c r="S918" s="93"/>
      <c r="T918" s="93"/>
      <c r="U918" s="94"/>
    </row>
    <row r="919" spans="1:21" x14ac:dyDescent="0.4">
      <c r="A919" s="86">
        <f t="shared" si="14"/>
        <v>915</v>
      </c>
      <c r="B919" s="92"/>
      <c r="C919" s="190"/>
      <c r="D919" s="164"/>
      <c r="E919" s="103"/>
      <c r="F919" s="103"/>
      <c r="G919" s="103"/>
      <c r="H919" s="149"/>
      <c r="I919" s="104"/>
      <c r="J919" s="104"/>
      <c r="K919" s="108"/>
      <c r="L919" s="145" t="s">
        <v>1836</v>
      </c>
      <c r="M919" s="145"/>
      <c r="N919" s="145"/>
      <c r="O919" s="100"/>
      <c r="P919" s="100"/>
      <c r="Q919" s="101"/>
      <c r="R919" s="93" t="s">
        <v>36</v>
      </c>
      <c r="S919" s="93"/>
      <c r="T919" s="93"/>
      <c r="U919" s="94"/>
    </row>
    <row r="920" spans="1:21" x14ac:dyDescent="0.4">
      <c r="A920" s="86">
        <f t="shared" si="14"/>
        <v>916</v>
      </c>
      <c r="B920" s="92"/>
      <c r="C920" s="190"/>
      <c r="D920" s="164"/>
      <c r="E920" s="103"/>
      <c r="F920" s="103"/>
      <c r="G920" s="103"/>
      <c r="H920" s="149"/>
      <c r="I920" s="104"/>
      <c r="J920" s="109" t="s">
        <v>1837</v>
      </c>
      <c r="K920" s="100"/>
      <c r="L920" s="145"/>
      <c r="M920" s="145"/>
      <c r="N920" s="145"/>
      <c r="O920" s="100"/>
      <c r="P920" s="100"/>
      <c r="Q920" s="101"/>
      <c r="R920" s="93" t="s">
        <v>1239</v>
      </c>
      <c r="S920" s="93"/>
      <c r="T920" s="93"/>
      <c r="U920" s="94"/>
    </row>
    <row r="921" spans="1:21" x14ac:dyDescent="0.4">
      <c r="A921" s="86">
        <f t="shared" si="14"/>
        <v>917</v>
      </c>
      <c r="B921" s="92"/>
      <c r="C921" s="190"/>
      <c r="D921" s="164"/>
      <c r="E921" s="103"/>
      <c r="F921" s="103"/>
      <c r="G921" s="103"/>
      <c r="H921" s="149"/>
      <c r="I921" s="104"/>
      <c r="J921" s="104"/>
      <c r="K921" s="70" t="s">
        <v>1813</v>
      </c>
      <c r="L921" s="145"/>
      <c r="M921" s="145"/>
      <c r="N921" s="145"/>
      <c r="O921" s="100"/>
      <c r="P921" s="100"/>
      <c r="Q921" s="101"/>
      <c r="R921" s="93" t="s">
        <v>36</v>
      </c>
      <c r="S921" s="93"/>
      <c r="T921" s="93"/>
      <c r="U921" s="94"/>
    </row>
    <row r="922" spans="1:21" x14ac:dyDescent="0.4">
      <c r="A922" s="86">
        <f t="shared" si="14"/>
        <v>918</v>
      </c>
      <c r="B922" s="92"/>
      <c r="C922" s="190"/>
      <c r="D922" s="164"/>
      <c r="E922" s="103"/>
      <c r="F922" s="103"/>
      <c r="G922" s="103"/>
      <c r="H922" s="149"/>
      <c r="I922" s="104"/>
      <c r="J922" s="104"/>
      <c r="K922" s="104"/>
      <c r="L922" s="145" t="s">
        <v>2916</v>
      </c>
      <c r="M922" s="145"/>
      <c r="N922" s="145"/>
      <c r="O922" s="100"/>
      <c r="P922" s="100"/>
      <c r="Q922" s="101"/>
      <c r="R922" s="93" t="s">
        <v>2982</v>
      </c>
      <c r="S922" s="93"/>
      <c r="T922" s="93"/>
      <c r="U922" s="94"/>
    </row>
    <row r="923" spans="1:21" x14ac:dyDescent="0.4">
      <c r="A923" s="86">
        <f t="shared" si="14"/>
        <v>919</v>
      </c>
      <c r="B923" s="92"/>
      <c r="C923" s="190"/>
      <c r="D923" s="164"/>
      <c r="E923" s="103"/>
      <c r="F923" s="103"/>
      <c r="G923" s="103"/>
      <c r="H923" s="149"/>
      <c r="I923" s="104"/>
      <c r="J923" s="104"/>
      <c r="K923" s="108"/>
      <c r="L923" s="145" t="s">
        <v>1815</v>
      </c>
      <c r="M923" s="145"/>
      <c r="N923" s="145"/>
      <c r="O923" s="100"/>
      <c r="P923" s="100"/>
      <c r="Q923" s="101"/>
      <c r="R923" s="93" t="s">
        <v>36</v>
      </c>
      <c r="S923" s="93"/>
      <c r="T923" s="93"/>
      <c r="U923" s="94"/>
    </row>
    <row r="924" spans="1:21" x14ac:dyDescent="0.4">
      <c r="A924" s="86">
        <f t="shared" si="14"/>
        <v>920</v>
      </c>
      <c r="B924" s="92"/>
      <c r="C924" s="190"/>
      <c r="D924" s="164"/>
      <c r="E924" s="103"/>
      <c r="F924" s="103"/>
      <c r="G924" s="103"/>
      <c r="H924" s="149"/>
      <c r="I924" s="104"/>
      <c r="J924" s="109" t="s">
        <v>1838</v>
      </c>
      <c r="K924" s="100"/>
      <c r="L924" s="145"/>
      <c r="M924" s="145"/>
      <c r="N924" s="145"/>
      <c r="O924" s="100"/>
      <c r="P924" s="100"/>
      <c r="Q924" s="101"/>
      <c r="R924" s="93" t="s">
        <v>1239</v>
      </c>
      <c r="S924" s="93"/>
      <c r="T924" s="93"/>
      <c r="U924" s="94"/>
    </row>
    <row r="925" spans="1:21" x14ac:dyDescent="0.4">
      <c r="A925" s="86">
        <f t="shared" si="14"/>
        <v>921</v>
      </c>
      <c r="B925" s="92"/>
      <c r="C925" s="190"/>
      <c r="D925" s="164"/>
      <c r="E925" s="103"/>
      <c r="F925" s="103"/>
      <c r="G925" s="103"/>
      <c r="H925" s="149"/>
      <c r="I925" s="104"/>
      <c r="J925" s="104"/>
      <c r="K925" s="70" t="s">
        <v>1813</v>
      </c>
      <c r="L925" s="145"/>
      <c r="M925" s="145"/>
      <c r="N925" s="145"/>
      <c r="O925" s="100"/>
      <c r="P925" s="100"/>
      <c r="Q925" s="101"/>
      <c r="R925" s="93" t="s">
        <v>36</v>
      </c>
      <c r="S925" s="93"/>
      <c r="T925" s="93"/>
      <c r="U925" s="94"/>
    </row>
    <row r="926" spans="1:21" x14ac:dyDescent="0.4">
      <c r="A926" s="86">
        <f t="shared" si="14"/>
        <v>922</v>
      </c>
      <c r="B926" s="92"/>
      <c r="C926" s="190"/>
      <c r="D926" s="164"/>
      <c r="E926" s="103"/>
      <c r="F926" s="103"/>
      <c r="G926" s="103"/>
      <c r="H926" s="149"/>
      <c r="I926" s="104"/>
      <c r="J926" s="104"/>
      <c r="K926" s="104"/>
      <c r="L926" s="145" t="s">
        <v>2916</v>
      </c>
      <c r="M926" s="145"/>
      <c r="N926" s="145"/>
      <c r="O926" s="100"/>
      <c r="P926" s="100"/>
      <c r="Q926" s="101"/>
      <c r="R926" s="93" t="s">
        <v>2927</v>
      </c>
      <c r="S926" s="93"/>
      <c r="T926" s="93"/>
      <c r="U926" s="94"/>
    </row>
    <row r="927" spans="1:21" x14ac:dyDescent="0.4">
      <c r="A927" s="86">
        <f t="shared" si="14"/>
        <v>923</v>
      </c>
      <c r="B927" s="92"/>
      <c r="C927" s="190"/>
      <c r="D927" s="164"/>
      <c r="E927" s="103"/>
      <c r="F927" s="103"/>
      <c r="G927" s="103"/>
      <c r="H927" s="149"/>
      <c r="I927" s="104"/>
      <c r="J927" s="104"/>
      <c r="K927" s="108"/>
      <c r="L927" s="145" t="s">
        <v>1815</v>
      </c>
      <c r="M927" s="145"/>
      <c r="N927" s="145"/>
      <c r="O927" s="100"/>
      <c r="P927" s="100"/>
      <c r="Q927" s="101"/>
      <c r="R927" s="93" t="s">
        <v>36</v>
      </c>
      <c r="S927" s="93"/>
      <c r="T927" s="93"/>
      <c r="U927" s="94"/>
    </row>
    <row r="928" spans="1:21" x14ac:dyDescent="0.4">
      <c r="A928" s="86">
        <f t="shared" si="14"/>
        <v>924</v>
      </c>
      <c r="B928" s="92"/>
      <c r="C928" s="190"/>
      <c r="D928" s="164"/>
      <c r="E928" s="103"/>
      <c r="F928" s="103"/>
      <c r="G928" s="103"/>
      <c r="H928" s="149"/>
      <c r="I928" s="104"/>
      <c r="J928" s="109" t="s">
        <v>1839</v>
      </c>
      <c r="K928" s="100"/>
      <c r="L928" s="145"/>
      <c r="M928" s="145"/>
      <c r="N928" s="145"/>
      <c r="O928" s="100"/>
      <c r="P928" s="100"/>
      <c r="Q928" s="101"/>
      <c r="R928" s="93" t="s">
        <v>1239</v>
      </c>
      <c r="S928" s="93"/>
      <c r="T928" s="93"/>
      <c r="U928" s="94"/>
    </row>
    <row r="929" spans="1:21" x14ac:dyDescent="0.4">
      <c r="A929" s="86">
        <f t="shared" si="14"/>
        <v>925</v>
      </c>
      <c r="B929" s="92"/>
      <c r="C929" s="190"/>
      <c r="D929" s="164"/>
      <c r="E929" s="103"/>
      <c r="F929" s="103"/>
      <c r="G929" s="103"/>
      <c r="H929" s="149"/>
      <c r="I929" s="104"/>
      <c r="J929" s="104"/>
      <c r="K929" s="70" t="s">
        <v>1813</v>
      </c>
      <c r="L929" s="145"/>
      <c r="M929" s="145"/>
      <c r="N929" s="145"/>
      <c r="O929" s="100"/>
      <c r="P929" s="100"/>
      <c r="Q929" s="101"/>
      <c r="R929" s="93" t="s">
        <v>36</v>
      </c>
      <c r="S929" s="93"/>
      <c r="T929" s="93"/>
      <c r="U929" s="94"/>
    </row>
    <row r="930" spans="1:21" x14ac:dyDescent="0.4">
      <c r="A930" s="86">
        <f t="shared" si="14"/>
        <v>926</v>
      </c>
      <c r="B930" s="92"/>
      <c r="C930" s="190"/>
      <c r="D930" s="164"/>
      <c r="E930" s="103"/>
      <c r="F930" s="103"/>
      <c r="G930" s="103"/>
      <c r="H930" s="149"/>
      <c r="I930" s="104"/>
      <c r="J930" s="104"/>
      <c r="K930" s="104"/>
      <c r="L930" s="145" t="s">
        <v>2916</v>
      </c>
      <c r="M930" s="145"/>
      <c r="N930" s="145"/>
      <c r="O930" s="100"/>
      <c r="P930" s="100"/>
      <c r="Q930" s="101"/>
      <c r="R930" s="93" t="s">
        <v>2982</v>
      </c>
      <c r="S930" s="93"/>
      <c r="T930" s="93"/>
      <c r="U930" s="94"/>
    </row>
    <row r="931" spans="1:21" x14ac:dyDescent="0.4">
      <c r="A931" s="86">
        <f t="shared" si="14"/>
        <v>927</v>
      </c>
      <c r="B931" s="92"/>
      <c r="C931" s="190"/>
      <c r="D931" s="164"/>
      <c r="E931" s="103"/>
      <c r="F931" s="103"/>
      <c r="G931" s="103"/>
      <c r="H931" s="149"/>
      <c r="I931" s="104"/>
      <c r="J931" s="109" t="s">
        <v>1840</v>
      </c>
      <c r="K931" s="100"/>
      <c r="L931" s="145"/>
      <c r="M931" s="145"/>
      <c r="N931" s="145"/>
      <c r="O931" s="100"/>
      <c r="P931" s="100"/>
      <c r="Q931" s="101"/>
      <c r="R931" s="93" t="s">
        <v>1239</v>
      </c>
      <c r="S931" s="93"/>
      <c r="T931" s="93"/>
      <c r="U931" s="94"/>
    </row>
    <row r="932" spans="1:21" x14ac:dyDescent="0.4">
      <c r="A932" s="86">
        <f t="shared" si="14"/>
        <v>928</v>
      </c>
      <c r="B932" s="92"/>
      <c r="C932" s="190"/>
      <c r="D932" s="164"/>
      <c r="E932" s="103"/>
      <c r="F932" s="103"/>
      <c r="G932" s="103"/>
      <c r="H932" s="149"/>
      <c r="I932" s="104"/>
      <c r="J932" s="104"/>
      <c r="K932" s="70" t="s">
        <v>1813</v>
      </c>
      <c r="L932" s="145"/>
      <c r="M932" s="145"/>
      <c r="N932" s="145"/>
      <c r="O932" s="100"/>
      <c r="P932" s="100"/>
      <c r="Q932" s="101"/>
      <c r="R932" s="93" t="s">
        <v>36</v>
      </c>
      <c r="S932" s="93"/>
      <c r="T932" s="93"/>
      <c r="U932" s="94"/>
    </row>
    <row r="933" spans="1:21" x14ac:dyDescent="0.4">
      <c r="A933" s="86">
        <f t="shared" si="14"/>
        <v>929</v>
      </c>
      <c r="B933" s="92"/>
      <c r="C933" s="190"/>
      <c r="D933" s="164"/>
      <c r="E933" s="103"/>
      <c r="F933" s="103"/>
      <c r="G933" s="103"/>
      <c r="H933" s="149"/>
      <c r="I933" s="104"/>
      <c r="J933" s="104"/>
      <c r="K933" s="104"/>
      <c r="L933" s="145" t="s">
        <v>2916</v>
      </c>
      <c r="M933" s="145"/>
      <c r="N933" s="145"/>
      <c r="O933" s="100"/>
      <c r="P933" s="100"/>
      <c r="Q933" s="101"/>
      <c r="R933" s="93" t="s">
        <v>2982</v>
      </c>
      <c r="S933" s="93"/>
      <c r="T933" s="93"/>
      <c r="U933" s="94"/>
    </row>
    <row r="934" spans="1:21" x14ac:dyDescent="0.4">
      <c r="A934" s="86">
        <f t="shared" si="14"/>
        <v>930</v>
      </c>
      <c r="B934" s="92"/>
      <c r="C934" s="190"/>
      <c r="D934" s="164"/>
      <c r="E934" s="103"/>
      <c r="F934" s="103"/>
      <c r="G934" s="103"/>
      <c r="H934" s="149"/>
      <c r="I934" s="104"/>
      <c r="J934" s="109" t="s">
        <v>1841</v>
      </c>
      <c r="K934" s="100"/>
      <c r="L934" s="145"/>
      <c r="M934" s="145"/>
      <c r="N934" s="145"/>
      <c r="O934" s="100"/>
      <c r="P934" s="100"/>
      <c r="Q934" s="101"/>
      <c r="R934" s="93" t="s">
        <v>1239</v>
      </c>
      <c r="S934" s="93"/>
      <c r="T934" s="93"/>
      <c r="U934" s="94"/>
    </row>
    <row r="935" spans="1:21" x14ac:dyDescent="0.4">
      <c r="A935" s="86">
        <f t="shared" si="14"/>
        <v>931</v>
      </c>
      <c r="B935" s="92"/>
      <c r="C935" s="190"/>
      <c r="D935" s="164"/>
      <c r="E935" s="103"/>
      <c r="F935" s="103"/>
      <c r="G935" s="103"/>
      <c r="H935" s="149"/>
      <c r="I935" s="104"/>
      <c r="J935" s="104"/>
      <c r="K935" s="70" t="s">
        <v>1813</v>
      </c>
      <c r="L935" s="145"/>
      <c r="M935" s="145"/>
      <c r="N935" s="145"/>
      <c r="O935" s="100"/>
      <c r="P935" s="100"/>
      <c r="Q935" s="101"/>
      <c r="R935" s="93" t="s">
        <v>36</v>
      </c>
      <c r="S935" s="93"/>
      <c r="T935" s="93"/>
      <c r="U935" s="94"/>
    </row>
    <row r="936" spans="1:21" x14ac:dyDescent="0.4">
      <c r="A936" s="86">
        <f t="shared" si="14"/>
        <v>932</v>
      </c>
      <c r="B936" s="92"/>
      <c r="C936" s="190"/>
      <c r="D936" s="164"/>
      <c r="E936" s="103"/>
      <c r="F936" s="103"/>
      <c r="G936" s="103"/>
      <c r="H936" s="149"/>
      <c r="I936" s="104"/>
      <c r="J936" s="104"/>
      <c r="K936" s="104"/>
      <c r="L936" s="145" t="s">
        <v>2916</v>
      </c>
      <c r="M936" s="145"/>
      <c r="N936" s="145"/>
      <c r="O936" s="100"/>
      <c r="P936" s="100"/>
      <c r="Q936" s="101"/>
      <c r="R936" s="93" t="s">
        <v>2982</v>
      </c>
      <c r="S936" s="93"/>
      <c r="T936" s="93"/>
      <c r="U936" s="94"/>
    </row>
    <row r="937" spans="1:21" x14ac:dyDescent="0.4">
      <c r="A937" s="86">
        <f t="shared" si="14"/>
        <v>933</v>
      </c>
      <c r="B937" s="92"/>
      <c r="C937" s="190"/>
      <c r="D937" s="164"/>
      <c r="E937" s="103"/>
      <c r="F937" s="103"/>
      <c r="G937" s="103"/>
      <c r="H937" s="149"/>
      <c r="I937" s="104"/>
      <c r="J937" s="109" t="s">
        <v>1842</v>
      </c>
      <c r="K937" s="100"/>
      <c r="L937" s="145"/>
      <c r="M937" s="145"/>
      <c r="N937" s="145"/>
      <c r="O937" s="100"/>
      <c r="P937" s="100"/>
      <c r="Q937" s="101"/>
      <c r="R937" s="93" t="s">
        <v>1239</v>
      </c>
      <c r="S937" s="93"/>
      <c r="T937" s="93"/>
      <c r="U937" s="94"/>
    </row>
    <row r="938" spans="1:21" x14ac:dyDescent="0.4">
      <c r="A938" s="86">
        <f t="shared" si="14"/>
        <v>934</v>
      </c>
      <c r="B938" s="92"/>
      <c r="C938" s="190"/>
      <c r="D938" s="164"/>
      <c r="E938" s="103"/>
      <c r="F938" s="103"/>
      <c r="G938" s="103"/>
      <c r="H938" s="149"/>
      <c r="I938" s="104"/>
      <c r="J938" s="104"/>
      <c r="K938" s="70" t="s">
        <v>1813</v>
      </c>
      <c r="L938" s="145"/>
      <c r="M938" s="145"/>
      <c r="N938" s="145"/>
      <c r="O938" s="100"/>
      <c r="P938" s="100"/>
      <c r="Q938" s="101"/>
      <c r="R938" s="93" t="s">
        <v>36</v>
      </c>
      <c r="S938" s="93"/>
      <c r="T938" s="93"/>
      <c r="U938" s="94"/>
    </row>
    <row r="939" spans="1:21" x14ac:dyDescent="0.4">
      <c r="A939" s="86">
        <f t="shared" si="14"/>
        <v>935</v>
      </c>
      <c r="B939" s="92"/>
      <c r="C939" s="190"/>
      <c r="D939" s="164"/>
      <c r="E939" s="103"/>
      <c r="F939" s="103"/>
      <c r="G939" s="103"/>
      <c r="H939" s="149"/>
      <c r="I939" s="104"/>
      <c r="J939" s="104"/>
      <c r="K939" s="104"/>
      <c r="L939" s="145" t="s">
        <v>2916</v>
      </c>
      <c r="M939" s="145"/>
      <c r="N939" s="145"/>
      <c r="O939" s="100"/>
      <c r="P939" s="100"/>
      <c r="Q939" s="101"/>
      <c r="R939" s="93" t="s">
        <v>2982</v>
      </c>
      <c r="S939" s="93"/>
      <c r="T939" s="93"/>
      <c r="U939" s="94"/>
    </row>
    <row r="940" spans="1:21" x14ac:dyDescent="0.4">
      <c r="A940" s="86">
        <f t="shared" si="14"/>
        <v>936</v>
      </c>
      <c r="B940" s="92"/>
      <c r="C940" s="190"/>
      <c r="D940" s="164"/>
      <c r="E940" s="103"/>
      <c r="F940" s="103"/>
      <c r="G940" s="103"/>
      <c r="H940" s="149"/>
      <c r="I940" s="104"/>
      <c r="J940" s="104"/>
      <c r="K940" s="108"/>
      <c r="L940" s="145" t="s">
        <v>1815</v>
      </c>
      <c r="M940" s="145"/>
      <c r="N940" s="145"/>
      <c r="O940" s="100"/>
      <c r="P940" s="100"/>
      <c r="Q940" s="101"/>
      <c r="R940" s="93" t="s">
        <v>36</v>
      </c>
      <c r="S940" s="93"/>
      <c r="T940" s="93"/>
      <c r="U940" s="94"/>
    </row>
    <row r="941" spans="1:21" x14ac:dyDescent="0.4">
      <c r="A941" s="86">
        <f t="shared" si="14"/>
        <v>937</v>
      </c>
      <c r="B941" s="92"/>
      <c r="C941" s="190"/>
      <c r="D941" s="164"/>
      <c r="E941" s="103"/>
      <c r="F941" s="103"/>
      <c r="G941" s="103"/>
      <c r="H941" s="149"/>
      <c r="I941" s="104"/>
      <c r="J941" s="109" t="s">
        <v>1843</v>
      </c>
      <c r="K941" s="100"/>
      <c r="L941" s="145"/>
      <c r="M941" s="145"/>
      <c r="N941" s="145"/>
      <c r="O941" s="100"/>
      <c r="P941" s="100"/>
      <c r="Q941" s="101"/>
      <c r="R941" s="93" t="s">
        <v>1239</v>
      </c>
      <c r="S941" s="93"/>
      <c r="T941" s="93"/>
      <c r="U941" s="94"/>
    </row>
    <row r="942" spans="1:21" x14ac:dyDescent="0.4">
      <c r="A942" s="86">
        <f t="shared" si="14"/>
        <v>938</v>
      </c>
      <c r="B942" s="92"/>
      <c r="C942" s="190"/>
      <c r="D942" s="164"/>
      <c r="E942" s="103"/>
      <c r="F942" s="103"/>
      <c r="G942" s="103"/>
      <c r="H942" s="149"/>
      <c r="I942" s="104"/>
      <c r="J942" s="104"/>
      <c r="K942" s="70" t="s">
        <v>1813</v>
      </c>
      <c r="L942" s="145"/>
      <c r="M942" s="145"/>
      <c r="N942" s="145"/>
      <c r="O942" s="100"/>
      <c r="P942" s="100"/>
      <c r="Q942" s="101"/>
      <c r="R942" s="93" t="s">
        <v>36</v>
      </c>
      <c r="S942" s="93"/>
      <c r="T942" s="93"/>
      <c r="U942" s="94"/>
    </row>
    <row r="943" spans="1:21" x14ac:dyDescent="0.4">
      <c r="A943" s="86">
        <f t="shared" si="14"/>
        <v>939</v>
      </c>
      <c r="B943" s="92"/>
      <c r="C943" s="190"/>
      <c r="D943" s="164"/>
      <c r="E943" s="103"/>
      <c r="F943" s="103"/>
      <c r="G943" s="103"/>
      <c r="H943" s="149"/>
      <c r="I943" s="104"/>
      <c r="J943" s="104"/>
      <c r="K943" s="104"/>
      <c r="L943" s="145" t="s">
        <v>2916</v>
      </c>
      <c r="M943" s="145"/>
      <c r="N943" s="145"/>
      <c r="O943" s="100"/>
      <c r="P943" s="100"/>
      <c r="Q943" s="101"/>
      <c r="R943" s="93" t="s">
        <v>2982</v>
      </c>
      <c r="S943" s="93"/>
      <c r="T943" s="93"/>
      <c r="U943" s="94"/>
    </row>
    <row r="944" spans="1:21" x14ac:dyDescent="0.4">
      <c r="A944" s="86">
        <f t="shared" si="14"/>
        <v>940</v>
      </c>
      <c r="B944" s="92"/>
      <c r="C944" s="190"/>
      <c r="D944" s="164"/>
      <c r="E944" s="103"/>
      <c r="F944" s="103"/>
      <c r="G944" s="103"/>
      <c r="H944" s="149"/>
      <c r="I944" s="108"/>
      <c r="J944" s="108"/>
      <c r="K944" s="108"/>
      <c r="L944" s="145" t="s">
        <v>1815</v>
      </c>
      <c r="M944" s="145"/>
      <c r="N944" s="145"/>
      <c r="O944" s="100"/>
      <c r="P944" s="100"/>
      <c r="Q944" s="101"/>
      <c r="R944" s="93" t="s">
        <v>36</v>
      </c>
      <c r="S944" s="93"/>
      <c r="T944" s="93"/>
      <c r="U944" s="94"/>
    </row>
    <row r="945" spans="1:21" x14ac:dyDescent="0.4">
      <c r="A945" s="86">
        <f t="shared" si="14"/>
        <v>941</v>
      </c>
      <c r="B945" s="92"/>
      <c r="C945" s="190"/>
      <c r="D945" s="164"/>
      <c r="E945" s="103"/>
      <c r="F945" s="103"/>
      <c r="G945" s="103"/>
      <c r="H945" s="149"/>
      <c r="I945" s="70" t="s">
        <v>1850</v>
      </c>
      <c r="J945" s="145"/>
      <c r="K945" s="145"/>
      <c r="L945" s="145"/>
      <c r="M945" s="145"/>
      <c r="N945" s="145"/>
      <c r="O945" s="100"/>
      <c r="P945" s="100"/>
      <c r="Q945" s="101"/>
      <c r="R945" s="93" t="s">
        <v>1239</v>
      </c>
      <c r="S945" s="93"/>
      <c r="T945" s="93"/>
      <c r="U945" s="94"/>
    </row>
    <row r="946" spans="1:21" x14ac:dyDescent="0.4">
      <c r="A946" s="86">
        <f t="shared" si="14"/>
        <v>942</v>
      </c>
      <c r="B946" s="92"/>
      <c r="C946" s="190"/>
      <c r="D946" s="164"/>
      <c r="E946" s="103"/>
      <c r="F946" s="103"/>
      <c r="G946" s="103"/>
      <c r="H946" s="149"/>
      <c r="I946" s="104"/>
      <c r="J946" s="70" t="s">
        <v>1812</v>
      </c>
      <c r="K946" s="145"/>
      <c r="L946" s="145"/>
      <c r="M946" s="145"/>
      <c r="N946" s="145"/>
      <c r="O946" s="100"/>
      <c r="P946" s="100"/>
      <c r="Q946" s="101"/>
      <c r="R946" s="93" t="s">
        <v>1239</v>
      </c>
      <c r="S946" s="93"/>
      <c r="T946" s="93"/>
      <c r="U946" s="94"/>
    </row>
    <row r="947" spans="1:21" x14ac:dyDescent="0.4">
      <c r="A947" s="86">
        <f t="shared" si="14"/>
        <v>943</v>
      </c>
      <c r="B947" s="92"/>
      <c r="C947" s="190"/>
      <c r="D947" s="164"/>
      <c r="E947" s="103"/>
      <c r="F947" s="103"/>
      <c r="G947" s="103"/>
      <c r="H947" s="149"/>
      <c r="I947" s="104"/>
      <c r="J947" s="104"/>
      <c r="K947" s="70" t="s">
        <v>1813</v>
      </c>
      <c r="L947" s="145"/>
      <c r="M947" s="145"/>
      <c r="N947" s="145"/>
      <c r="O947" s="100"/>
      <c r="P947" s="100"/>
      <c r="Q947" s="101"/>
      <c r="R947" s="93" t="s">
        <v>36</v>
      </c>
      <c r="S947" s="93"/>
      <c r="T947" s="93"/>
      <c r="U947" s="94"/>
    </row>
    <row r="948" spans="1:21" x14ac:dyDescent="0.4">
      <c r="A948" s="86">
        <f t="shared" si="14"/>
        <v>944</v>
      </c>
      <c r="B948" s="92"/>
      <c r="C948" s="190"/>
      <c r="D948" s="164"/>
      <c r="E948" s="103"/>
      <c r="F948" s="103"/>
      <c r="G948" s="103"/>
      <c r="H948" s="149"/>
      <c r="I948" s="104"/>
      <c r="J948" s="104"/>
      <c r="K948" s="104"/>
      <c r="L948" s="145" t="s">
        <v>2916</v>
      </c>
      <c r="M948" s="145"/>
      <c r="N948" s="145"/>
      <c r="O948" s="100"/>
      <c r="P948" s="100"/>
      <c r="Q948" s="101"/>
      <c r="R948" s="93" t="s">
        <v>2982</v>
      </c>
      <c r="S948" s="93"/>
      <c r="T948" s="93"/>
      <c r="U948" s="94"/>
    </row>
    <row r="949" spans="1:21" x14ac:dyDescent="0.4">
      <c r="A949" s="86">
        <f t="shared" si="14"/>
        <v>945</v>
      </c>
      <c r="B949" s="92"/>
      <c r="C949" s="190"/>
      <c r="D949" s="164"/>
      <c r="E949" s="103"/>
      <c r="F949" s="103"/>
      <c r="G949" s="103"/>
      <c r="H949" s="149"/>
      <c r="I949" s="104"/>
      <c r="J949" s="104"/>
      <c r="K949" s="104"/>
      <c r="L949" s="145" t="s">
        <v>1814</v>
      </c>
      <c r="M949" s="145"/>
      <c r="N949" s="145"/>
      <c r="O949" s="100"/>
      <c r="P949" s="100"/>
      <c r="Q949" s="101"/>
      <c r="R949" s="93" t="s">
        <v>36</v>
      </c>
      <c r="S949" s="93"/>
      <c r="T949" s="93"/>
      <c r="U949" s="94"/>
    </row>
    <row r="950" spans="1:21" x14ac:dyDescent="0.4">
      <c r="A950" s="86">
        <f t="shared" si="14"/>
        <v>946</v>
      </c>
      <c r="B950" s="92"/>
      <c r="C950" s="190"/>
      <c r="D950" s="164"/>
      <c r="E950" s="103"/>
      <c r="F950" s="103"/>
      <c r="G950" s="103"/>
      <c r="H950" s="149"/>
      <c r="I950" s="104"/>
      <c r="J950" s="104"/>
      <c r="K950" s="108"/>
      <c r="L950" s="145" t="s">
        <v>1815</v>
      </c>
      <c r="M950" s="145"/>
      <c r="N950" s="145"/>
      <c r="O950" s="100"/>
      <c r="P950" s="100"/>
      <c r="Q950" s="101"/>
      <c r="R950" s="93" t="s">
        <v>36</v>
      </c>
      <c r="S950" s="93"/>
      <c r="T950" s="93"/>
      <c r="U950" s="94"/>
    </row>
    <row r="951" spans="1:21" x14ac:dyDescent="0.4">
      <c r="A951" s="86">
        <f t="shared" si="14"/>
        <v>947</v>
      </c>
      <c r="B951" s="92"/>
      <c r="C951" s="190"/>
      <c r="D951" s="164"/>
      <c r="E951" s="103"/>
      <c r="F951" s="103"/>
      <c r="G951" s="103"/>
      <c r="H951" s="149"/>
      <c r="I951" s="104"/>
      <c r="J951" s="109" t="s">
        <v>1816</v>
      </c>
      <c r="K951" s="145"/>
      <c r="L951" s="145"/>
      <c r="M951" s="145"/>
      <c r="N951" s="145"/>
      <c r="O951" s="100"/>
      <c r="P951" s="100"/>
      <c r="Q951" s="101"/>
      <c r="R951" s="93" t="s">
        <v>1239</v>
      </c>
      <c r="S951" s="93"/>
      <c r="T951" s="93"/>
      <c r="U951" s="94"/>
    </row>
    <row r="952" spans="1:21" x14ac:dyDescent="0.4">
      <c r="A952" s="86">
        <f t="shared" si="14"/>
        <v>948</v>
      </c>
      <c r="B952" s="92"/>
      <c r="C952" s="190"/>
      <c r="D952" s="164"/>
      <c r="E952" s="103"/>
      <c r="F952" s="103"/>
      <c r="G952" s="103"/>
      <c r="H952" s="149"/>
      <c r="I952" s="104"/>
      <c r="J952" s="104"/>
      <c r="K952" s="70" t="s">
        <v>1813</v>
      </c>
      <c r="L952" s="145"/>
      <c r="M952" s="145"/>
      <c r="N952" s="145"/>
      <c r="O952" s="100"/>
      <c r="P952" s="100"/>
      <c r="Q952" s="101"/>
      <c r="R952" s="93" t="s">
        <v>36</v>
      </c>
      <c r="S952" s="93"/>
      <c r="T952" s="93"/>
      <c r="U952" s="94"/>
    </row>
    <row r="953" spans="1:21" x14ac:dyDescent="0.4">
      <c r="A953" s="86">
        <f t="shared" si="14"/>
        <v>949</v>
      </c>
      <c r="B953" s="92"/>
      <c r="C953" s="190"/>
      <c r="D953" s="164"/>
      <c r="E953" s="103"/>
      <c r="F953" s="103"/>
      <c r="G953" s="103"/>
      <c r="H953" s="149"/>
      <c r="I953" s="104"/>
      <c r="J953" s="104"/>
      <c r="K953" s="104"/>
      <c r="L953" s="145" t="s">
        <v>2916</v>
      </c>
      <c r="M953" s="145"/>
      <c r="N953" s="145"/>
      <c r="O953" s="100"/>
      <c r="P953" s="100"/>
      <c r="Q953" s="101"/>
      <c r="R953" s="93" t="s">
        <v>2982</v>
      </c>
      <c r="S953" s="93"/>
      <c r="T953" s="93"/>
      <c r="U953" s="94"/>
    </row>
    <row r="954" spans="1:21" x14ac:dyDescent="0.4">
      <c r="A954" s="86">
        <f t="shared" si="14"/>
        <v>950</v>
      </c>
      <c r="B954" s="92"/>
      <c r="C954" s="190"/>
      <c r="D954" s="164"/>
      <c r="E954" s="103"/>
      <c r="F954" s="103"/>
      <c r="G954" s="103"/>
      <c r="H954" s="149"/>
      <c r="I954" s="104"/>
      <c r="J954" s="104"/>
      <c r="K954" s="108"/>
      <c r="L954" s="145" t="s">
        <v>1815</v>
      </c>
      <c r="M954" s="145"/>
      <c r="N954" s="145"/>
      <c r="O954" s="100"/>
      <c r="P954" s="100"/>
      <c r="Q954" s="101"/>
      <c r="R954" s="93" t="s">
        <v>36</v>
      </c>
      <c r="S954" s="93"/>
      <c r="T954" s="93"/>
      <c r="U954" s="94"/>
    </row>
    <row r="955" spans="1:21" x14ac:dyDescent="0.4">
      <c r="A955" s="86">
        <f t="shared" si="14"/>
        <v>951</v>
      </c>
      <c r="B955" s="92"/>
      <c r="C955" s="190"/>
      <c r="D955" s="164"/>
      <c r="E955" s="103"/>
      <c r="F955" s="103"/>
      <c r="G955" s="103"/>
      <c r="H955" s="149"/>
      <c r="I955" s="104"/>
      <c r="J955" s="109" t="s">
        <v>1817</v>
      </c>
      <c r="K955" s="145"/>
      <c r="L955" s="145"/>
      <c r="M955" s="145"/>
      <c r="N955" s="145"/>
      <c r="O955" s="100"/>
      <c r="P955" s="100"/>
      <c r="Q955" s="101"/>
      <c r="R955" s="93" t="s">
        <v>1239</v>
      </c>
      <c r="S955" s="93"/>
      <c r="T955" s="93"/>
      <c r="U955" s="94"/>
    </row>
    <row r="956" spans="1:21" x14ac:dyDescent="0.4">
      <c r="A956" s="86">
        <f t="shared" si="14"/>
        <v>952</v>
      </c>
      <c r="B956" s="92"/>
      <c r="C956" s="190"/>
      <c r="D956" s="164"/>
      <c r="E956" s="103"/>
      <c r="F956" s="103"/>
      <c r="G956" s="103"/>
      <c r="H956" s="149"/>
      <c r="I956" s="104"/>
      <c r="J956" s="104"/>
      <c r="K956" s="70" t="s">
        <v>1813</v>
      </c>
      <c r="L956" s="145"/>
      <c r="M956" s="145"/>
      <c r="N956" s="145"/>
      <c r="O956" s="100"/>
      <c r="P956" s="100"/>
      <c r="Q956" s="101"/>
      <c r="R956" s="93" t="s">
        <v>36</v>
      </c>
      <c r="S956" s="93"/>
      <c r="T956" s="93"/>
      <c r="U956" s="94"/>
    </row>
    <row r="957" spans="1:21" x14ac:dyDescent="0.4">
      <c r="A957" s="86">
        <f t="shared" si="14"/>
        <v>953</v>
      </c>
      <c r="B957" s="92"/>
      <c r="C957" s="190"/>
      <c r="D957" s="164"/>
      <c r="E957" s="103"/>
      <c r="F957" s="103"/>
      <c r="G957" s="103"/>
      <c r="H957" s="149"/>
      <c r="I957" s="104"/>
      <c r="J957" s="104"/>
      <c r="K957" s="104"/>
      <c r="L957" s="145" t="s">
        <v>2916</v>
      </c>
      <c r="M957" s="145"/>
      <c r="N957" s="145"/>
      <c r="O957" s="100"/>
      <c r="P957" s="100"/>
      <c r="Q957" s="101"/>
      <c r="R957" s="93" t="s">
        <v>2927</v>
      </c>
      <c r="S957" s="93"/>
      <c r="T957" s="93"/>
      <c r="U957" s="94"/>
    </row>
    <row r="958" spans="1:21" x14ac:dyDescent="0.4">
      <c r="A958" s="86">
        <f t="shared" si="14"/>
        <v>954</v>
      </c>
      <c r="B958" s="92"/>
      <c r="C958" s="190"/>
      <c r="D958" s="164"/>
      <c r="E958" s="103"/>
      <c r="F958" s="103"/>
      <c r="G958" s="103"/>
      <c r="H958" s="149"/>
      <c r="I958" s="104"/>
      <c r="J958" s="104"/>
      <c r="K958" s="108"/>
      <c r="L958" s="145" t="s">
        <v>1815</v>
      </c>
      <c r="M958" s="145"/>
      <c r="N958" s="145"/>
      <c r="O958" s="100"/>
      <c r="P958" s="100"/>
      <c r="Q958" s="101"/>
      <c r="R958" s="93" t="s">
        <v>36</v>
      </c>
      <c r="S958" s="93"/>
      <c r="T958" s="93"/>
      <c r="U958" s="94"/>
    </row>
    <row r="959" spans="1:21" x14ac:dyDescent="0.4">
      <c r="A959" s="86">
        <f t="shared" si="14"/>
        <v>955</v>
      </c>
      <c r="B959" s="92"/>
      <c r="C959" s="190"/>
      <c r="D959" s="164"/>
      <c r="E959" s="103"/>
      <c r="F959" s="103"/>
      <c r="G959" s="103"/>
      <c r="H959" s="149"/>
      <c r="I959" s="104"/>
      <c r="J959" s="109" t="s">
        <v>1818</v>
      </c>
      <c r="K959" s="145"/>
      <c r="L959" s="145"/>
      <c r="M959" s="145"/>
      <c r="N959" s="145"/>
      <c r="O959" s="100"/>
      <c r="P959" s="100"/>
      <c r="Q959" s="101"/>
      <c r="R959" s="93" t="s">
        <v>1239</v>
      </c>
      <c r="S959" s="93"/>
      <c r="T959" s="93"/>
      <c r="U959" s="94"/>
    </row>
    <row r="960" spans="1:21" x14ac:dyDescent="0.4">
      <c r="A960" s="86">
        <f t="shared" si="14"/>
        <v>956</v>
      </c>
      <c r="B960" s="92"/>
      <c r="C960" s="190"/>
      <c r="D960" s="164"/>
      <c r="E960" s="103"/>
      <c r="F960" s="103"/>
      <c r="G960" s="103"/>
      <c r="H960" s="149"/>
      <c r="I960" s="104"/>
      <c r="J960" s="104"/>
      <c r="K960" s="70" t="s">
        <v>1813</v>
      </c>
      <c r="L960" s="145"/>
      <c r="M960" s="145"/>
      <c r="N960" s="145"/>
      <c r="O960" s="100"/>
      <c r="P960" s="100"/>
      <c r="Q960" s="101"/>
      <c r="R960" s="93" t="s">
        <v>36</v>
      </c>
      <c r="S960" s="93"/>
      <c r="T960" s="93"/>
      <c r="U960" s="94"/>
    </row>
    <row r="961" spans="1:21" x14ac:dyDescent="0.4">
      <c r="A961" s="86">
        <f t="shared" si="14"/>
        <v>957</v>
      </c>
      <c r="B961" s="92"/>
      <c r="C961" s="190"/>
      <c r="D961" s="164"/>
      <c r="E961" s="103"/>
      <c r="F961" s="103"/>
      <c r="G961" s="103"/>
      <c r="H961" s="149"/>
      <c r="I961" s="104"/>
      <c r="J961" s="104"/>
      <c r="K961" s="104"/>
      <c r="L961" s="145" t="s">
        <v>2916</v>
      </c>
      <c r="M961" s="145"/>
      <c r="N961" s="145"/>
      <c r="O961" s="100"/>
      <c r="P961" s="100"/>
      <c r="Q961" s="101"/>
      <c r="R961" s="93" t="s">
        <v>2927</v>
      </c>
      <c r="S961" s="93"/>
      <c r="T961" s="93"/>
      <c r="U961" s="94"/>
    </row>
    <row r="962" spans="1:21" x14ac:dyDescent="0.4">
      <c r="A962" s="86">
        <f t="shared" si="14"/>
        <v>958</v>
      </c>
      <c r="B962" s="92"/>
      <c r="C962" s="190"/>
      <c r="D962" s="164"/>
      <c r="E962" s="103"/>
      <c r="F962" s="103"/>
      <c r="G962" s="103"/>
      <c r="H962" s="149"/>
      <c r="I962" s="104"/>
      <c r="J962" s="104"/>
      <c r="K962" s="108"/>
      <c r="L962" s="145" t="s">
        <v>1815</v>
      </c>
      <c r="M962" s="145"/>
      <c r="N962" s="145"/>
      <c r="O962" s="100"/>
      <c r="P962" s="100"/>
      <c r="Q962" s="101"/>
      <c r="R962" s="93" t="s">
        <v>36</v>
      </c>
      <c r="S962" s="93"/>
      <c r="T962" s="93"/>
      <c r="U962" s="94"/>
    </row>
    <row r="963" spans="1:21" x14ac:dyDescent="0.4">
      <c r="A963" s="86">
        <f t="shared" si="14"/>
        <v>959</v>
      </c>
      <c r="B963" s="92"/>
      <c r="C963" s="190"/>
      <c r="D963" s="164"/>
      <c r="E963" s="103"/>
      <c r="F963" s="103"/>
      <c r="G963" s="103"/>
      <c r="H963" s="149"/>
      <c r="I963" s="104"/>
      <c r="J963" s="109" t="s">
        <v>1819</v>
      </c>
      <c r="K963" s="145"/>
      <c r="L963" s="145"/>
      <c r="M963" s="145"/>
      <c r="N963" s="145"/>
      <c r="O963" s="100"/>
      <c r="P963" s="100"/>
      <c r="Q963" s="101"/>
      <c r="R963" s="93" t="s">
        <v>1239</v>
      </c>
      <c r="S963" s="93"/>
      <c r="T963" s="93"/>
      <c r="U963" s="94"/>
    </row>
    <row r="964" spans="1:21" x14ac:dyDescent="0.4">
      <c r="A964" s="86">
        <f t="shared" si="14"/>
        <v>960</v>
      </c>
      <c r="B964" s="92"/>
      <c r="C964" s="190"/>
      <c r="D964" s="164"/>
      <c r="E964" s="103"/>
      <c r="F964" s="103"/>
      <c r="G964" s="103"/>
      <c r="H964" s="149"/>
      <c r="I964" s="104"/>
      <c r="J964" s="104"/>
      <c r="K964" s="70" t="s">
        <v>1813</v>
      </c>
      <c r="L964" s="145"/>
      <c r="M964" s="145"/>
      <c r="N964" s="145"/>
      <c r="O964" s="100"/>
      <c r="P964" s="100"/>
      <c r="Q964" s="101"/>
      <c r="R964" s="93" t="s">
        <v>36</v>
      </c>
      <c r="S964" s="93"/>
      <c r="T964" s="93"/>
      <c r="U964" s="94"/>
    </row>
    <row r="965" spans="1:21" x14ac:dyDescent="0.4">
      <c r="A965" s="86">
        <f t="shared" si="14"/>
        <v>961</v>
      </c>
      <c r="B965" s="92"/>
      <c r="C965" s="190"/>
      <c r="D965" s="164"/>
      <c r="E965" s="103"/>
      <c r="F965" s="103"/>
      <c r="G965" s="103"/>
      <c r="H965" s="149"/>
      <c r="I965" s="104"/>
      <c r="J965" s="104"/>
      <c r="K965" s="104"/>
      <c r="L965" s="145" t="s">
        <v>2916</v>
      </c>
      <c r="M965" s="145"/>
      <c r="N965" s="145"/>
      <c r="O965" s="100"/>
      <c r="P965" s="100"/>
      <c r="Q965" s="101"/>
      <c r="R965" s="93" t="s">
        <v>2927</v>
      </c>
      <c r="S965" s="93"/>
      <c r="T965" s="93"/>
      <c r="U965" s="94"/>
    </row>
    <row r="966" spans="1:21" x14ac:dyDescent="0.4">
      <c r="A966" s="86">
        <f t="shared" si="14"/>
        <v>962</v>
      </c>
      <c r="B966" s="92"/>
      <c r="C966" s="190"/>
      <c r="D966" s="164"/>
      <c r="E966" s="103"/>
      <c r="F966" s="103"/>
      <c r="G966" s="103"/>
      <c r="H966" s="149"/>
      <c r="I966" s="104"/>
      <c r="J966" s="104"/>
      <c r="K966" s="104"/>
      <c r="L966" s="145" t="s">
        <v>1820</v>
      </c>
      <c r="M966" s="145"/>
      <c r="N966" s="145"/>
      <c r="O966" s="100"/>
      <c r="P966" s="100"/>
      <c r="Q966" s="101"/>
      <c r="R966" s="93" t="s">
        <v>36</v>
      </c>
      <c r="S966" s="93"/>
      <c r="T966" s="93"/>
      <c r="U966" s="94"/>
    </row>
    <row r="967" spans="1:21" x14ac:dyDescent="0.4">
      <c r="A967" s="86">
        <f t="shared" ref="A967:A1030" si="15">A966+1</f>
        <v>963</v>
      </c>
      <c r="B967" s="92"/>
      <c r="C967" s="190"/>
      <c r="D967" s="164"/>
      <c r="E967" s="103"/>
      <c r="F967" s="103"/>
      <c r="G967" s="103"/>
      <c r="H967" s="149"/>
      <c r="I967" s="104"/>
      <c r="J967" s="104"/>
      <c r="K967" s="108"/>
      <c r="L967" s="145" t="s">
        <v>1815</v>
      </c>
      <c r="M967" s="145"/>
      <c r="N967" s="145"/>
      <c r="O967" s="100"/>
      <c r="P967" s="100"/>
      <c r="Q967" s="101"/>
      <c r="R967" s="93" t="s">
        <v>36</v>
      </c>
      <c r="S967" s="93"/>
      <c r="T967" s="93"/>
      <c r="U967" s="94"/>
    </row>
    <row r="968" spans="1:21" x14ac:dyDescent="0.4">
      <c r="A968" s="86">
        <f t="shared" si="15"/>
        <v>964</v>
      </c>
      <c r="B968" s="92"/>
      <c r="C968" s="190"/>
      <c r="D968" s="164"/>
      <c r="E968" s="103"/>
      <c r="F968" s="103"/>
      <c r="G968" s="103"/>
      <c r="H968" s="149"/>
      <c r="I968" s="104"/>
      <c r="J968" s="109" t="s">
        <v>1821</v>
      </c>
      <c r="K968" s="145"/>
      <c r="L968" s="145"/>
      <c r="M968" s="145"/>
      <c r="N968" s="145"/>
      <c r="O968" s="100"/>
      <c r="P968" s="100"/>
      <c r="Q968" s="101"/>
      <c r="R968" s="93" t="s">
        <v>1239</v>
      </c>
      <c r="S968" s="93"/>
      <c r="T968" s="93"/>
      <c r="U968" s="94"/>
    </row>
    <row r="969" spans="1:21" x14ac:dyDescent="0.4">
      <c r="A969" s="86">
        <f t="shared" si="15"/>
        <v>965</v>
      </c>
      <c r="B969" s="92"/>
      <c r="C969" s="190"/>
      <c r="D969" s="164"/>
      <c r="E969" s="103"/>
      <c r="F969" s="103"/>
      <c r="G969" s="103"/>
      <c r="H969" s="149"/>
      <c r="I969" s="104"/>
      <c r="J969" s="104"/>
      <c r="K969" s="70" t="s">
        <v>1813</v>
      </c>
      <c r="L969" s="145"/>
      <c r="M969" s="145"/>
      <c r="N969" s="145"/>
      <c r="O969" s="100"/>
      <c r="P969" s="100"/>
      <c r="Q969" s="101"/>
      <c r="R969" s="93" t="s">
        <v>36</v>
      </c>
      <c r="S969" s="93"/>
      <c r="T969" s="93"/>
      <c r="U969" s="94"/>
    </row>
    <row r="970" spans="1:21" x14ac:dyDescent="0.4">
      <c r="A970" s="86">
        <f t="shared" si="15"/>
        <v>966</v>
      </c>
      <c r="B970" s="92"/>
      <c r="C970" s="190"/>
      <c r="D970" s="164"/>
      <c r="E970" s="103"/>
      <c r="F970" s="103"/>
      <c r="G970" s="103"/>
      <c r="H970" s="149"/>
      <c r="I970" s="104"/>
      <c r="J970" s="104"/>
      <c r="K970" s="104"/>
      <c r="L970" s="145" t="s">
        <v>2916</v>
      </c>
      <c r="M970" s="145"/>
      <c r="N970" s="145"/>
      <c r="O970" s="100"/>
      <c r="P970" s="100"/>
      <c r="Q970" s="101"/>
      <c r="R970" s="93" t="s">
        <v>2927</v>
      </c>
      <c r="S970" s="93"/>
      <c r="T970" s="93"/>
      <c r="U970" s="94"/>
    </row>
    <row r="971" spans="1:21" x14ac:dyDescent="0.4">
      <c r="A971" s="86">
        <f t="shared" si="15"/>
        <v>967</v>
      </c>
      <c r="B971" s="92"/>
      <c r="C971" s="190"/>
      <c r="D971" s="164"/>
      <c r="E971" s="103"/>
      <c r="F971" s="103"/>
      <c r="G971" s="103"/>
      <c r="H971" s="149"/>
      <c r="I971" s="104"/>
      <c r="J971" s="104"/>
      <c r="K971" s="108"/>
      <c r="L971" s="145" t="s">
        <v>1822</v>
      </c>
      <c r="M971" s="145"/>
      <c r="N971" s="145"/>
      <c r="O971" s="100"/>
      <c r="P971" s="100"/>
      <c r="Q971" s="101"/>
      <c r="R971" s="93" t="s">
        <v>36</v>
      </c>
      <c r="S971" s="93"/>
      <c r="T971" s="93"/>
      <c r="U971" s="94"/>
    </row>
    <row r="972" spans="1:21" x14ac:dyDescent="0.4">
      <c r="A972" s="86">
        <f t="shared" si="15"/>
        <v>968</v>
      </c>
      <c r="B972" s="92"/>
      <c r="C972" s="190"/>
      <c r="D972" s="164"/>
      <c r="E972" s="103"/>
      <c r="F972" s="103"/>
      <c r="G972" s="103"/>
      <c r="H972" s="149"/>
      <c r="I972" s="104"/>
      <c r="J972" s="109" t="s">
        <v>1823</v>
      </c>
      <c r="K972" s="145"/>
      <c r="L972" s="145"/>
      <c r="M972" s="145"/>
      <c r="N972" s="145"/>
      <c r="O972" s="100"/>
      <c r="P972" s="100"/>
      <c r="Q972" s="101"/>
      <c r="R972" s="93" t="s">
        <v>1239</v>
      </c>
      <c r="S972" s="93"/>
      <c r="T972" s="93"/>
      <c r="U972" s="94"/>
    </row>
    <row r="973" spans="1:21" x14ac:dyDescent="0.4">
      <c r="A973" s="86">
        <f t="shared" si="15"/>
        <v>969</v>
      </c>
      <c r="B973" s="92"/>
      <c r="C973" s="190"/>
      <c r="D973" s="164"/>
      <c r="E973" s="103"/>
      <c r="F973" s="103"/>
      <c r="G973" s="103"/>
      <c r="H973" s="149"/>
      <c r="I973" s="104"/>
      <c r="J973" s="104"/>
      <c r="K973" s="70" t="s">
        <v>1813</v>
      </c>
      <c r="L973" s="145"/>
      <c r="M973" s="145"/>
      <c r="N973" s="145"/>
      <c r="O973" s="100"/>
      <c r="P973" s="100"/>
      <c r="Q973" s="101"/>
      <c r="R973" s="93" t="s">
        <v>36</v>
      </c>
      <c r="S973" s="93"/>
      <c r="T973" s="93"/>
      <c r="U973" s="94"/>
    </row>
    <row r="974" spans="1:21" x14ac:dyDescent="0.4">
      <c r="A974" s="86">
        <f t="shared" si="15"/>
        <v>970</v>
      </c>
      <c r="B974" s="92"/>
      <c r="C974" s="190"/>
      <c r="D974" s="164"/>
      <c r="E974" s="103"/>
      <c r="F974" s="103"/>
      <c r="G974" s="103"/>
      <c r="H974" s="149"/>
      <c r="I974" s="104"/>
      <c r="J974" s="104"/>
      <c r="K974" s="104"/>
      <c r="L974" s="145" t="s">
        <v>2916</v>
      </c>
      <c r="M974" s="145"/>
      <c r="N974" s="145"/>
      <c r="O974" s="100"/>
      <c r="P974" s="100"/>
      <c r="Q974" s="101"/>
      <c r="R974" s="93" t="s">
        <v>2927</v>
      </c>
      <c r="S974" s="93"/>
      <c r="T974" s="93"/>
      <c r="U974" s="94"/>
    </row>
    <row r="975" spans="1:21" x14ac:dyDescent="0.4">
      <c r="A975" s="86">
        <f t="shared" si="15"/>
        <v>971</v>
      </c>
      <c r="B975" s="92"/>
      <c r="C975" s="190"/>
      <c r="D975" s="164"/>
      <c r="E975" s="103"/>
      <c r="F975" s="103"/>
      <c r="G975" s="103"/>
      <c r="H975" s="149"/>
      <c r="I975" s="104"/>
      <c r="J975" s="104"/>
      <c r="K975" s="108"/>
      <c r="L975" s="145" t="s">
        <v>1824</v>
      </c>
      <c r="M975" s="145"/>
      <c r="N975" s="145"/>
      <c r="O975" s="100"/>
      <c r="P975" s="100"/>
      <c r="Q975" s="101"/>
      <c r="R975" s="93" t="s">
        <v>36</v>
      </c>
      <c r="S975" s="93"/>
      <c r="T975" s="93"/>
      <c r="U975" s="94"/>
    </row>
    <row r="976" spans="1:21" x14ac:dyDescent="0.4">
      <c r="A976" s="86">
        <f t="shared" si="15"/>
        <v>972</v>
      </c>
      <c r="B976" s="92"/>
      <c r="C976" s="190"/>
      <c r="D976" s="164"/>
      <c r="E976" s="103"/>
      <c r="F976" s="103"/>
      <c r="G976" s="103"/>
      <c r="H976" s="149"/>
      <c r="I976" s="104"/>
      <c r="J976" s="109" t="s">
        <v>1825</v>
      </c>
      <c r="K976" s="145"/>
      <c r="L976" s="145"/>
      <c r="M976" s="145"/>
      <c r="N976" s="145"/>
      <c r="O976" s="100"/>
      <c r="P976" s="100"/>
      <c r="Q976" s="101"/>
      <c r="R976" s="93" t="s">
        <v>1239</v>
      </c>
      <c r="S976" s="93"/>
      <c r="T976" s="93"/>
      <c r="U976" s="94"/>
    </row>
    <row r="977" spans="1:21" x14ac:dyDescent="0.4">
      <c r="A977" s="86">
        <f t="shared" si="15"/>
        <v>973</v>
      </c>
      <c r="B977" s="92"/>
      <c r="C977" s="190"/>
      <c r="D977" s="164"/>
      <c r="E977" s="103"/>
      <c r="F977" s="103"/>
      <c r="G977" s="103"/>
      <c r="H977" s="149"/>
      <c r="I977" s="104"/>
      <c r="J977" s="104"/>
      <c r="K977" s="70" t="s">
        <v>1813</v>
      </c>
      <c r="L977" s="145"/>
      <c r="M977" s="145"/>
      <c r="N977" s="145"/>
      <c r="O977" s="100"/>
      <c r="P977" s="100"/>
      <c r="Q977" s="101"/>
      <c r="R977" s="93" t="s">
        <v>36</v>
      </c>
      <c r="S977" s="93"/>
      <c r="T977" s="93"/>
      <c r="U977" s="94"/>
    </row>
    <row r="978" spans="1:21" x14ac:dyDescent="0.4">
      <c r="A978" s="86">
        <f t="shared" si="15"/>
        <v>974</v>
      </c>
      <c r="B978" s="92"/>
      <c r="C978" s="190"/>
      <c r="D978" s="164"/>
      <c r="E978" s="103"/>
      <c r="F978" s="103"/>
      <c r="G978" s="103"/>
      <c r="H978" s="149"/>
      <c r="I978" s="104"/>
      <c r="J978" s="104"/>
      <c r="K978" s="104"/>
      <c r="L978" s="145" t="s">
        <v>2916</v>
      </c>
      <c r="M978" s="145"/>
      <c r="N978" s="145"/>
      <c r="O978" s="100"/>
      <c r="P978" s="100"/>
      <c r="Q978" s="101"/>
      <c r="R978" s="93" t="s">
        <v>2927</v>
      </c>
      <c r="S978" s="93"/>
      <c r="T978" s="93"/>
      <c r="U978" s="94"/>
    </row>
    <row r="979" spans="1:21" x14ac:dyDescent="0.4">
      <c r="A979" s="86">
        <f t="shared" si="15"/>
        <v>975</v>
      </c>
      <c r="B979" s="92"/>
      <c r="C979" s="190"/>
      <c r="D979" s="164"/>
      <c r="E979" s="103"/>
      <c r="F979" s="103"/>
      <c r="G979" s="103"/>
      <c r="H979" s="149"/>
      <c r="I979" s="104"/>
      <c r="J979" s="109" t="s">
        <v>1826</v>
      </c>
      <c r="K979" s="100"/>
      <c r="L979" s="145"/>
      <c r="M979" s="145"/>
      <c r="N979" s="145"/>
      <c r="O979" s="100"/>
      <c r="P979" s="100"/>
      <c r="Q979" s="101"/>
      <c r="R979" s="93" t="s">
        <v>1239</v>
      </c>
      <c r="S979" s="93"/>
      <c r="T979" s="93"/>
      <c r="U979" s="94"/>
    </row>
    <row r="980" spans="1:21" x14ac:dyDescent="0.4">
      <c r="A980" s="86">
        <f t="shared" si="15"/>
        <v>976</v>
      </c>
      <c r="B980" s="92"/>
      <c r="C980" s="190"/>
      <c r="D980" s="164"/>
      <c r="E980" s="103"/>
      <c r="F980" s="103"/>
      <c r="G980" s="103"/>
      <c r="H980" s="149"/>
      <c r="I980" s="104"/>
      <c r="J980" s="104"/>
      <c r="K980" s="70" t="s">
        <v>1813</v>
      </c>
      <c r="L980" s="145"/>
      <c r="M980" s="145"/>
      <c r="N980" s="145"/>
      <c r="O980" s="100"/>
      <c r="P980" s="100"/>
      <c r="Q980" s="101"/>
      <c r="R980" s="93" t="s">
        <v>36</v>
      </c>
      <c r="S980" s="93"/>
      <c r="T980" s="93"/>
      <c r="U980" s="94"/>
    </row>
    <row r="981" spans="1:21" x14ac:dyDescent="0.4">
      <c r="A981" s="86">
        <f t="shared" si="15"/>
        <v>977</v>
      </c>
      <c r="B981" s="92"/>
      <c r="C981" s="190"/>
      <c r="D981" s="164"/>
      <c r="E981" s="103"/>
      <c r="F981" s="103"/>
      <c r="G981" s="103"/>
      <c r="H981" s="149"/>
      <c r="I981" s="104"/>
      <c r="J981" s="104"/>
      <c r="K981" s="104"/>
      <c r="L981" s="145" t="s">
        <v>2916</v>
      </c>
      <c r="M981" s="145"/>
      <c r="N981" s="145"/>
      <c r="O981" s="100"/>
      <c r="P981" s="100"/>
      <c r="Q981" s="101"/>
      <c r="R981" s="93" t="s">
        <v>2927</v>
      </c>
      <c r="S981" s="93"/>
      <c r="T981" s="93"/>
      <c r="U981" s="94"/>
    </row>
    <row r="982" spans="1:21" x14ac:dyDescent="0.4">
      <c r="A982" s="86">
        <f t="shared" si="15"/>
        <v>978</v>
      </c>
      <c r="B982" s="92"/>
      <c r="C982" s="190"/>
      <c r="D982" s="164"/>
      <c r="E982" s="103"/>
      <c r="F982" s="103"/>
      <c r="G982" s="103"/>
      <c r="H982" s="149"/>
      <c r="I982" s="104"/>
      <c r="J982" s="104"/>
      <c r="K982" s="108"/>
      <c r="L982" s="145" t="s">
        <v>1815</v>
      </c>
      <c r="M982" s="145"/>
      <c r="N982" s="145"/>
      <c r="O982" s="100"/>
      <c r="P982" s="100"/>
      <c r="Q982" s="101"/>
      <c r="R982" s="93" t="s">
        <v>36</v>
      </c>
      <c r="S982" s="93"/>
      <c r="T982" s="93"/>
      <c r="U982" s="94"/>
    </row>
    <row r="983" spans="1:21" x14ac:dyDescent="0.4">
      <c r="A983" s="86">
        <f t="shared" si="15"/>
        <v>979</v>
      </c>
      <c r="B983" s="92"/>
      <c r="C983" s="190"/>
      <c r="D983" s="164"/>
      <c r="E983" s="103"/>
      <c r="F983" s="103"/>
      <c r="G983" s="103"/>
      <c r="H983" s="149"/>
      <c r="I983" s="104"/>
      <c r="J983" s="109" t="s">
        <v>1827</v>
      </c>
      <c r="K983" s="100"/>
      <c r="L983" s="145"/>
      <c r="M983" s="145"/>
      <c r="N983" s="145"/>
      <c r="O983" s="100"/>
      <c r="P983" s="100"/>
      <c r="Q983" s="101"/>
      <c r="R983" s="93" t="s">
        <v>1239</v>
      </c>
      <c r="S983" s="93"/>
      <c r="T983" s="93"/>
      <c r="U983" s="94"/>
    </row>
    <row r="984" spans="1:21" x14ac:dyDescent="0.4">
      <c r="A984" s="86">
        <f t="shared" si="15"/>
        <v>980</v>
      </c>
      <c r="B984" s="92"/>
      <c r="C984" s="190"/>
      <c r="D984" s="164"/>
      <c r="E984" s="103"/>
      <c r="F984" s="103"/>
      <c r="G984" s="103"/>
      <c r="H984" s="149"/>
      <c r="I984" s="104"/>
      <c r="J984" s="104"/>
      <c r="K984" s="70" t="s">
        <v>1813</v>
      </c>
      <c r="L984" s="145"/>
      <c r="M984" s="145"/>
      <c r="N984" s="145"/>
      <c r="O984" s="100"/>
      <c r="P984" s="100"/>
      <c r="Q984" s="101"/>
      <c r="R984" s="93" t="s">
        <v>36</v>
      </c>
      <c r="S984" s="93"/>
      <c r="T984" s="93"/>
      <c r="U984" s="94"/>
    </row>
    <row r="985" spans="1:21" x14ac:dyDescent="0.4">
      <c r="A985" s="86">
        <f t="shared" si="15"/>
        <v>981</v>
      </c>
      <c r="B985" s="92"/>
      <c r="C985" s="190"/>
      <c r="D985" s="164"/>
      <c r="E985" s="103"/>
      <c r="F985" s="103"/>
      <c r="G985" s="103"/>
      <c r="H985" s="149"/>
      <c r="I985" s="104"/>
      <c r="J985" s="104"/>
      <c r="K985" s="104"/>
      <c r="L985" s="145" t="s">
        <v>2916</v>
      </c>
      <c r="M985" s="145"/>
      <c r="N985" s="145"/>
      <c r="O985" s="100"/>
      <c r="P985" s="100"/>
      <c r="Q985" s="101"/>
      <c r="R985" s="93" t="s">
        <v>2927</v>
      </c>
      <c r="S985" s="93"/>
      <c r="T985" s="93"/>
      <c r="U985" s="94"/>
    </row>
    <row r="986" spans="1:21" x14ac:dyDescent="0.4">
      <c r="A986" s="86">
        <f t="shared" si="15"/>
        <v>982</v>
      </c>
      <c r="B986" s="92"/>
      <c r="C986" s="190"/>
      <c r="D986" s="164"/>
      <c r="E986" s="103"/>
      <c r="F986" s="103"/>
      <c r="G986" s="103"/>
      <c r="H986" s="149"/>
      <c r="I986" s="104"/>
      <c r="J986" s="104"/>
      <c r="K986" s="108"/>
      <c r="L986" s="145" t="s">
        <v>1815</v>
      </c>
      <c r="M986" s="145"/>
      <c r="N986" s="145"/>
      <c r="O986" s="100"/>
      <c r="P986" s="100"/>
      <c r="Q986" s="101"/>
      <c r="R986" s="93" t="s">
        <v>36</v>
      </c>
      <c r="S986" s="93"/>
      <c r="T986" s="93"/>
      <c r="U986" s="94"/>
    </row>
    <row r="987" spans="1:21" x14ac:dyDescent="0.4">
      <c r="A987" s="86">
        <f t="shared" si="15"/>
        <v>983</v>
      </c>
      <c r="B987" s="92"/>
      <c r="C987" s="190"/>
      <c r="D987" s="164"/>
      <c r="E987" s="103"/>
      <c r="F987" s="103"/>
      <c r="G987" s="103"/>
      <c r="H987" s="149"/>
      <c r="I987" s="104"/>
      <c r="J987" s="109" t="s">
        <v>1828</v>
      </c>
      <c r="K987" s="100"/>
      <c r="L987" s="145"/>
      <c r="M987" s="145"/>
      <c r="N987" s="145"/>
      <c r="O987" s="100"/>
      <c r="P987" s="100"/>
      <c r="Q987" s="101"/>
      <c r="R987" s="93" t="s">
        <v>1239</v>
      </c>
      <c r="S987" s="93"/>
      <c r="T987" s="93"/>
      <c r="U987" s="94"/>
    </row>
    <row r="988" spans="1:21" x14ac:dyDescent="0.4">
      <c r="A988" s="86">
        <f t="shared" si="15"/>
        <v>984</v>
      </c>
      <c r="B988" s="92"/>
      <c r="C988" s="190"/>
      <c r="D988" s="164"/>
      <c r="E988" s="103"/>
      <c r="F988" s="103"/>
      <c r="G988" s="103"/>
      <c r="H988" s="149"/>
      <c r="I988" s="104"/>
      <c r="J988" s="104"/>
      <c r="K988" s="70" t="s">
        <v>1813</v>
      </c>
      <c r="L988" s="145"/>
      <c r="M988" s="145"/>
      <c r="N988" s="145"/>
      <c r="O988" s="100"/>
      <c r="P988" s="100"/>
      <c r="Q988" s="101"/>
      <c r="R988" s="93" t="s">
        <v>36</v>
      </c>
      <c r="S988" s="93"/>
      <c r="T988" s="93"/>
      <c r="U988" s="94"/>
    </row>
    <row r="989" spans="1:21" x14ac:dyDescent="0.4">
      <c r="A989" s="86">
        <f t="shared" si="15"/>
        <v>985</v>
      </c>
      <c r="B989" s="92"/>
      <c r="C989" s="190"/>
      <c r="D989" s="164"/>
      <c r="E989" s="103"/>
      <c r="F989" s="103"/>
      <c r="G989" s="103"/>
      <c r="H989" s="149"/>
      <c r="I989" s="104"/>
      <c r="J989" s="104"/>
      <c r="K989" s="104"/>
      <c r="L989" s="145" t="s">
        <v>2916</v>
      </c>
      <c r="M989" s="145"/>
      <c r="N989" s="145"/>
      <c r="O989" s="100"/>
      <c r="P989" s="100"/>
      <c r="Q989" s="101"/>
      <c r="R989" s="93" t="s">
        <v>2927</v>
      </c>
      <c r="S989" s="93"/>
      <c r="T989" s="93"/>
      <c r="U989" s="94"/>
    </row>
    <row r="990" spans="1:21" x14ac:dyDescent="0.4">
      <c r="A990" s="86">
        <f t="shared" si="15"/>
        <v>986</v>
      </c>
      <c r="B990" s="92"/>
      <c r="C990" s="190"/>
      <c r="D990" s="164"/>
      <c r="E990" s="103"/>
      <c r="F990" s="103"/>
      <c r="G990" s="103"/>
      <c r="H990" s="149"/>
      <c r="I990" s="104"/>
      <c r="J990" s="104"/>
      <c r="K990" s="104"/>
      <c r="L990" s="145" t="s">
        <v>1829</v>
      </c>
      <c r="M990" s="145"/>
      <c r="N990" s="145"/>
      <c r="O990" s="100"/>
      <c r="P990" s="100"/>
      <c r="Q990" s="101"/>
      <c r="R990" s="93" t="s">
        <v>36</v>
      </c>
      <c r="S990" s="93"/>
      <c r="T990" s="93"/>
      <c r="U990" s="94"/>
    </row>
    <row r="991" spans="1:21" x14ac:dyDescent="0.4">
      <c r="A991" s="86">
        <f t="shared" si="15"/>
        <v>987</v>
      </c>
      <c r="B991" s="92"/>
      <c r="C991" s="190"/>
      <c r="D991" s="164"/>
      <c r="E991" s="103"/>
      <c r="F991" s="103"/>
      <c r="G991" s="103"/>
      <c r="H991" s="149"/>
      <c r="I991" s="104"/>
      <c r="J991" s="104"/>
      <c r="K991" s="108"/>
      <c r="L991" s="145" t="s">
        <v>1815</v>
      </c>
      <c r="M991" s="145"/>
      <c r="N991" s="145"/>
      <c r="O991" s="100"/>
      <c r="P991" s="100"/>
      <c r="Q991" s="101"/>
      <c r="R991" s="93" t="s">
        <v>36</v>
      </c>
      <c r="S991" s="93"/>
      <c r="T991" s="93"/>
      <c r="U991" s="94"/>
    </row>
    <row r="992" spans="1:21" x14ac:dyDescent="0.4">
      <c r="A992" s="86">
        <f t="shared" si="15"/>
        <v>988</v>
      </c>
      <c r="B992" s="92"/>
      <c r="C992" s="190"/>
      <c r="D992" s="164"/>
      <c r="E992" s="103"/>
      <c r="F992" s="103"/>
      <c r="G992" s="103"/>
      <c r="H992" s="149"/>
      <c r="I992" s="104"/>
      <c r="J992" s="109" t="s">
        <v>1830</v>
      </c>
      <c r="K992" s="100"/>
      <c r="L992" s="145"/>
      <c r="M992" s="145"/>
      <c r="N992" s="145"/>
      <c r="O992" s="100"/>
      <c r="P992" s="100"/>
      <c r="Q992" s="101"/>
      <c r="R992" s="93" t="s">
        <v>1239</v>
      </c>
      <c r="S992" s="93"/>
      <c r="T992" s="93"/>
      <c r="U992" s="94"/>
    </row>
    <row r="993" spans="1:21" x14ac:dyDescent="0.4">
      <c r="A993" s="86">
        <f t="shared" si="15"/>
        <v>989</v>
      </c>
      <c r="B993" s="92"/>
      <c r="C993" s="190"/>
      <c r="D993" s="164"/>
      <c r="E993" s="103"/>
      <c r="F993" s="103"/>
      <c r="G993" s="103"/>
      <c r="H993" s="149"/>
      <c r="I993" s="104"/>
      <c r="J993" s="104"/>
      <c r="K993" s="70" t="s">
        <v>1813</v>
      </c>
      <c r="L993" s="145"/>
      <c r="M993" s="145"/>
      <c r="N993" s="145"/>
      <c r="O993" s="100"/>
      <c r="P993" s="100"/>
      <c r="Q993" s="101"/>
      <c r="R993" s="93" t="s">
        <v>20</v>
      </c>
      <c r="S993" s="93"/>
      <c r="T993" s="93"/>
      <c r="U993" s="94"/>
    </row>
    <row r="994" spans="1:21" x14ac:dyDescent="0.4">
      <c r="A994" s="86">
        <f t="shared" si="15"/>
        <v>990</v>
      </c>
      <c r="B994" s="92"/>
      <c r="C994" s="190"/>
      <c r="D994" s="164"/>
      <c r="E994" s="103"/>
      <c r="F994" s="103"/>
      <c r="G994" s="103"/>
      <c r="H994" s="149"/>
      <c r="I994" s="104"/>
      <c r="J994" s="104"/>
      <c r="K994" s="104"/>
      <c r="L994" s="145" t="s">
        <v>2916</v>
      </c>
      <c r="M994" s="145"/>
      <c r="N994" s="145"/>
      <c r="O994" s="100"/>
      <c r="P994" s="100"/>
      <c r="Q994" s="101"/>
      <c r="R994" s="93" t="s">
        <v>2982</v>
      </c>
      <c r="S994" s="93"/>
      <c r="T994" s="93"/>
      <c r="U994" s="94"/>
    </row>
    <row r="995" spans="1:21" x14ac:dyDescent="0.4">
      <c r="A995" s="86">
        <f t="shared" si="15"/>
        <v>991</v>
      </c>
      <c r="B995" s="92"/>
      <c r="C995" s="190"/>
      <c r="D995" s="164"/>
      <c r="E995" s="103"/>
      <c r="F995" s="103"/>
      <c r="G995" s="103"/>
      <c r="H995" s="149"/>
      <c r="I995" s="104"/>
      <c r="J995" s="104"/>
      <c r="K995" s="108"/>
      <c r="L995" s="145" t="s">
        <v>1831</v>
      </c>
      <c r="M995" s="145"/>
      <c r="N995" s="145"/>
      <c r="O995" s="100"/>
      <c r="P995" s="100"/>
      <c r="Q995" s="101"/>
      <c r="R995" s="93" t="s">
        <v>36</v>
      </c>
      <c r="S995" s="93"/>
      <c r="T995" s="93"/>
      <c r="U995" s="94"/>
    </row>
    <row r="996" spans="1:21" x14ac:dyDescent="0.4">
      <c r="A996" s="86">
        <f t="shared" si="15"/>
        <v>992</v>
      </c>
      <c r="B996" s="92"/>
      <c r="C996" s="190"/>
      <c r="D996" s="164"/>
      <c r="E996" s="103"/>
      <c r="F996" s="103"/>
      <c r="G996" s="103"/>
      <c r="H996" s="149"/>
      <c r="I996" s="104"/>
      <c r="J996" s="109" t="s">
        <v>1832</v>
      </c>
      <c r="K996" s="100"/>
      <c r="L996" s="145"/>
      <c r="M996" s="145"/>
      <c r="N996" s="145"/>
      <c r="O996" s="100"/>
      <c r="P996" s="100"/>
      <c r="Q996" s="101"/>
      <c r="R996" s="93" t="s">
        <v>1239</v>
      </c>
      <c r="S996" s="93"/>
      <c r="T996" s="93"/>
      <c r="U996" s="94"/>
    </row>
    <row r="997" spans="1:21" x14ac:dyDescent="0.4">
      <c r="A997" s="86">
        <f t="shared" si="15"/>
        <v>993</v>
      </c>
      <c r="B997" s="92"/>
      <c r="C997" s="190"/>
      <c r="D997" s="164"/>
      <c r="E997" s="103"/>
      <c r="F997" s="103"/>
      <c r="G997" s="103"/>
      <c r="H997" s="149"/>
      <c r="I997" s="104"/>
      <c r="J997" s="104"/>
      <c r="K997" s="70" t="s">
        <v>1813</v>
      </c>
      <c r="L997" s="145"/>
      <c r="M997" s="145"/>
      <c r="N997" s="145"/>
      <c r="O997" s="100"/>
      <c r="P997" s="100"/>
      <c r="Q997" s="101"/>
      <c r="R997" s="93" t="s">
        <v>36</v>
      </c>
      <c r="S997" s="93"/>
      <c r="T997" s="93"/>
      <c r="U997" s="94"/>
    </row>
    <row r="998" spans="1:21" x14ac:dyDescent="0.4">
      <c r="A998" s="86">
        <f t="shared" si="15"/>
        <v>994</v>
      </c>
      <c r="B998" s="92"/>
      <c r="C998" s="190"/>
      <c r="D998" s="164"/>
      <c r="E998" s="103"/>
      <c r="F998" s="103"/>
      <c r="G998" s="103"/>
      <c r="H998" s="149"/>
      <c r="I998" s="104"/>
      <c r="J998" s="104"/>
      <c r="K998" s="104"/>
      <c r="L998" s="145" t="s">
        <v>2916</v>
      </c>
      <c r="M998" s="145"/>
      <c r="N998" s="145"/>
      <c r="O998" s="100"/>
      <c r="P998" s="100"/>
      <c r="Q998" s="101"/>
      <c r="R998" s="93" t="s">
        <v>2927</v>
      </c>
      <c r="S998" s="93"/>
      <c r="T998" s="93"/>
      <c r="U998" s="94"/>
    </row>
    <row r="999" spans="1:21" x14ac:dyDescent="0.4">
      <c r="A999" s="86">
        <f t="shared" si="15"/>
        <v>995</v>
      </c>
      <c r="B999" s="92"/>
      <c r="C999" s="190"/>
      <c r="D999" s="164"/>
      <c r="E999" s="103"/>
      <c r="F999" s="103"/>
      <c r="G999" s="103"/>
      <c r="H999" s="149"/>
      <c r="I999" s="104"/>
      <c r="J999" s="104"/>
      <c r="K999" s="104"/>
      <c r="L999" s="145" t="s">
        <v>1833</v>
      </c>
      <c r="M999" s="145"/>
      <c r="N999" s="145"/>
      <c r="O999" s="100"/>
      <c r="P999" s="100"/>
      <c r="Q999" s="101"/>
      <c r="R999" s="93" t="s">
        <v>36</v>
      </c>
      <c r="S999" s="93"/>
      <c r="T999" s="93"/>
      <c r="U999" s="94"/>
    </row>
    <row r="1000" spans="1:21" x14ac:dyDescent="0.4">
      <c r="A1000" s="86">
        <f t="shared" si="15"/>
        <v>996</v>
      </c>
      <c r="B1000" s="92"/>
      <c r="C1000" s="190"/>
      <c r="D1000" s="164"/>
      <c r="E1000" s="103"/>
      <c r="F1000" s="103"/>
      <c r="G1000" s="103"/>
      <c r="H1000" s="149"/>
      <c r="I1000" s="104"/>
      <c r="J1000" s="104"/>
      <c r="K1000" s="108"/>
      <c r="L1000" s="145" t="s">
        <v>1815</v>
      </c>
      <c r="M1000" s="145"/>
      <c r="N1000" s="145"/>
      <c r="O1000" s="100"/>
      <c r="P1000" s="100"/>
      <c r="Q1000" s="101"/>
      <c r="R1000" s="93" t="s">
        <v>36</v>
      </c>
      <c r="S1000" s="93"/>
      <c r="T1000" s="93"/>
      <c r="U1000" s="94"/>
    </row>
    <row r="1001" spans="1:21" x14ac:dyDescent="0.4">
      <c r="A1001" s="86">
        <f t="shared" si="15"/>
        <v>997</v>
      </c>
      <c r="B1001" s="92"/>
      <c r="C1001" s="190"/>
      <c r="D1001" s="164"/>
      <c r="E1001" s="103"/>
      <c r="F1001" s="103"/>
      <c r="G1001" s="103"/>
      <c r="H1001" s="149"/>
      <c r="I1001" s="104"/>
      <c r="J1001" s="109" t="s">
        <v>1834</v>
      </c>
      <c r="K1001" s="100"/>
      <c r="L1001" s="145"/>
      <c r="M1001" s="145"/>
      <c r="N1001" s="145"/>
      <c r="O1001" s="100"/>
      <c r="P1001" s="100"/>
      <c r="Q1001" s="101"/>
      <c r="R1001" s="93" t="s">
        <v>1239</v>
      </c>
      <c r="S1001" s="93"/>
      <c r="T1001" s="93"/>
      <c r="U1001" s="94"/>
    </row>
    <row r="1002" spans="1:21" x14ac:dyDescent="0.4">
      <c r="A1002" s="86">
        <f t="shared" si="15"/>
        <v>998</v>
      </c>
      <c r="B1002" s="92"/>
      <c r="C1002" s="190"/>
      <c r="D1002" s="164"/>
      <c r="E1002" s="103"/>
      <c r="F1002" s="103"/>
      <c r="G1002" s="103"/>
      <c r="H1002" s="149"/>
      <c r="I1002" s="104"/>
      <c r="J1002" s="104"/>
      <c r="K1002" s="70" t="s">
        <v>1813</v>
      </c>
      <c r="L1002" s="145"/>
      <c r="M1002" s="145"/>
      <c r="N1002" s="145"/>
      <c r="O1002" s="100"/>
      <c r="P1002" s="100"/>
      <c r="Q1002" s="101"/>
      <c r="R1002" s="93" t="s">
        <v>36</v>
      </c>
      <c r="S1002" s="93"/>
      <c r="T1002" s="93"/>
      <c r="U1002" s="94"/>
    </row>
    <row r="1003" spans="1:21" x14ac:dyDescent="0.4">
      <c r="A1003" s="86">
        <f t="shared" si="15"/>
        <v>999</v>
      </c>
      <c r="B1003" s="92"/>
      <c r="C1003" s="190"/>
      <c r="D1003" s="164"/>
      <c r="E1003" s="103"/>
      <c r="F1003" s="103"/>
      <c r="G1003" s="103"/>
      <c r="H1003" s="149"/>
      <c r="I1003" s="104"/>
      <c r="J1003" s="104"/>
      <c r="K1003" s="104"/>
      <c r="L1003" s="145" t="s">
        <v>2916</v>
      </c>
      <c r="M1003" s="145"/>
      <c r="N1003" s="145"/>
      <c r="O1003" s="100"/>
      <c r="P1003" s="100"/>
      <c r="Q1003" s="101"/>
      <c r="R1003" s="93" t="s">
        <v>2927</v>
      </c>
      <c r="S1003" s="93"/>
      <c r="T1003" s="93"/>
      <c r="U1003" s="94"/>
    </row>
    <row r="1004" spans="1:21" x14ac:dyDescent="0.4">
      <c r="A1004" s="86">
        <f t="shared" si="15"/>
        <v>1000</v>
      </c>
      <c r="B1004" s="92"/>
      <c r="C1004" s="190"/>
      <c r="D1004" s="164"/>
      <c r="E1004" s="103"/>
      <c r="F1004" s="103"/>
      <c r="G1004" s="103"/>
      <c r="H1004" s="149"/>
      <c r="I1004" s="104"/>
      <c r="J1004" s="104"/>
      <c r="K1004" s="108"/>
      <c r="L1004" s="145" t="s">
        <v>1815</v>
      </c>
      <c r="M1004" s="145"/>
      <c r="N1004" s="145"/>
      <c r="O1004" s="100"/>
      <c r="P1004" s="100"/>
      <c r="Q1004" s="101"/>
      <c r="R1004" s="93" t="s">
        <v>36</v>
      </c>
      <c r="S1004" s="93"/>
      <c r="T1004" s="93"/>
      <c r="U1004" s="94"/>
    </row>
    <row r="1005" spans="1:21" x14ac:dyDescent="0.4">
      <c r="A1005" s="86">
        <f t="shared" si="15"/>
        <v>1001</v>
      </c>
      <c r="B1005" s="92"/>
      <c r="C1005" s="190"/>
      <c r="D1005" s="164"/>
      <c r="E1005" s="103"/>
      <c r="F1005" s="103"/>
      <c r="G1005" s="103"/>
      <c r="H1005" s="149"/>
      <c r="I1005" s="104"/>
      <c r="J1005" s="109" t="s">
        <v>1835</v>
      </c>
      <c r="K1005" s="100"/>
      <c r="L1005" s="145"/>
      <c r="M1005" s="145"/>
      <c r="N1005" s="145"/>
      <c r="O1005" s="100"/>
      <c r="P1005" s="100"/>
      <c r="Q1005" s="101"/>
      <c r="R1005" s="93" t="s">
        <v>1239</v>
      </c>
      <c r="S1005" s="93"/>
      <c r="T1005" s="93"/>
      <c r="U1005" s="94"/>
    </row>
    <row r="1006" spans="1:21" x14ac:dyDescent="0.4">
      <c r="A1006" s="86">
        <f t="shared" si="15"/>
        <v>1002</v>
      </c>
      <c r="B1006" s="92"/>
      <c r="C1006" s="190"/>
      <c r="D1006" s="164"/>
      <c r="E1006" s="103"/>
      <c r="F1006" s="103"/>
      <c r="G1006" s="103"/>
      <c r="H1006" s="149"/>
      <c r="I1006" s="104"/>
      <c r="J1006" s="104"/>
      <c r="K1006" s="70" t="s">
        <v>1813</v>
      </c>
      <c r="L1006" s="145"/>
      <c r="M1006" s="145"/>
      <c r="N1006" s="145"/>
      <c r="O1006" s="100"/>
      <c r="P1006" s="100"/>
      <c r="Q1006" s="101"/>
      <c r="R1006" s="93" t="s">
        <v>36</v>
      </c>
      <c r="S1006" s="93"/>
      <c r="T1006" s="93"/>
      <c r="U1006" s="94"/>
    </row>
    <row r="1007" spans="1:21" x14ac:dyDescent="0.4">
      <c r="A1007" s="86">
        <f t="shared" si="15"/>
        <v>1003</v>
      </c>
      <c r="B1007" s="92"/>
      <c r="C1007" s="190"/>
      <c r="D1007" s="164"/>
      <c r="E1007" s="103"/>
      <c r="F1007" s="103"/>
      <c r="G1007" s="103"/>
      <c r="H1007" s="149"/>
      <c r="I1007" s="104"/>
      <c r="J1007" s="104"/>
      <c r="K1007" s="104"/>
      <c r="L1007" s="145" t="s">
        <v>2916</v>
      </c>
      <c r="M1007" s="145"/>
      <c r="N1007" s="145"/>
      <c r="O1007" s="100"/>
      <c r="P1007" s="100"/>
      <c r="Q1007" s="101"/>
      <c r="R1007" s="93" t="s">
        <v>2982</v>
      </c>
      <c r="S1007" s="93"/>
      <c r="T1007" s="93"/>
      <c r="U1007" s="94"/>
    </row>
    <row r="1008" spans="1:21" x14ac:dyDescent="0.4">
      <c r="A1008" s="86">
        <f t="shared" si="15"/>
        <v>1004</v>
      </c>
      <c r="B1008" s="92"/>
      <c r="C1008" s="190"/>
      <c r="D1008" s="164"/>
      <c r="E1008" s="103"/>
      <c r="F1008" s="103"/>
      <c r="G1008" s="103"/>
      <c r="H1008" s="149"/>
      <c r="I1008" s="104"/>
      <c r="J1008" s="104"/>
      <c r="K1008" s="108"/>
      <c r="L1008" s="145" t="s">
        <v>1836</v>
      </c>
      <c r="M1008" s="145"/>
      <c r="N1008" s="145"/>
      <c r="O1008" s="100"/>
      <c r="P1008" s="100"/>
      <c r="Q1008" s="101"/>
      <c r="R1008" s="93" t="s">
        <v>36</v>
      </c>
      <c r="S1008" s="93"/>
      <c r="T1008" s="93"/>
      <c r="U1008" s="94"/>
    </row>
    <row r="1009" spans="1:21" x14ac:dyDescent="0.4">
      <c r="A1009" s="86">
        <f t="shared" si="15"/>
        <v>1005</v>
      </c>
      <c r="B1009" s="92"/>
      <c r="C1009" s="190"/>
      <c r="D1009" s="164"/>
      <c r="E1009" s="103"/>
      <c r="F1009" s="103"/>
      <c r="G1009" s="103"/>
      <c r="H1009" s="149"/>
      <c r="I1009" s="104"/>
      <c r="J1009" s="109" t="s">
        <v>1837</v>
      </c>
      <c r="K1009" s="100"/>
      <c r="L1009" s="145"/>
      <c r="M1009" s="145"/>
      <c r="N1009" s="145"/>
      <c r="O1009" s="100"/>
      <c r="P1009" s="100"/>
      <c r="Q1009" s="101"/>
      <c r="R1009" s="93" t="s">
        <v>1239</v>
      </c>
      <c r="S1009" s="93"/>
      <c r="T1009" s="93"/>
      <c r="U1009" s="94"/>
    </row>
    <row r="1010" spans="1:21" x14ac:dyDescent="0.4">
      <c r="A1010" s="86">
        <f t="shared" si="15"/>
        <v>1006</v>
      </c>
      <c r="B1010" s="92"/>
      <c r="C1010" s="190"/>
      <c r="D1010" s="164"/>
      <c r="E1010" s="103"/>
      <c r="F1010" s="103"/>
      <c r="G1010" s="103"/>
      <c r="H1010" s="149"/>
      <c r="I1010" s="104"/>
      <c r="J1010" s="104"/>
      <c r="K1010" s="70" t="s">
        <v>1813</v>
      </c>
      <c r="L1010" s="145"/>
      <c r="M1010" s="145"/>
      <c r="N1010" s="145"/>
      <c r="O1010" s="100"/>
      <c r="P1010" s="100"/>
      <c r="Q1010" s="101"/>
      <c r="R1010" s="93" t="s">
        <v>36</v>
      </c>
      <c r="S1010" s="93"/>
      <c r="T1010" s="93"/>
      <c r="U1010" s="94"/>
    </row>
    <row r="1011" spans="1:21" x14ac:dyDescent="0.4">
      <c r="A1011" s="86">
        <f t="shared" si="15"/>
        <v>1007</v>
      </c>
      <c r="B1011" s="92"/>
      <c r="C1011" s="190"/>
      <c r="D1011" s="164"/>
      <c r="E1011" s="103"/>
      <c r="F1011" s="103"/>
      <c r="G1011" s="103"/>
      <c r="H1011" s="149"/>
      <c r="I1011" s="104"/>
      <c r="J1011" s="104"/>
      <c r="K1011" s="104"/>
      <c r="L1011" s="145" t="s">
        <v>2916</v>
      </c>
      <c r="M1011" s="145"/>
      <c r="N1011" s="145"/>
      <c r="O1011" s="100"/>
      <c r="P1011" s="100"/>
      <c r="Q1011" s="101"/>
      <c r="R1011" s="93" t="s">
        <v>2982</v>
      </c>
      <c r="S1011" s="93"/>
      <c r="T1011" s="93"/>
      <c r="U1011" s="94"/>
    </row>
    <row r="1012" spans="1:21" x14ac:dyDescent="0.4">
      <c r="A1012" s="86">
        <f t="shared" si="15"/>
        <v>1008</v>
      </c>
      <c r="B1012" s="92"/>
      <c r="C1012" s="190"/>
      <c r="D1012" s="164"/>
      <c r="E1012" s="103"/>
      <c r="F1012" s="103"/>
      <c r="G1012" s="103"/>
      <c r="H1012" s="149"/>
      <c r="I1012" s="104"/>
      <c r="J1012" s="104"/>
      <c r="K1012" s="108"/>
      <c r="L1012" s="145" t="s">
        <v>1815</v>
      </c>
      <c r="M1012" s="145"/>
      <c r="N1012" s="145"/>
      <c r="O1012" s="100"/>
      <c r="P1012" s="100"/>
      <c r="Q1012" s="101"/>
      <c r="R1012" s="93" t="s">
        <v>36</v>
      </c>
      <c r="S1012" s="93"/>
      <c r="T1012" s="93"/>
      <c r="U1012" s="94"/>
    </row>
    <row r="1013" spans="1:21" x14ac:dyDescent="0.4">
      <c r="A1013" s="86">
        <f t="shared" si="15"/>
        <v>1009</v>
      </c>
      <c r="B1013" s="92"/>
      <c r="C1013" s="190"/>
      <c r="D1013" s="164"/>
      <c r="E1013" s="103"/>
      <c r="F1013" s="103"/>
      <c r="G1013" s="103"/>
      <c r="H1013" s="149"/>
      <c r="I1013" s="104"/>
      <c r="J1013" s="109" t="s">
        <v>1838</v>
      </c>
      <c r="K1013" s="100"/>
      <c r="L1013" s="145"/>
      <c r="M1013" s="145"/>
      <c r="N1013" s="145"/>
      <c r="O1013" s="100"/>
      <c r="P1013" s="100"/>
      <c r="Q1013" s="101"/>
      <c r="R1013" s="93" t="s">
        <v>1239</v>
      </c>
      <c r="S1013" s="93"/>
      <c r="T1013" s="93"/>
      <c r="U1013" s="94"/>
    </row>
    <row r="1014" spans="1:21" x14ac:dyDescent="0.4">
      <c r="A1014" s="86">
        <f t="shared" si="15"/>
        <v>1010</v>
      </c>
      <c r="B1014" s="92"/>
      <c r="C1014" s="190"/>
      <c r="D1014" s="164"/>
      <c r="E1014" s="103"/>
      <c r="F1014" s="103"/>
      <c r="G1014" s="103"/>
      <c r="H1014" s="149"/>
      <c r="I1014" s="104"/>
      <c r="J1014" s="104"/>
      <c r="K1014" s="70" t="s">
        <v>1813</v>
      </c>
      <c r="L1014" s="145"/>
      <c r="M1014" s="145"/>
      <c r="N1014" s="145"/>
      <c r="O1014" s="100"/>
      <c r="P1014" s="100"/>
      <c r="Q1014" s="101"/>
      <c r="R1014" s="93" t="s">
        <v>36</v>
      </c>
      <c r="S1014" s="93"/>
      <c r="T1014" s="93"/>
      <c r="U1014" s="94"/>
    </row>
    <row r="1015" spans="1:21" x14ac:dyDescent="0.4">
      <c r="A1015" s="86">
        <f t="shared" si="15"/>
        <v>1011</v>
      </c>
      <c r="B1015" s="92"/>
      <c r="C1015" s="190"/>
      <c r="D1015" s="164"/>
      <c r="E1015" s="103"/>
      <c r="F1015" s="103"/>
      <c r="G1015" s="103"/>
      <c r="H1015" s="149"/>
      <c r="I1015" s="104"/>
      <c r="J1015" s="104"/>
      <c r="K1015" s="104"/>
      <c r="L1015" s="145" t="s">
        <v>2916</v>
      </c>
      <c r="M1015" s="145"/>
      <c r="N1015" s="145"/>
      <c r="O1015" s="100"/>
      <c r="P1015" s="100"/>
      <c r="Q1015" s="101"/>
      <c r="R1015" s="93" t="s">
        <v>2927</v>
      </c>
      <c r="S1015" s="93"/>
      <c r="T1015" s="93"/>
      <c r="U1015" s="94"/>
    </row>
    <row r="1016" spans="1:21" x14ac:dyDescent="0.4">
      <c r="A1016" s="86">
        <f t="shared" si="15"/>
        <v>1012</v>
      </c>
      <c r="B1016" s="92"/>
      <c r="C1016" s="190"/>
      <c r="D1016" s="164"/>
      <c r="E1016" s="103"/>
      <c r="F1016" s="103"/>
      <c r="G1016" s="103"/>
      <c r="H1016" s="149"/>
      <c r="I1016" s="104"/>
      <c r="J1016" s="104"/>
      <c r="K1016" s="108"/>
      <c r="L1016" s="145" t="s">
        <v>1815</v>
      </c>
      <c r="M1016" s="145"/>
      <c r="N1016" s="145"/>
      <c r="O1016" s="100"/>
      <c r="P1016" s="100"/>
      <c r="Q1016" s="101"/>
      <c r="R1016" s="93" t="s">
        <v>36</v>
      </c>
      <c r="S1016" s="93"/>
      <c r="T1016" s="93"/>
      <c r="U1016" s="94"/>
    </row>
    <row r="1017" spans="1:21" x14ac:dyDescent="0.4">
      <c r="A1017" s="86">
        <f t="shared" si="15"/>
        <v>1013</v>
      </c>
      <c r="B1017" s="92"/>
      <c r="C1017" s="190"/>
      <c r="D1017" s="164"/>
      <c r="E1017" s="103"/>
      <c r="F1017" s="103"/>
      <c r="G1017" s="103"/>
      <c r="H1017" s="149"/>
      <c r="I1017" s="104"/>
      <c r="J1017" s="109" t="s">
        <v>1839</v>
      </c>
      <c r="K1017" s="100"/>
      <c r="L1017" s="145"/>
      <c r="M1017" s="145"/>
      <c r="N1017" s="145"/>
      <c r="O1017" s="100"/>
      <c r="P1017" s="100"/>
      <c r="Q1017" s="101"/>
      <c r="R1017" s="93" t="s">
        <v>1239</v>
      </c>
      <c r="S1017" s="93"/>
      <c r="T1017" s="93"/>
      <c r="U1017" s="94"/>
    </row>
    <row r="1018" spans="1:21" x14ac:dyDescent="0.4">
      <c r="A1018" s="86">
        <f t="shared" si="15"/>
        <v>1014</v>
      </c>
      <c r="B1018" s="92"/>
      <c r="C1018" s="190"/>
      <c r="D1018" s="164"/>
      <c r="E1018" s="103"/>
      <c r="F1018" s="103"/>
      <c r="G1018" s="103"/>
      <c r="H1018" s="149"/>
      <c r="I1018" s="104"/>
      <c r="J1018" s="104"/>
      <c r="K1018" s="70" t="s">
        <v>1813</v>
      </c>
      <c r="L1018" s="145"/>
      <c r="M1018" s="145"/>
      <c r="N1018" s="145"/>
      <c r="O1018" s="100"/>
      <c r="P1018" s="100"/>
      <c r="Q1018" s="101"/>
      <c r="R1018" s="93" t="s">
        <v>36</v>
      </c>
      <c r="S1018" s="93"/>
      <c r="T1018" s="93"/>
      <c r="U1018" s="94"/>
    </row>
    <row r="1019" spans="1:21" x14ac:dyDescent="0.4">
      <c r="A1019" s="86">
        <f t="shared" si="15"/>
        <v>1015</v>
      </c>
      <c r="B1019" s="92"/>
      <c r="C1019" s="190"/>
      <c r="D1019" s="164"/>
      <c r="E1019" s="103"/>
      <c r="F1019" s="103"/>
      <c r="G1019" s="103"/>
      <c r="H1019" s="149"/>
      <c r="I1019" s="104"/>
      <c r="J1019" s="104"/>
      <c r="K1019" s="104"/>
      <c r="L1019" s="145" t="s">
        <v>2916</v>
      </c>
      <c r="M1019" s="145"/>
      <c r="N1019" s="145"/>
      <c r="O1019" s="100"/>
      <c r="P1019" s="100"/>
      <c r="Q1019" s="101"/>
      <c r="R1019" s="93" t="s">
        <v>2982</v>
      </c>
      <c r="S1019" s="93"/>
      <c r="T1019" s="93"/>
      <c r="U1019" s="94"/>
    </row>
    <row r="1020" spans="1:21" x14ac:dyDescent="0.4">
      <c r="A1020" s="86">
        <f t="shared" si="15"/>
        <v>1016</v>
      </c>
      <c r="B1020" s="92"/>
      <c r="C1020" s="190"/>
      <c r="D1020" s="164"/>
      <c r="E1020" s="103"/>
      <c r="F1020" s="103"/>
      <c r="G1020" s="103"/>
      <c r="H1020" s="149"/>
      <c r="I1020" s="104"/>
      <c r="J1020" s="109" t="s">
        <v>1840</v>
      </c>
      <c r="K1020" s="100"/>
      <c r="L1020" s="145"/>
      <c r="M1020" s="145"/>
      <c r="N1020" s="145"/>
      <c r="O1020" s="100"/>
      <c r="P1020" s="100"/>
      <c r="Q1020" s="101"/>
      <c r="R1020" s="93" t="s">
        <v>1239</v>
      </c>
      <c r="S1020" s="93"/>
      <c r="T1020" s="93"/>
      <c r="U1020" s="94"/>
    </row>
    <row r="1021" spans="1:21" x14ac:dyDescent="0.4">
      <c r="A1021" s="86">
        <f t="shared" si="15"/>
        <v>1017</v>
      </c>
      <c r="B1021" s="92"/>
      <c r="C1021" s="190"/>
      <c r="D1021" s="164"/>
      <c r="E1021" s="103"/>
      <c r="F1021" s="103"/>
      <c r="G1021" s="103"/>
      <c r="H1021" s="149"/>
      <c r="I1021" s="104"/>
      <c r="J1021" s="104"/>
      <c r="K1021" s="70" t="s">
        <v>1813</v>
      </c>
      <c r="L1021" s="145"/>
      <c r="M1021" s="145"/>
      <c r="N1021" s="145"/>
      <c r="O1021" s="100"/>
      <c r="P1021" s="100"/>
      <c r="Q1021" s="101"/>
      <c r="R1021" s="93" t="s">
        <v>36</v>
      </c>
      <c r="S1021" s="93"/>
      <c r="T1021" s="93"/>
      <c r="U1021" s="94"/>
    </row>
    <row r="1022" spans="1:21" x14ac:dyDescent="0.4">
      <c r="A1022" s="86">
        <f t="shared" si="15"/>
        <v>1018</v>
      </c>
      <c r="B1022" s="92"/>
      <c r="C1022" s="190"/>
      <c r="D1022" s="164"/>
      <c r="E1022" s="103"/>
      <c r="F1022" s="103"/>
      <c r="G1022" s="103"/>
      <c r="H1022" s="149"/>
      <c r="I1022" s="104"/>
      <c r="J1022" s="104"/>
      <c r="K1022" s="104"/>
      <c r="L1022" s="145" t="s">
        <v>2916</v>
      </c>
      <c r="M1022" s="145"/>
      <c r="N1022" s="145"/>
      <c r="O1022" s="100"/>
      <c r="P1022" s="100"/>
      <c r="Q1022" s="101"/>
      <c r="R1022" s="93" t="s">
        <v>2927</v>
      </c>
      <c r="S1022" s="93"/>
      <c r="T1022" s="93"/>
      <c r="U1022" s="94"/>
    </row>
    <row r="1023" spans="1:21" x14ac:dyDescent="0.4">
      <c r="A1023" s="86">
        <f t="shared" si="15"/>
        <v>1019</v>
      </c>
      <c r="B1023" s="92"/>
      <c r="C1023" s="190"/>
      <c r="D1023" s="164"/>
      <c r="E1023" s="103"/>
      <c r="F1023" s="103"/>
      <c r="G1023" s="103"/>
      <c r="H1023" s="149"/>
      <c r="I1023" s="104"/>
      <c r="J1023" s="109" t="s">
        <v>1841</v>
      </c>
      <c r="K1023" s="100"/>
      <c r="L1023" s="145"/>
      <c r="M1023" s="145"/>
      <c r="N1023" s="145"/>
      <c r="O1023" s="100"/>
      <c r="P1023" s="100"/>
      <c r="Q1023" s="101"/>
      <c r="R1023" s="93" t="s">
        <v>1239</v>
      </c>
      <c r="S1023" s="93"/>
      <c r="T1023" s="93"/>
      <c r="U1023" s="94"/>
    </row>
    <row r="1024" spans="1:21" x14ac:dyDescent="0.4">
      <c r="A1024" s="86">
        <f t="shared" si="15"/>
        <v>1020</v>
      </c>
      <c r="B1024" s="92"/>
      <c r="C1024" s="190"/>
      <c r="D1024" s="164"/>
      <c r="E1024" s="103"/>
      <c r="F1024" s="103"/>
      <c r="G1024" s="103"/>
      <c r="H1024" s="149"/>
      <c r="I1024" s="104"/>
      <c r="J1024" s="104"/>
      <c r="K1024" s="70" t="s">
        <v>1813</v>
      </c>
      <c r="L1024" s="145"/>
      <c r="M1024" s="145"/>
      <c r="N1024" s="145"/>
      <c r="O1024" s="100"/>
      <c r="P1024" s="100"/>
      <c r="Q1024" s="101"/>
      <c r="R1024" s="93" t="s">
        <v>36</v>
      </c>
      <c r="S1024" s="93"/>
      <c r="T1024" s="93"/>
      <c r="U1024" s="94"/>
    </row>
    <row r="1025" spans="1:21" x14ac:dyDescent="0.4">
      <c r="A1025" s="86">
        <f t="shared" si="15"/>
        <v>1021</v>
      </c>
      <c r="B1025" s="92"/>
      <c r="C1025" s="190"/>
      <c r="D1025" s="164"/>
      <c r="E1025" s="103"/>
      <c r="F1025" s="103"/>
      <c r="G1025" s="103"/>
      <c r="H1025" s="149"/>
      <c r="I1025" s="104"/>
      <c r="J1025" s="104"/>
      <c r="K1025" s="104"/>
      <c r="L1025" s="145" t="s">
        <v>2916</v>
      </c>
      <c r="M1025" s="145"/>
      <c r="N1025" s="145"/>
      <c r="O1025" s="100"/>
      <c r="P1025" s="100"/>
      <c r="Q1025" s="101"/>
      <c r="R1025" s="93" t="s">
        <v>2982</v>
      </c>
      <c r="S1025" s="93"/>
      <c r="T1025" s="93"/>
      <c r="U1025" s="94"/>
    </row>
    <row r="1026" spans="1:21" x14ac:dyDescent="0.4">
      <c r="A1026" s="86">
        <f t="shared" si="15"/>
        <v>1022</v>
      </c>
      <c r="B1026" s="92"/>
      <c r="C1026" s="190"/>
      <c r="D1026" s="164"/>
      <c r="E1026" s="103"/>
      <c r="F1026" s="103"/>
      <c r="G1026" s="103"/>
      <c r="H1026" s="149"/>
      <c r="I1026" s="104"/>
      <c r="J1026" s="109" t="s">
        <v>1842</v>
      </c>
      <c r="K1026" s="100"/>
      <c r="L1026" s="145"/>
      <c r="M1026" s="145"/>
      <c r="N1026" s="145"/>
      <c r="O1026" s="100"/>
      <c r="P1026" s="100"/>
      <c r="Q1026" s="101"/>
      <c r="R1026" s="93" t="s">
        <v>1239</v>
      </c>
      <c r="S1026" s="93"/>
      <c r="T1026" s="93"/>
      <c r="U1026" s="94"/>
    </row>
    <row r="1027" spans="1:21" x14ac:dyDescent="0.4">
      <c r="A1027" s="86">
        <f t="shared" si="15"/>
        <v>1023</v>
      </c>
      <c r="B1027" s="92"/>
      <c r="C1027" s="190"/>
      <c r="D1027" s="164"/>
      <c r="E1027" s="103"/>
      <c r="F1027" s="103"/>
      <c r="G1027" s="103"/>
      <c r="H1027" s="149"/>
      <c r="I1027" s="104"/>
      <c r="J1027" s="104"/>
      <c r="K1027" s="70" t="s">
        <v>1813</v>
      </c>
      <c r="L1027" s="145"/>
      <c r="M1027" s="145"/>
      <c r="N1027" s="145"/>
      <c r="O1027" s="100"/>
      <c r="P1027" s="100"/>
      <c r="Q1027" s="101"/>
      <c r="R1027" s="93" t="s">
        <v>36</v>
      </c>
      <c r="S1027" s="93"/>
      <c r="T1027" s="93"/>
      <c r="U1027" s="94"/>
    </row>
    <row r="1028" spans="1:21" x14ac:dyDescent="0.4">
      <c r="A1028" s="86">
        <f t="shared" si="15"/>
        <v>1024</v>
      </c>
      <c r="B1028" s="92"/>
      <c r="C1028" s="190"/>
      <c r="D1028" s="164"/>
      <c r="E1028" s="103"/>
      <c r="F1028" s="103"/>
      <c r="G1028" s="103"/>
      <c r="H1028" s="149"/>
      <c r="I1028" s="104"/>
      <c r="J1028" s="104"/>
      <c r="K1028" s="104"/>
      <c r="L1028" s="145" t="s">
        <v>2916</v>
      </c>
      <c r="M1028" s="145"/>
      <c r="N1028" s="145"/>
      <c r="O1028" s="100"/>
      <c r="P1028" s="100"/>
      <c r="Q1028" s="101"/>
      <c r="R1028" s="93" t="s">
        <v>2927</v>
      </c>
      <c r="S1028" s="93"/>
      <c r="T1028" s="93"/>
      <c r="U1028" s="94"/>
    </row>
    <row r="1029" spans="1:21" x14ac:dyDescent="0.4">
      <c r="A1029" s="86">
        <f t="shared" si="15"/>
        <v>1025</v>
      </c>
      <c r="B1029" s="92"/>
      <c r="C1029" s="190"/>
      <c r="D1029" s="164"/>
      <c r="E1029" s="103"/>
      <c r="F1029" s="103"/>
      <c r="G1029" s="103"/>
      <c r="H1029" s="149"/>
      <c r="I1029" s="104"/>
      <c r="J1029" s="104"/>
      <c r="K1029" s="108"/>
      <c r="L1029" s="145" t="s">
        <v>1815</v>
      </c>
      <c r="M1029" s="145"/>
      <c r="N1029" s="145"/>
      <c r="O1029" s="100"/>
      <c r="P1029" s="100"/>
      <c r="Q1029" s="101"/>
      <c r="R1029" s="93" t="s">
        <v>36</v>
      </c>
      <c r="S1029" s="93"/>
      <c r="T1029" s="93"/>
      <c r="U1029" s="94"/>
    </row>
    <row r="1030" spans="1:21" x14ac:dyDescent="0.4">
      <c r="A1030" s="86">
        <f t="shared" si="15"/>
        <v>1026</v>
      </c>
      <c r="B1030" s="92"/>
      <c r="C1030" s="190"/>
      <c r="D1030" s="164"/>
      <c r="E1030" s="103"/>
      <c r="F1030" s="103"/>
      <c r="G1030" s="103"/>
      <c r="H1030" s="149"/>
      <c r="I1030" s="104"/>
      <c r="J1030" s="109" t="s">
        <v>1843</v>
      </c>
      <c r="K1030" s="100"/>
      <c r="L1030" s="145"/>
      <c r="M1030" s="145"/>
      <c r="N1030" s="145"/>
      <c r="O1030" s="100"/>
      <c r="P1030" s="100"/>
      <c r="Q1030" s="101"/>
      <c r="R1030" s="93" t="s">
        <v>1239</v>
      </c>
      <c r="S1030" s="93"/>
      <c r="T1030" s="93"/>
      <c r="U1030" s="94"/>
    </row>
    <row r="1031" spans="1:21" x14ac:dyDescent="0.4">
      <c r="A1031" s="86">
        <f t="shared" ref="A1031:A1094" si="16">A1030+1</f>
        <v>1027</v>
      </c>
      <c r="B1031" s="92"/>
      <c r="C1031" s="190"/>
      <c r="D1031" s="164"/>
      <c r="E1031" s="103"/>
      <c r="F1031" s="103"/>
      <c r="G1031" s="103"/>
      <c r="H1031" s="149"/>
      <c r="I1031" s="104"/>
      <c r="J1031" s="104"/>
      <c r="K1031" s="70" t="s">
        <v>1813</v>
      </c>
      <c r="L1031" s="145"/>
      <c r="M1031" s="145"/>
      <c r="N1031" s="145"/>
      <c r="O1031" s="100"/>
      <c r="P1031" s="100"/>
      <c r="Q1031" s="101"/>
      <c r="R1031" s="93" t="s">
        <v>36</v>
      </c>
      <c r="S1031" s="93"/>
      <c r="T1031" s="93"/>
      <c r="U1031" s="94"/>
    </row>
    <row r="1032" spans="1:21" x14ac:dyDescent="0.4">
      <c r="A1032" s="86">
        <f t="shared" si="16"/>
        <v>1028</v>
      </c>
      <c r="B1032" s="92"/>
      <c r="C1032" s="190"/>
      <c r="D1032" s="164"/>
      <c r="E1032" s="103"/>
      <c r="F1032" s="103"/>
      <c r="G1032" s="103"/>
      <c r="H1032" s="149"/>
      <c r="I1032" s="104"/>
      <c r="J1032" s="104"/>
      <c r="K1032" s="104"/>
      <c r="L1032" s="145" t="s">
        <v>2916</v>
      </c>
      <c r="M1032" s="145"/>
      <c r="N1032" s="145"/>
      <c r="O1032" s="100"/>
      <c r="P1032" s="100"/>
      <c r="Q1032" s="101"/>
      <c r="R1032" s="93" t="s">
        <v>2927</v>
      </c>
      <c r="S1032" s="93"/>
      <c r="T1032" s="93"/>
      <c r="U1032" s="94"/>
    </row>
    <row r="1033" spans="1:21" x14ac:dyDescent="0.4">
      <c r="A1033" s="86">
        <f t="shared" si="16"/>
        <v>1029</v>
      </c>
      <c r="B1033" s="92"/>
      <c r="C1033" s="190"/>
      <c r="D1033" s="164"/>
      <c r="E1033" s="103"/>
      <c r="F1033" s="103"/>
      <c r="G1033" s="103"/>
      <c r="H1033" s="149"/>
      <c r="I1033" s="108"/>
      <c r="J1033" s="108"/>
      <c r="K1033" s="108"/>
      <c r="L1033" s="145" t="s">
        <v>1815</v>
      </c>
      <c r="M1033" s="145"/>
      <c r="N1033" s="145"/>
      <c r="O1033" s="100"/>
      <c r="P1033" s="100"/>
      <c r="Q1033" s="101"/>
      <c r="R1033" s="93" t="s">
        <v>36</v>
      </c>
      <c r="S1033" s="93"/>
      <c r="T1033" s="93"/>
      <c r="U1033" s="94"/>
    </row>
    <row r="1034" spans="1:21" x14ac:dyDescent="0.4">
      <c r="A1034" s="86">
        <f t="shared" si="16"/>
        <v>1030</v>
      </c>
      <c r="B1034" s="92"/>
      <c r="C1034" s="190"/>
      <c r="D1034" s="164"/>
      <c r="E1034" s="103"/>
      <c r="F1034" s="103"/>
      <c r="G1034" s="103"/>
      <c r="H1034" s="149"/>
      <c r="I1034" s="70" t="s">
        <v>1851</v>
      </c>
      <c r="J1034" s="145"/>
      <c r="K1034" s="145"/>
      <c r="L1034" s="145"/>
      <c r="M1034" s="145"/>
      <c r="N1034" s="145"/>
      <c r="O1034" s="100"/>
      <c r="P1034" s="100"/>
      <c r="Q1034" s="101"/>
      <c r="R1034" s="93" t="s">
        <v>1239</v>
      </c>
      <c r="S1034" s="93"/>
      <c r="T1034" s="93"/>
      <c r="U1034" s="94"/>
    </row>
    <row r="1035" spans="1:21" x14ac:dyDescent="0.4">
      <c r="A1035" s="86">
        <f t="shared" si="16"/>
        <v>1031</v>
      </c>
      <c r="B1035" s="92"/>
      <c r="C1035" s="190"/>
      <c r="D1035" s="164"/>
      <c r="E1035" s="103"/>
      <c r="F1035" s="103"/>
      <c r="G1035" s="103"/>
      <c r="H1035" s="149"/>
      <c r="I1035" s="104"/>
      <c r="J1035" s="70" t="s">
        <v>1812</v>
      </c>
      <c r="K1035" s="145"/>
      <c r="L1035" s="145"/>
      <c r="M1035" s="145"/>
      <c r="N1035" s="145"/>
      <c r="O1035" s="100"/>
      <c r="P1035" s="100"/>
      <c r="Q1035" s="101"/>
      <c r="R1035" s="93" t="s">
        <v>1239</v>
      </c>
      <c r="S1035" s="93"/>
      <c r="T1035" s="93"/>
      <c r="U1035" s="94"/>
    </row>
    <row r="1036" spans="1:21" x14ac:dyDescent="0.4">
      <c r="A1036" s="86">
        <f t="shared" si="16"/>
        <v>1032</v>
      </c>
      <c r="B1036" s="92"/>
      <c r="C1036" s="190"/>
      <c r="D1036" s="164"/>
      <c r="E1036" s="103"/>
      <c r="F1036" s="103"/>
      <c r="G1036" s="103"/>
      <c r="H1036" s="149"/>
      <c r="I1036" s="104"/>
      <c r="J1036" s="104"/>
      <c r="K1036" s="70" t="s">
        <v>1813</v>
      </c>
      <c r="L1036" s="145"/>
      <c r="M1036" s="145"/>
      <c r="N1036" s="145"/>
      <c r="O1036" s="100"/>
      <c r="P1036" s="100"/>
      <c r="Q1036" s="101"/>
      <c r="R1036" s="93" t="s">
        <v>36</v>
      </c>
      <c r="S1036" s="93"/>
      <c r="T1036" s="93"/>
      <c r="U1036" s="94"/>
    </row>
    <row r="1037" spans="1:21" x14ac:dyDescent="0.4">
      <c r="A1037" s="86">
        <f t="shared" si="16"/>
        <v>1033</v>
      </c>
      <c r="B1037" s="92"/>
      <c r="C1037" s="190"/>
      <c r="D1037" s="164"/>
      <c r="E1037" s="103"/>
      <c r="F1037" s="103"/>
      <c r="G1037" s="103"/>
      <c r="H1037" s="149"/>
      <c r="I1037" s="104"/>
      <c r="J1037" s="104"/>
      <c r="K1037" s="104"/>
      <c r="L1037" s="145" t="s">
        <v>2916</v>
      </c>
      <c r="M1037" s="145"/>
      <c r="N1037" s="145"/>
      <c r="O1037" s="100"/>
      <c r="P1037" s="100"/>
      <c r="Q1037" s="101"/>
      <c r="R1037" s="93" t="s">
        <v>2927</v>
      </c>
      <c r="S1037" s="93"/>
      <c r="T1037" s="93"/>
      <c r="U1037" s="94"/>
    </row>
    <row r="1038" spans="1:21" x14ac:dyDescent="0.4">
      <c r="A1038" s="86">
        <f t="shared" si="16"/>
        <v>1034</v>
      </c>
      <c r="B1038" s="92"/>
      <c r="C1038" s="190"/>
      <c r="D1038" s="164"/>
      <c r="E1038" s="103"/>
      <c r="F1038" s="103"/>
      <c r="G1038" s="103"/>
      <c r="H1038" s="149"/>
      <c r="I1038" s="104"/>
      <c r="J1038" s="104"/>
      <c r="K1038" s="104"/>
      <c r="L1038" s="145" t="s">
        <v>1814</v>
      </c>
      <c r="M1038" s="145"/>
      <c r="N1038" s="145"/>
      <c r="O1038" s="100"/>
      <c r="P1038" s="100"/>
      <c r="Q1038" s="101"/>
      <c r="R1038" s="93" t="s">
        <v>36</v>
      </c>
      <c r="S1038" s="93"/>
      <c r="T1038" s="93"/>
      <c r="U1038" s="94"/>
    </row>
    <row r="1039" spans="1:21" x14ac:dyDescent="0.4">
      <c r="A1039" s="86">
        <f t="shared" si="16"/>
        <v>1035</v>
      </c>
      <c r="B1039" s="92"/>
      <c r="C1039" s="190"/>
      <c r="D1039" s="164"/>
      <c r="E1039" s="103"/>
      <c r="F1039" s="103"/>
      <c r="G1039" s="103"/>
      <c r="H1039" s="149"/>
      <c r="I1039" s="104"/>
      <c r="J1039" s="104"/>
      <c r="K1039" s="108"/>
      <c r="L1039" s="145" t="s">
        <v>1815</v>
      </c>
      <c r="M1039" s="145"/>
      <c r="N1039" s="145"/>
      <c r="O1039" s="100"/>
      <c r="P1039" s="100"/>
      <c r="Q1039" s="101"/>
      <c r="R1039" s="93" t="s">
        <v>36</v>
      </c>
      <c r="S1039" s="93"/>
      <c r="T1039" s="93"/>
      <c r="U1039" s="94"/>
    </row>
    <row r="1040" spans="1:21" x14ac:dyDescent="0.4">
      <c r="A1040" s="86">
        <f t="shared" si="16"/>
        <v>1036</v>
      </c>
      <c r="B1040" s="92"/>
      <c r="C1040" s="190"/>
      <c r="D1040" s="164"/>
      <c r="E1040" s="103"/>
      <c r="F1040" s="103"/>
      <c r="G1040" s="103"/>
      <c r="H1040" s="149"/>
      <c r="I1040" s="104"/>
      <c r="J1040" s="109" t="s">
        <v>1816</v>
      </c>
      <c r="K1040" s="145"/>
      <c r="L1040" s="145"/>
      <c r="M1040" s="145"/>
      <c r="N1040" s="145"/>
      <c r="O1040" s="100"/>
      <c r="P1040" s="100"/>
      <c r="Q1040" s="101"/>
      <c r="R1040" s="93" t="s">
        <v>1239</v>
      </c>
      <c r="S1040" s="93"/>
      <c r="T1040" s="93"/>
      <c r="U1040" s="94"/>
    </row>
    <row r="1041" spans="1:21" x14ac:dyDescent="0.4">
      <c r="A1041" s="86">
        <f t="shared" si="16"/>
        <v>1037</v>
      </c>
      <c r="B1041" s="92"/>
      <c r="C1041" s="190"/>
      <c r="D1041" s="164"/>
      <c r="E1041" s="103"/>
      <c r="F1041" s="103"/>
      <c r="G1041" s="103"/>
      <c r="H1041" s="149"/>
      <c r="I1041" s="104"/>
      <c r="J1041" s="104"/>
      <c r="K1041" s="70" t="s">
        <v>1813</v>
      </c>
      <c r="L1041" s="145"/>
      <c r="M1041" s="145"/>
      <c r="N1041" s="145"/>
      <c r="O1041" s="100"/>
      <c r="P1041" s="100"/>
      <c r="Q1041" s="101"/>
      <c r="R1041" s="93" t="s">
        <v>36</v>
      </c>
      <c r="S1041" s="93"/>
      <c r="T1041" s="93"/>
      <c r="U1041" s="94"/>
    </row>
    <row r="1042" spans="1:21" x14ac:dyDescent="0.4">
      <c r="A1042" s="86">
        <f t="shared" si="16"/>
        <v>1038</v>
      </c>
      <c r="B1042" s="92"/>
      <c r="C1042" s="190"/>
      <c r="D1042" s="164"/>
      <c r="E1042" s="103"/>
      <c r="F1042" s="103"/>
      <c r="G1042" s="103"/>
      <c r="H1042" s="149"/>
      <c r="I1042" s="104"/>
      <c r="J1042" s="104"/>
      <c r="K1042" s="104"/>
      <c r="L1042" s="145" t="s">
        <v>2916</v>
      </c>
      <c r="M1042" s="145"/>
      <c r="N1042" s="145"/>
      <c r="O1042" s="100"/>
      <c r="P1042" s="100"/>
      <c r="Q1042" s="101"/>
      <c r="R1042" s="93" t="s">
        <v>2927</v>
      </c>
      <c r="S1042" s="93"/>
      <c r="T1042" s="93"/>
      <c r="U1042" s="94"/>
    </row>
    <row r="1043" spans="1:21" x14ac:dyDescent="0.4">
      <c r="A1043" s="86">
        <f t="shared" si="16"/>
        <v>1039</v>
      </c>
      <c r="B1043" s="92"/>
      <c r="C1043" s="190"/>
      <c r="D1043" s="164"/>
      <c r="E1043" s="103"/>
      <c r="F1043" s="103"/>
      <c r="G1043" s="103"/>
      <c r="H1043" s="149"/>
      <c r="I1043" s="104"/>
      <c r="J1043" s="104"/>
      <c r="K1043" s="108"/>
      <c r="L1043" s="145" t="s">
        <v>1815</v>
      </c>
      <c r="M1043" s="145"/>
      <c r="N1043" s="145"/>
      <c r="O1043" s="100"/>
      <c r="P1043" s="100"/>
      <c r="Q1043" s="101"/>
      <c r="R1043" s="93" t="s">
        <v>36</v>
      </c>
      <c r="S1043" s="93"/>
      <c r="T1043" s="93"/>
      <c r="U1043" s="94"/>
    </row>
    <row r="1044" spans="1:21" x14ac:dyDescent="0.4">
      <c r="A1044" s="86">
        <f t="shared" si="16"/>
        <v>1040</v>
      </c>
      <c r="B1044" s="92"/>
      <c r="C1044" s="190"/>
      <c r="D1044" s="164"/>
      <c r="E1044" s="103"/>
      <c r="F1044" s="103"/>
      <c r="G1044" s="103"/>
      <c r="H1044" s="149"/>
      <c r="I1044" s="104"/>
      <c r="J1044" s="109" t="s">
        <v>1817</v>
      </c>
      <c r="K1044" s="145"/>
      <c r="L1044" s="145"/>
      <c r="M1044" s="145"/>
      <c r="N1044" s="145"/>
      <c r="O1044" s="100"/>
      <c r="P1044" s="100"/>
      <c r="Q1044" s="101"/>
      <c r="R1044" s="93" t="s">
        <v>1239</v>
      </c>
      <c r="S1044" s="93"/>
      <c r="T1044" s="93"/>
      <c r="U1044" s="94"/>
    </row>
    <row r="1045" spans="1:21" x14ac:dyDescent="0.4">
      <c r="A1045" s="86">
        <f t="shared" si="16"/>
        <v>1041</v>
      </c>
      <c r="B1045" s="92"/>
      <c r="C1045" s="190"/>
      <c r="D1045" s="164"/>
      <c r="E1045" s="103"/>
      <c r="F1045" s="103"/>
      <c r="G1045" s="103"/>
      <c r="H1045" s="149"/>
      <c r="I1045" s="104"/>
      <c r="J1045" s="104"/>
      <c r="K1045" s="70" t="s">
        <v>1813</v>
      </c>
      <c r="L1045" s="145"/>
      <c r="M1045" s="145"/>
      <c r="N1045" s="145"/>
      <c r="O1045" s="100"/>
      <c r="P1045" s="100"/>
      <c r="Q1045" s="101"/>
      <c r="R1045" s="93" t="s">
        <v>36</v>
      </c>
      <c r="S1045" s="93"/>
      <c r="T1045" s="93"/>
      <c r="U1045" s="94"/>
    </row>
    <row r="1046" spans="1:21" x14ac:dyDescent="0.4">
      <c r="A1046" s="86">
        <f t="shared" si="16"/>
        <v>1042</v>
      </c>
      <c r="B1046" s="92"/>
      <c r="C1046" s="190"/>
      <c r="D1046" s="164"/>
      <c r="E1046" s="103"/>
      <c r="F1046" s="103"/>
      <c r="G1046" s="103"/>
      <c r="H1046" s="149"/>
      <c r="I1046" s="104"/>
      <c r="J1046" s="104"/>
      <c r="K1046" s="104"/>
      <c r="L1046" s="145" t="s">
        <v>2916</v>
      </c>
      <c r="M1046" s="145"/>
      <c r="N1046" s="145"/>
      <c r="O1046" s="100"/>
      <c r="P1046" s="100"/>
      <c r="Q1046" s="101"/>
      <c r="R1046" s="93" t="s">
        <v>2927</v>
      </c>
      <c r="S1046" s="93"/>
      <c r="T1046" s="93"/>
      <c r="U1046" s="94"/>
    </row>
    <row r="1047" spans="1:21" x14ac:dyDescent="0.4">
      <c r="A1047" s="86">
        <f t="shared" si="16"/>
        <v>1043</v>
      </c>
      <c r="B1047" s="92"/>
      <c r="C1047" s="190"/>
      <c r="D1047" s="164"/>
      <c r="E1047" s="103"/>
      <c r="F1047" s="103"/>
      <c r="G1047" s="103"/>
      <c r="H1047" s="149"/>
      <c r="I1047" s="104"/>
      <c r="J1047" s="104"/>
      <c r="K1047" s="108"/>
      <c r="L1047" s="145" t="s">
        <v>1815</v>
      </c>
      <c r="M1047" s="145"/>
      <c r="N1047" s="145"/>
      <c r="O1047" s="100"/>
      <c r="P1047" s="100"/>
      <c r="Q1047" s="101"/>
      <c r="R1047" s="93" t="s">
        <v>36</v>
      </c>
      <c r="S1047" s="93"/>
      <c r="T1047" s="93"/>
      <c r="U1047" s="94"/>
    </row>
    <row r="1048" spans="1:21" x14ac:dyDescent="0.4">
      <c r="A1048" s="86">
        <f t="shared" si="16"/>
        <v>1044</v>
      </c>
      <c r="B1048" s="92"/>
      <c r="C1048" s="190"/>
      <c r="D1048" s="164"/>
      <c r="E1048" s="103"/>
      <c r="F1048" s="103"/>
      <c r="G1048" s="103"/>
      <c r="H1048" s="149"/>
      <c r="I1048" s="104"/>
      <c r="J1048" s="109" t="s">
        <v>1818</v>
      </c>
      <c r="K1048" s="145"/>
      <c r="L1048" s="145"/>
      <c r="M1048" s="145"/>
      <c r="N1048" s="145"/>
      <c r="O1048" s="100"/>
      <c r="P1048" s="100"/>
      <c r="Q1048" s="101"/>
      <c r="R1048" s="93" t="s">
        <v>1239</v>
      </c>
      <c r="S1048" s="93"/>
      <c r="T1048" s="93"/>
      <c r="U1048" s="94"/>
    </row>
    <row r="1049" spans="1:21" x14ac:dyDescent="0.4">
      <c r="A1049" s="86">
        <f t="shared" si="16"/>
        <v>1045</v>
      </c>
      <c r="B1049" s="92"/>
      <c r="C1049" s="190"/>
      <c r="D1049" s="164"/>
      <c r="E1049" s="103"/>
      <c r="F1049" s="103"/>
      <c r="G1049" s="103"/>
      <c r="H1049" s="149"/>
      <c r="I1049" s="104"/>
      <c r="J1049" s="104"/>
      <c r="K1049" s="70" t="s">
        <v>1813</v>
      </c>
      <c r="L1049" s="145"/>
      <c r="M1049" s="145"/>
      <c r="N1049" s="145"/>
      <c r="O1049" s="100"/>
      <c r="P1049" s="100"/>
      <c r="Q1049" s="101"/>
      <c r="R1049" s="93" t="s">
        <v>36</v>
      </c>
      <c r="S1049" s="93"/>
      <c r="T1049" s="93"/>
      <c r="U1049" s="94"/>
    </row>
    <row r="1050" spans="1:21" x14ac:dyDescent="0.4">
      <c r="A1050" s="86">
        <f t="shared" si="16"/>
        <v>1046</v>
      </c>
      <c r="B1050" s="92"/>
      <c r="C1050" s="190"/>
      <c r="D1050" s="164"/>
      <c r="E1050" s="103"/>
      <c r="F1050" s="103"/>
      <c r="G1050" s="103"/>
      <c r="H1050" s="149"/>
      <c r="I1050" s="104"/>
      <c r="J1050" s="104"/>
      <c r="K1050" s="104"/>
      <c r="L1050" s="145" t="s">
        <v>2916</v>
      </c>
      <c r="M1050" s="145"/>
      <c r="N1050" s="145"/>
      <c r="O1050" s="100"/>
      <c r="P1050" s="100"/>
      <c r="Q1050" s="101"/>
      <c r="R1050" s="93" t="s">
        <v>2927</v>
      </c>
      <c r="S1050" s="93"/>
      <c r="T1050" s="93"/>
      <c r="U1050" s="94"/>
    </row>
    <row r="1051" spans="1:21" x14ac:dyDescent="0.4">
      <c r="A1051" s="86">
        <f t="shared" si="16"/>
        <v>1047</v>
      </c>
      <c r="B1051" s="92"/>
      <c r="C1051" s="190"/>
      <c r="D1051" s="164"/>
      <c r="E1051" s="103"/>
      <c r="F1051" s="103"/>
      <c r="G1051" s="103"/>
      <c r="H1051" s="149"/>
      <c r="I1051" s="104"/>
      <c r="J1051" s="104"/>
      <c r="K1051" s="108"/>
      <c r="L1051" s="145" t="s">
        <v>1815</v>
      </c>
      <c r="M1051" s="145"/>
      <c r="N1051" s="145"/>
      <c r="O1051" s="100"/>
      <c r="P1051" s="100"/>
      <c r="Q1051" s="101"/>
      <c r="R1051" s="93" t="s">
        <v>36</v>
      </c>
      <c r="S1051" s="93"/>
      <c r="T1051" s="93"/>
      <c r="U1051" s="94"/>
    </row>
    <row r="1052" spans="1:21" x14ac:dyDescent="0.4">
      <c r="A1052" s="86">
        <f t="shared" si="16"/>
        <v>1048</v>
      </c>
      <c r="B1052" s="92"/>
      <c r="C1052" s="190"/>
      <c r="D1052" s="164"/>
      <c r="E1052" s="103"/>
      <c r="F1052" s="103"/>
      <c r="G1052" s="103"/>
      <c r="H1052" s="149"/>
      <c r="I1052" s="104"/>
      <c r="J1052" s="109" t="s">
        <v>1819</v>
      </c>
      <c r="K1052" s="145"/>
      <c r="L1052" s="145"/>
      <c r="M1052" s="145"/>
      <c r="N1052" s="145"/>
      <c r="O1052" s="100"/>
      <c r="P1052" s="100"/>
      <c r="Q1052" s="101"/>
      <c r="R1052" s="93" t="s">
        <v>1239</v>
      </c>
      <c r="S1052" s="93"/>
      <c r="T1052" s="93"/>
      <c r="U1052" s="94"/>
    </row>
    <row r="1053" spans="1:21" x14ac:dyDescent="0.4">
      <c r="A1053" s="86">
        <f t="shared" si="16"/>
        <v>1049</v>
      </c>
      <c r="B1053" s="92"/>
      <c r="C1053" s="190"/>
      <c r="D1053" s="164"/>
      <c r="E1053" s="103"/>
      <c r="F1053" s="103"/>
      <c r="G1053" s="103"/>
      <c r="H1053" s="149"/>
      <c r="I1053" s="104"/>
      <c r="J1053" s="104"/>
      <c r="K1053" s="70" t="s">
        <v>1813</v>
      </c>
      <c r="L1053" s="145"/>
      <c r="M1053" s="145"/>
      <c r="N1053" s="145"/>
      <c r="O1053" s="100"/>
      <c r="P1053" s="100"/>
      <c r="Q1053" s="101"/>
      <c r="R1053" s="93" t="s">
        <v>36</v>
      </c>
      <c r="S1053" s="93"/>
      <c r="T1053" s="93"/>
      <c r="U1053" s="94"/>
    </row>
    <row r="1054" spans="1:21" x14ac:dyDescent="0.4">
      <c r="A1054" s="86">
        <f t="shared" si="16"/>
        <v>1050</v>
      </c>
      <c r="B1054" s="92"/>
      <c r="C1054" s="190"/>
      <c r="D1054" s="164"/>
      <c r="E1054" s="103"/>
      <c r="F1054" s="103"/>
      <c r="G1054" s="103"/>
      <c r="H1054" s="149"/>
      <c r="I1054" s="104"/>
      <c r="J1054" s="104"/>
      <c r="K1054" s="104"/>
      <c r="L1054" s="145" t="s">
        <v>2916</v>
      </c>
      <c r="M1054" s="145"/>
      <c r="N1054" s="145"/>
      <c r="O1054" s="100"/>
      <c r="P1054" s="100"/>
      <c r="Q1054" s="101"/>
      <c r="R1054" s="93" t="s">
        <v>2927</v>
      </c>
      <c r="S1054" s="93"/>
      <c r="T1054" s="93"/>
      <c r="U1054" s="94"/>
    </row>
    <row r="1055" spans="1:21" x14ac:dyDescent="0.4">
      <c r="A1055" s="86">
        <f t="shared" si="16"/>
        <v>1051</v>
      </c>
      <c r="B1055" s="92"/>
      <c r="C1055" s="190"/>
      <c r="D1055" s="164"/>
      <c r="E1055" s="103"/>
      <c r="F1055" s="103"/>
      <c r="G1055" s="103"/>
      <c r="H1055" s="149"/>
      <c r="I1055" s="104"/>
      <c r="J1055" s="104"/>
      <c r="K1055" s="104"/>
      <c r="L1055" s="145" t="s">
        <v>1820</v>
      </c>
      <c r="M1055" s="145"/>
      <c r="N1055" s="145"/>
      <c r="O1055" s="100"/>
      <c r="P1055" s="100"/>
      <c r="Q1055" s="101"/>
      <c r="R1055" s="93" t="s">
        <v>36</v>
      </c>
      <c r="S1055" s="93"/>
      <c r="T1055" s="93"/>
      <c r="U1055" s="94"/>
    </row>
    <row r="1056" spans="1:21" x14ac:dyDescent="0.4">
      <c r="A1056" s="86">
        <f t="shared" si="16"/>
        <v>1052</v>
      </c>
      <c r="B1056" s="92"/>
      <c r="C1056" s="190"/>
      <c r="D1056" s="164"/>
      <c r="E1056" s="103"/>
      <c r="F1056" s="103"/>
      <c r="G1056" s="103"/>
      <c r="H1056" s="149"/>
      <c r="I1056" s="104"/>
      <c r="J1056" s="104"/>
      <c r="K1056" s="108"/>
      <c r="L1056" s="145" t="s">
        <v>1815</v>
      </c>
      <c r="M1056" s="145"/>
      <c r="N1056" s="145"/>
      <c r="O1056" s="100"/>
      <c r="P1056" s="100"/>
      <c r="Q1056" s="101"/>
      <c r="R1056" s="93" t="s">
        <v>36</v>
      </c>
      <c r="S1056" s="93"/>
      <c r="T1056" s="93"/>
      <c r="U1056" s="94"/>
    </row>
    <row r="1057" spans="1:21" x14ac:dyDescent="0.4">
      <c r="A1057" s="86">
        <f t="shared" si="16"/>
        <v>1053</v>
      </c>
      <c r="B1057" s="92"/>
      <c r="C1057" s="190"/>
      <c r="D1057" s="164"/>
      <c r="E1057" s="103"/>
      <c r="F1057" s="103"/>
      <c r="G1057" s="103"/>
      <c r="H1057" s="149"/>
      <c r="I1057" s="104"/>
      <c r="J1057" s="109" t="s">
        <v>1821</v>
      </c>
      <c r="K1057" s="145"/>
      <c r="L1057" s="145"/>
      <c r="M1057" s="145"/>
      <c r="N1057" s="145"/>
      <c r="O1057" s="100"/>
      <c r="P1057" s="100"/>
      <c r="Q1057" s="101"/>
      <c r="R1057" s="93" t="s">
        <v>1239</v>
      </c>
      <c r="S1057" s="93"/>
      <c r="T1057" s="93"/>
      <c r="U1057" s="94"/>
    </row>
    <row r="1058" spans="1:21" x14ac:dyDescent="0.4">
      <c r="A1058" s="86">
        <f t="shared" si="16"/>
        <v>1054</v>
      </c>
      <c r="B1058" s="92"/>
      <c r="C1058" s="190"/>
      <c r="D1058" s="164"/>
      <c r="E1058" s="103"/>
      <c r="F1058" s="103"/>
      <c r="G1058" s="103"/>
      <c r="H1058" s="149"/>
      <c r="I1058" s="104"/>
      <c r="J1058" s="104"/>
      <c r="K1058" s="70" t="s">
        <v>1813</v>
      </c>
      <c r="L1058" s="145"/>
      <c r="M1058" s="145"/>
      <c r="N1058" s="145"/>
      <c r="O1058" s="100"/>
      <c r="P1058" s="100"/>
      <c r="Q1058" s="101"/>
      <c r="R1058" s="93" t="s">
        <v>36</v>
      </c>
      <c r="S1058" s="93"/>
      <c r="T1058" s="93"/>
      <c r="U1058" s="94"/>
    </row>
    <row r="1059" spans="1:21" x14ac:dyDescent="0.4">
      <c r="A1059" s="86">
        <f t="shared" si="16"/>
        <v>1055</v>
      </c>
      <c r="B1059" s="92"/>
      <c r="C1059" s="190"/>
      <c r="D1059" s="164"/>
      <c r="E1059" s="103"/>
      <c r="F1059" s="103"/>
      <c r="G1059" s="103"/>
      <c r="H1059" s="149"/>
      <c r="I1059" s="104"/>
      <c r="J1059" s="104"/>
      <c r="K1059" s="104"/>
      <c r="L1059" s="145" t="s">
        <v>2916</v>
      </c>
      <c r="M1059" s="145"/>
      <c r="N1059" s="145"/>
      <c r="O1059" s="100"/>
      <c r="P1059" s="100"/>
      <c r="Q1059" s="101"/>
      <c r="R1059" s="93" t="s">
        <v>2982</v>
      </c>
      <c r="S1059" s="93"/>
      <c r="T1059" s="93"/>
      <c r="U1059" s="94"/>
    </row>
    <row r="1060" spans="1:21" x14ac:dyDescent="0.4">
      <c r="A1060" s="86">
        <f t="shared" si="16"/>
        <v>1056</v>
      </c>
      <c r="B1060" s="92"/>
      <c r="C1060" s="190"/>
      <c r="D1060" s="164"/>
      <c r="E1060" s="103"/>
      <c r="F1060" s="103"/>
      <c r="G1060" s="103"/>
      <c r="H1060" s="149"/>
      <c r="I1060" s="104"/>
      <c r="J1060" s="104"/>
      <c r="K1060" s="108"/>
      <c r="L1060" s="145" t="s">
        <v>1822</v>
      </c>
      <c r="M1060" s="145"/>
      <c r="N1060" s="145"/>
      <c r="O1060" s="100"/>
      <c r="P1060" s="100"/>
      <c r="Q1060" s="101"/>
      <c r="R1060" s="93" t="s">
        <v>36</v>
      </c>
      <c r="S1060" s="93"/>
      <c r="T1060" s="93"/>
      <c r="U1060" s="94"/>
    </row>
    <row r="1061" spans="1:21" x14ac:dyDescent="0.4">
      <c r="A1061" s="86">
        <f t="shared" si="16"/>
        <v>1057</v>
      </c>
      <c r="B1061" s="92"/>
      <c r="C1061" s="190"/>
      <c r="D1061" s="164"/>
      <c r="E1061" s="103"/>
      <c r="F1061" s="103"/>
      <c r="G1061" s="103"/>
      <c r="H1061" s="149"/>
      <c r="I1061" s="104"/>
      <c r="J1061" s="109" t="s">
        <v>1823</v>
      </c>
      <c r="K1061" s="145"/>
      <c r="L1061" s="145"/>
      <c r="M1061" s="145"/>
      <c r="N1061" s="145"/>
      <c r="O1061" s="100"/>
      <c r="P1061" s="100"/>
      <c r="Q1061" s="101"/>
      <c r="R1061" s="93" t="s">
        <v>1239</v>
      </c>
      <c r="S1061" s="93"/>
      <c r="T1061" s="93"/>
      <c r="U1061" s="94"/>
    </row>
    <row r="1062" spans="1:21" x14ac:dyDescent="0.4">
      <c r="A1062" s="86">
        <f t="shared" si="16"/>
        <v>1058</v>
      </c>
      <c r="B1062" s="92"/>
      <c r="C1062" s="190"/>
      <c r="D1062" s="164"/>
      <c r="E1062" s="103"/>
      <c r="F1062" s="103"/>
      <c r="G1062" s="103"/>
      <c r="H1062" s="149"/>
      <c r="I1062" s="104"/>
      <c r="J1062" s="104"/>
      <c r="K1062" s="70" t="s">
        <v>1813</v>
      </c>
      <c r="L1062" s="145"/>
      <c r="M1062" s="145"/>
      <c r="N1062" s="145"/>
      <c r="O1062" s="100"/>
      <c r="P1062" s="100"/>
      <c r="Q1062" s="101"/>
      <c r="R1062" s="93" t="s">
        <v>36</v>
      </c>
      <c r="S1062" s="93"/>
      <c r="T1062" s="93"/>
      <c r="U1062" s="94"/>
    </row>
    <row r="1063" spans="1:21" x14ac:dyDescent="0.4">
      <c r="A1063" s="86">
        <f t="shared" si="16"/>
        <v>1059</v>
      </c>
      <c r="B1063" s="92"/>
      <c r="C1063" s="190"/>
      <c r="D1063" s="164"/>
      <c r="E1063" s="103"/>
      <c r="F1063" s="103"/>
      <c r="G1063" s="103"/>
      <c r="H1063" s="149"/>
      <c r="I1063" s="104"/>
      <c r="J1063" s="104"/>
      <c r="K1063" s="104"/>
      <c r="L1063" s="145" t="s">
        <v>2916</v>
      </c>
      <c r="M1063" s="145"/>
      <c r="N1063" s="145"/>
      <c r="O1063" s="100"/>
      <c r="P1063" s="100"/>
      <c r="Q1063" s="101"/>
      <c r="R1063" s="93" t="s">
        <v>2982</v>
      </c>
      <c r="S1063" s="93"/>
      <c r="T1063" s="93"/>
      <c r="U1063" s="94"/>
    </row>
    <row r="1064" spans="1:21" x14ac:dyDescent="0.4">
      <c r="A1064" s="86">
        <f t="shared" si="16"/>
        <v>1060</v>
      </c>
      <c r="B1064" s="92"/>
      <c r="C1064" s="190"/>
      <c r="D1064" s="164"/>
      <c r="E1064" s="103"/>
      <c r="F1064" s="103"/>
      <c r="G1064" s="103"/>
      <c r="H1064" s="149"/>
      <c r="I1064" s="104"/>
      <c r="J1064" s="104"/>
      <c r="K1064" s="108"/>
      <c r="L1064" s="145" t="s">
        <v>1824</v>
      </c>
      <c r="M1064" s="145"/>
      <c r="N1064" s="145"/>
      <c r="O1064" s="100"/>
      <c r="P1064" s="100"/>
      <c r="Q1064" s="101"/>
      <c r="R1064" s="93" t="s">
        <v>36</v>
      </c>
      <c r="S1064" s="93"/>
      <c r="T1064" s="93"/>
      <c r="U1064" s="94"/>
    </row>
    <row r="1065" spans="1:21" x14ac:dyDescent="0.4">
      <c r="A1065" s="86">
        <f t="shared" si="16"/>
        <v>1061</v>
      </c>
      <c r="B1065" s="92"/>
      <c r="C1065" s="190"/>
      <c r="D1065" s="164"/>
      <c r="E1065" s="103"/>
      <c r="F1065" s="103"/>
      <c r="G1065" s="103"/>
      <c r="H1065" s="149"/>
      <c r="I1065" s="104"/>
      <c r="J1065" s="109" t="s">
        <v>1825</v>
      </c>
      <c r="K1065" s="145"/>
      <c r="L1065" s="145"/>
      <c r="M1065" s="145"/>
      <c r="N1065" s="145"/>
      <c r="O1065" s="100"/>
      <c r="P1065" s="100"/>
      <c r="Q1065" s="101"/>
      <c r="R1065" s="93" t="s">
        <v>1239</v>
      </c>
      <c r="S1065" s="93"/>
      <c r="T1065" s="93"/>
      <c r="U1065" s="94"/>
    </row>
    <row r="1066" spans="1:21" x14ac:dyDescent="0.4">
      <c r="A1066" s="86">
        <f t="shared" si="16"/>
        <v>1062</v>
      </c>
      <c r="B1066" s="92"/>
      <c r="C1066" s="190"/>
      <c r="D1066" s="164"/>
      <c r="E1066" s="103"/>
      <c r="F1066" s="103"/>
      <c r="G1066" s="103"/>
      <c r="H1066" s="149"/>
      <c r="I1066" s="104"/>
      <c r="J1066" s="104"/>
      <c r="K1066" s="70" t="s">
        <v>1813</v>
      </c>
      <c r="L1066" s="145"/>
      <c r="M1066" s="145"/>
      <c r="N1066" s="145"/>
      <c r="O1066" s="100"/>
      <c r="P1066" s="100"/>
      <c r="Q1066" s="101"/>
      <c r="R1066" s="93" t="s">
        <v>36</v>
      </c>
      <c r="S1066" s="93"/>
      <c r="T1066" s="93"/>
      <c r="U1066" s="94"/>
    </row>
    <row r="1067" spans="1:21" x14ac:dyDescent="0.4">
      <c r="A1067" s="86">
        <f t="shared" si="16"/>
        <v>1063</v>
      </c>
      <c r="B1067" s="92"/>
      <c r="C1067" s="190"/>
      <c r="D1067" s="164"/>
      <c r="E1067" s="103"/>
      <c r="F1067" s="103"/>
      <c r="G1067" s="103"/>
      <c r="H1067" s="149"/>
      <c r="I1067" s="104"/>
      <c r="J1067" s="104"/>
      <c r="K1067" s="104"/>
      <c r="L1067" s="145" t="s">
        <v>2916</v>
      </c>
      <c r="M1067" s="145"/>
      <c r="N1067" s="145"/>
      <c r="O1067" s="100"/>
      <c r="P1067" s="100"/>
      <c r="Q1067" s="101"/>
      <c r="R1067" s="93" t="s">
        <v>2927</v>
      </c>
      <c r="S1067" s="93"/>
      <c r="T1067" s="93"/>
      <c r="U1067" s="94"/>
    </row>
    <row r="1068" spans="1:21" x14ac:dyDescent="0.4">
      <c r="A1068" s="86">
        <f t="shared" si="16"/>
        <v>1064</v>
      </c>
      <c r="B1068" s="92"/>
      <c r="C1068" s="190"/>
      <c r="D1068" s="164"/>
      <c r="E1068" s="103"/>
      <c r="F1068" s="103"/>
      <c r="G1068" s="103"/>
      <c r="H1068" s="149"/>
      <c r="I1068" s="104"/>
      <c r="J1068" s="109" t="s">
        <v>1826</v>
      </c>
      <c r="K1068" s="100"/>
      <c r="L1068" s="145"/>
      <c r="M1068" s="145"/>
      <c r="N1068" s="145"/>
      <c r="O1068" s="100"/>
      <c r="P1068" s="100"/>
      <c r="Q1068" s="101"/>
      <c r="R1068" s="93" t="s">
        <v>1239</v>
      </c>
      <c r="S1068" s="93"/>
      <c r="T1068" s="93"/>
      <c r="U1068" s="94"/>
    </row>
    <row r="1069" spans="1:21" x14ac:dyDescent="0.4">
      <c r="A1069" s="86">
        <f t="shared" si="16"/>
        <v>1065</v>
      </c>
      <c r="B1069" s="92"/>
      <c r="C1069" s="190"/>
      <c r="D1069" s="164"/>
      <c r="E1069" s="103"/>
      <c r="F1069" s="103"/>
      <c r="G1069" s="103"/>
      <c r="H1069" s="149"/>
      <c r="I1069" s="104"/>
      <c r="J1069" s="104"/>
      <c r="K1069" s="70" t="s">
        <v>1813</v>
      </c>
      <c r="L1069" s="145"/>
      <c r="M1069" s="145"/>
      <c r="N1069" s="145"/>
      <c r="O1069" s="100"/>
      <c r="P1069" s="100"/>
      <c r="Q1069" s="101"/>
      <c r="R1069" s="93" t="s">
        <v>36</v>
      </c>
      <c r="S1069" s="93"/>
      <c r="T1069" s="93"/>
      <c r="U1069" s="94"/>
    </row>
    <row r="1070" spans="1:21" x14ac:dyDescent="0.4">
      <c r="A1070" s="86">
        <f t="shared" si="16"/>
        <v>1066</v>
      </c>
      <c r="B1070" s="92"/>
      <c r="C1070" s="190"/>
      <c r="D1070" s="164"/>
      <c r="E1070" s="103"/>
      <c r="F1070" s="103"/>
      <c r="G1070" s="103"/>
      <c r="H1070" s="149"/>
      <c r="I1070" s="104"/>
      <c r="J1070" s="104"/>
      <c r="K1070" s="104"/>
      <c r="L1070" s="145" t="s">
        <v>2916</v>
      </c>
      <c r="M1070" s="145"/>
      <c r="N1070" s="145"/>
      <c r="O1070" s="100"/>
      <c r="P1070" s="100"/>
      <c r="Q1070" s="101"/>
      <c r="R1070" s="93" t="s">
        <v>2927</v>
      </c>
      <c r="S1070" s="93"/>
      <c r="T1070" s="93"/>
      <c r="U1070" s="94"/>
    </row>
    <row r="1071" spans="1:21" x14ac:dyDescent="0.4">
      <c r="A1071" s="86">
        <f t="shared" si="16"/>
        <v>1067</v>
      </c>
      <c r="B1071" s="92"/>
      <c r="C1071" s="190"/>
      <c r="D1071" s="164"/>
      <c r="E1071" s="103"/>
      <c r="F1071" s="103"/>
      <c r="G1071" s="103"/>
      <c r="H1071" s="149"/>
      <c r="I1071" s="104"/>
      <c r="J1071" s="104"/>
      <c r="K1071" s="108"/>
      <c r="L1071" s="145" t="s">
        <v>1815</v>
      </c>
      <c r="M1071" s="145"/>
      <c r="N1071" s="145"/>
      <c r="O1071" s="100"/>
      <c r="P1071" s="100"/>
      <c r="Q1071" s="101"/>
      <c r="R1071" s="93" t="s">
        <v>36</v>
      </c>
      <c r="S1071" s="93"/>
      <c r="T1071" s="93"/>
      <c r="U1071" s="94"/>
    </row>
    <row r="1072" spans="1:21" x14ac:dyDescent="0.4">
      <c r="A1072" s="86">
        <f t="shared" si="16"/>
        <v>1068</v>
      </c>
      <c r="B1072" s="92"/>
      <c r="C1072" s="190"/>
      <c r="D1072" s="164"/>
      <c r="E1072" s="103"/>
      <c r="F1072" s="103"/>
      <c r="G1072" s="103"/>
      <c r="H1072" s="149"/>
      <c r="I1072" s="104"/>
      <c r="J1072" s="109" t="s">
        <v>1827</v>
      </c>
      <c r="K1072" s="100"/>
      <c r="L1072" s="145"/>
      <c r="M1072" s="145"/>
      <c r="N1072" s="145"/>
      <c r="O1072" s="100"/>
      <c r="P1072" s="100"/>
      <c r="Q1072" s="101"/>
      <c r="R1072" s="93" t="s">
        <v>1239</v>
      </c>
      <c r="S1072" s="93"/>
      <c r="T1072" s="93"/>
      <c r="U1072" s="94"/>
    </row>
    <row r="1073" spans="1:21" x14ac:dyDescent="0.4">
      <c r="A1073" s="86">
        <f t="shared" si="16"/>
        <v>1069</v>
      </c>
      <c r="B1073" s="92"/>
      <c r="C1073" s="190"/>
      <c r="D1073" s="164"/>
      <c r="E1073" s="103"/>
      <c r="F1073" s="103"/>
      <c r="G1073" s="103"/>
      <c r="H1073" s="149"/>
      <c r="I1073" s="104"/>
      <c r="J1073" s="104"/>
      <c r="K1073" s="70" t="s">
        <v>1813</v>
      </c>
      <c r="L1073" s="145"/>
      <c r="M1073" s="145"/>
      <c r="N1073" s="145"/>
      <c r="O1073" s="100"/>
      <c r="P1073" s="100"/>
      <c r="Q1073" s="101"/>
      <c r="R1073" s="93" t="s">
        <v>36</v>
      </c>
      <c r="S1073" s="93"/>
      <c r="T1073" s="93"/>
      <c r="U1073" s="94"/>
    </row>
    <row r="1074" spans="1:21" x14ac:dyDescent="0.4">
      <c r="A1074" s="86">
        <f t="shared" si="16"/>
        <v>1070</v>
      </c>
      <c r="B1074" s="92"/>
      <c r="C1074" s="190"/>
      <c r="D1074" s="164"/>
      <c r="E1074" s="103"/>
      <c r="F1074" s="103"/>
      <c r="G1074" s="103"/>
      <c r="H1074" s="149"/>
      <c r="I1074" s="104"/>
      <c r="J1074" s="104"/>
      <c r="K1074" s="104"/>
      <c r="L1074" s="145" t="s">
        <v>2916</v>
      </c>
      <c r="M1074" s="145"/>
      <c r="N1074" s="145"/>
      <c r="O1074" s="100"/>
      <c r="P1074" s="100"/>
      <c r="Q1074" s="101"/>
      <c r="R1074" s="93" t="s">
        <v>2927</v>
      </c>
      <c r="S1074" s="93"/>
      <c r="T1074" s="93"/>
      <c r="U1074" s="94"/>
    </row>
    <row r="1075" spans="1:21" x14ac:dyDescent="0.4">
      <c r="A1075" s="86">
        <f t="shared" si="16"/>
        <v>1071</v>
      </c>
      <c r="B1075" s="92"/>
      <c r="C1075" s="190"/>
      <c r="D1075" s="164"/>
      <c r="E1075" s="103"/>
      <c r="F1075" s="103"/>
      <c r="G1075" s="103"/>
      <c r="H1075" s="149"/>
      <c r="I1075" s="104"/>
      <c r="J1075" s="104"/>
      <c r="K1075" s="108"/>
      <c r="L1075" s="145" t="s">
        <v>1815</v>
      </c>
      <c r="M1075" s="145"/>
      <c r="N1075" s="145"/>
      <c r="O1075" s="100"/>
      <c r="P1075" s="100"/>
      <c r="Q1075" s="101"/>
      <c r="R1075" s="93" t="s">
        <v>36</v>
      </c>
      <c r="S1075" s="93"/>
      <c r="T1075" s="93"/>
      <c r="U1075" s="94"/>
    </row>
    <row r="1076" spans="1:21" x14ac:dyDescent="0.4">
      <c r="A1076" s="86">
        <f t="shared" si="16"/>
        <v>1072</v>
      </c>
      <c r="B1076" s="92"/>
      <c r="C1076" s="190"/>
      <c r="D1076" s="164"/>
      <c r="E1076" s="103"/>
      <c r="F1076" s="103"/>
      <c r="G1076" s="103"/>
      <c r="H1076" s="149"/>
      <c r="I1076" s="104"/>
      <c r="J1076" s="109" t="s">
        <v>1828</v>
      </c>
      <c r="K1076" s="100"/>
      <c r="L1076" s="145"/>
      <c r="M1076" s="145"/>
      <c r="N1076" s="145"/>
      <c r="O1076" s="100"/>
      <c r="P1076" s="100"/>
      <c r="Q1076" s="101"/>
      <c r="R1076" s="93" t="s">
        <v>1239</v>
      </c>
      <c r="S1076" s="93"/>
      <c r="T1076" s="93"/>
      <c r="U1076" s="94"/>
    </row>
    <row r="1077" spans="1:21" x14ac:dyDescent="0.4">
      <c r="A1077" s="86">
        <f t="shared" si="16"/>
        <v>1073</v>
      </c>
      <c r="B1077" s="92"/>
      <c r="C1077" s="190"/>
      <c r="D1077" s="164"/>
      <c r="E1077" s="103"/>
      <c r="F1077" s="103"/>
      <c r="G1077" s="103"/>
      <c r="H1077" s="149"/>
      <c r="I1077" s="104"/>
      <c r="J1077" s="104"/>
      <c r="K1077" s="70" t="s">
        <v>1813</v>
      </c>
      <c r="L1077" s="145"/>
      <c r="M1077" s="145"/>
      <c r="N1077" s="145"/>
      <c r="O1077" s="100"/>
      <c r="P1077" s="100"/>
      <c r="Q1077" s="101"/>
      <c r="R1077" s="93" t="s">
        <v>36</v>
      </c>
      <c r="S1077" s="93"/>
      <c r="T1077" s="93"/>
      <c r="U1077" s="94"/>
    </row>
    <row r="1078" spans="1:21" x14ac:dyDescent="0.4">
      <c r="A1078" s="86">
        <f t="shared" si="16"/>
        <v>1074</v>
      </c>
      <c r="B1078" s="92"/>
      <c r="C1078" s="190"/>
      <c r="D1078" s="164"/>
      <c r="E1078" s="103"/>
      <c r="F1078" s="103"/>
      <c r="G1078" s="103"/>
      <c r="H1078" s="149"/>
      <c r="I1078" s="104"/>
      <c r="J1078" s="104"/>
      <c r="K1078" s="104"/>
      <c r="L1078" s="145" t="s">
        <v>2916</v>
      </c>
      <c r="M1078" s="145"/>
      <c r="N1078" s="145"/>
      <c r="O1078" s="100"/>
      <c r="P1078" s="100"/>
      <c r="Q1078" s="101"/>
      <c r="R1078" s="93" t="s">
        <v>2927</v>
      </c>
      <c r="S1078" s="93"/>
      <c r="T1078" s="93"/>
      <c r="U1078" s="94"/>
    </row>
    <row r="1079" spans="1:21" x14ac:dyDescent="0.4">
      <c r="A1079" s="86">
        <f t="shared" si="16"/>
        <v>1075</v>
      </c>
      <c r="B1079" s="92"/>
      <c r="C1079" s="190"/>
      <c r="D1079" s="164"/>
      <c r="E1079" s="103"/>
      <c r="F1079" s="103"/>
      <c r="G1079" s="103"/>
      <c r="H1079" s="149"/>
      <c r="I1079" s="104"/>
      <c r="J1079" s="104"/>
      <c r="K1079" s="104"/>
      <c r="L1079" s="145" t="s">
        <v>1829</v>
      </c>
      <c r="M1079" s="145"/>
      <c r="N1079" s="145"/>
      <c r="O1079" s="100"/>
      <c r="P1079" s="100"/>
      <c r="Q1079" s="101"/>
      <c r="R1079" s="93" t="s">
        <v>36</v>
      </c>
      <c r="S1079" s="93"/>
      <c r="T1079" s="93"/>
      <c r="U1079" s="94"/>
    </row>
    <row r="1080" spans="1:21" x14ac:dyDescent="0.4">
      <c r="A1080" s="86">
        <f t="shared" si="16"/>
        <v>1076</v>
      </c>
      <c r="B1080" s="92"/>
      <c r="C1080" s="190"/>
      <c r="D1080" s="164"/>
      <c r="E1080" s="103"/>
      <c r="F1080" s="103"/>
      <c r="G1080" s="103"/>
      <c r="H1080" s="149"/>
      <c r="I1080" s="104"/>
      <c r="J1080" s="104"/>
      <c r="K1080" s="108"/>
      <c r="L1080" s="145" t="s">
        <v>1815</v>
      </c>
      <c r="M1080" s="145"/>
      <c r="N1080" s="145"/>
      <c r="O1080" s="100"/>
      <c r="P1080" s="100"/>
      <c r="Q1080" s="101"/>
      <c r="R1080" s="93" t="s">
        <v>36</v>
      </c>
      <c r="S1080" s="93"/>
      <c r="T1080" s="93"/>
      <c r="U1080" s="94"/>
    </row>
    <row r="1081" spans="1:21" x14ac:dyDescent="0.4">
      <c r="A1081" s="86">
        <f t="shared" si="16"/>
        <v>1077</v>
      </c>
      <c r="B1081" s="92"/>
      <c r="C1081" s="190"/>
      <c r="D1081" s="164"/>
      <c r="E1081" s="103"/>
      <c r="F1081" s="103"/>
      <c r="G1081" s="103"/>
      <c r="H1081" s="149"/>
      <c r="I1081" s="104"/>
      <c r="J1081" s="109" t="s">
        <v>1830</v>
      </c>
      <c r="K1081" s="100"/>
      <c r="L1081" s="145"/>
      <c r="M1081" s="145"/>
      <c r="N1081" s="145"/>
      <c r="O1081" s="100"/>
      <c r="P1081" s="100"/>
      <c r="Q1081" s="101"/>
      <c r="R1081" s="93" t="s">
        <v>1239</v>
      </c>
      <c r="S1081" s="93"/>
      <c r="T1081" s="93"/>
      <c r="U1081" s="94"/>
    </row>
    <row r="1082" spans="1:21" x14ac:dyDescent="0.4">
      <c r="A1082" s="86">
        <f t="shared" si="16"/>
        <v>1078</v>
      </c>
      <c r="B1082" s="92"/>
      <c r="C1082" s="190"/>
      <c r="D1082" s="164"/>
      <c r="E1082" s="103"/>
      <c r="F1082" s="103"/>
      <c r="G1082" s="103"/>
      <c r="H1082" s="149"/>
      <c r="I1082" s="104"/>
      <c r="J1082" s="104"/>
      <c r="K1082" s="70" t="s">
        <v>1813</v>
      </c>
      <c r="L1082" s="145"/>
      <c r="M1082" s="145"/>
      <c r="N1082" s="145"/>
      <c r="O1082" s="100"/>
      <c r="P1082" s="100"/>
      <c r="Q1082" s="101"/>
      <c r="R1082" s="93" t="s">
        <v>20</v>
      </c>
      <c r="S1082" s="93"/>
      <c r="T1082" s="93"/>
      <c r="U1082" s="94"/>
    </row>
    <row r="1083" spans="1:21" x14ac:dyDescent="0.4">
      <c r="A1083" s="86">
        <f t="shared" si="16"/>
        <v>1079</v>
      </c>
      <c r="B1083" s="92"/>
      <c r="C1083" s="190"/>
      <c r="D1083" s="164"/>
      <c r="E1083" s="103"/>
      <c r="F1083" s="103"/>
      <c r="G1083" s="103"/>
      <c r="H1083" s="149"/>
      <c r="I1083" s="104"/>
      <c r="J1083" s="104"/>
      <c r="K1083" s="104"/>
      <c r="L1083" s="145" t="s">
        <v>2916</v>
      </c>
      <c r="M1083" s="145"/>
      <c r="N1083" s="145"/>
      <c r="O1083" s="100"/>
      <c r="P1083" s="100"/>
      <c r="Q1083" s="101"/>
      <c r="R1083" s="93" t="s">
        <v>2982</v>
      </c>
      <c r="S1083" s="93"/>
      <c r="T1083" s="93"/>
      <c r="U1083" s="94"/>
    </row>
    <row r="1084" spans="1:21" x14ac:dyDescent="0.4">
      <c r="A1084" s="86">
        <f t="shared" si="16"/>
        <v>1080</v>
      </c>
      <c r="B1084" s="92"/>
      <c r="C1084" s="190"/>
      <c r="D1084" s="164"/>
      <c r="E1084" s="103"/>
      <c r="F1084" s="103"/>
      <c r="G1084" s="103"/>
      <c r="H1084" s="149"/>
      <c r="I1084" s="104"/>
      <c r="J1084" s="104"/>
      <c r="K1084" s="108"/>
      <c r="L1084" s="145" t="s">
        <v>1831</v>
      </c>
      <c r="M1084" s="145"/>
      <c r="N1084" s="145"/>
      <c r="O1084" s="100"/>
      <c r="P1084" s="100"/>
      <c r="Q1084" s="101"/>
      <c r="R1084" s="93" t="s">
        <v>36</v>
      </c>
      <c r="S1084" s="93"/>
      <c r="T1084" s="93"/>
      <c r="U1084" s="94"/>
    </row>
    <row r="1085" spans="1:21" x14ac:dyDescent="0.4">
      <c r="A1085" s="86">
        <f t="shared" si="16"/>
        <v>1081</v>
      </c>
      <c r="B1085" s="92"/>
      <c r="C1085" s="190"/>
      <c r="D1085" s="164"/>
      <c r="E1085" s="103"/>
      <c r="F1085" s="103"/>
      <c r="G1085" s="103"/>
      <c r="H1085" s="149"/>
      <c r="I1085" s="104"/>
      <c r="J1085" s="109" t="s">
        <v>1832</v>
      </c>
      <c r="K1085" s="100"/>
      <c r="L1085" s="145"/>
      <c r="M1085" s="145"/>
      <c r="N1085" s="145"/>
      <c r="O1085" s="100"/>
      <c r="P1085" s="100"/>
      <c r="Q1085" s="101"/>
      <c r="R1085" s="93" t="s">
        <v>1239</v>
      </c>
      <c r="S1085" s="93"/>
      <c r="T1085" s="93"/>
      <c r="U1085" s="94"/>
    </row>
    <row r="1086" spans="1:21" x14ac:dyDescent="0.4">
      <c r="A1086" s="86">
        <f t="shared" si="16"/>
        <v>1082</v>
      </c>
      <c r="B1086" s="92"/>
      <c r="C1086" s="190"/>
      <c r="D1086" s="164"/>
      <c r="E1086" s="103"/>
      <c r="F1086" s="103"/>
      <c r="G1086" s="103"/>
      <c r="H1086" s="149"/>
      <c r="I1086" s="104"/>
      <c r="J1086" s="104"/>
      <c r="K1086" s="70" t="s">
        <v>1813</v>
      </c>
      <c r="L1086" s="145"/>
      <c r="M1086" s="145"/>
      <c r="N1086" s="145"/>
      <c r="O1086" s="100"/>
      <c r="P1086" s="100"/>
      <c r="Q1086" s="101"/>
      <c r="R1086" s="93" t="s">
        <v>36</v>
      </c>
      <c r="S1086" s="93"/>
      <c r="T1086" s="93"/>
      <c r="U1086" s="94"/>
    </row>
    <row r="1087" spans="1:21" x14ac:dyDescent="0.4">
      <c r="A1087" s="86">
        <f t="shared" si="16"/>
        <v>1083</v>
      </c>
      <c r="B1087" s="92"/>
      <c r="C1087" s="190"/>
      <c r="D1087" s="164"/>
      <c r="E1087" s="103"/>
      <c r="F1087" s="103"/>
      <c r="G1087" s="103"/>
      <c r="H1087" s="149"/>
      <c r="I1087" s="104"/>
      <c r="J1087" s="104"/>
      <c r="K1087" s="104"/>
      <c r="L1087" s="145" t="s">
        <v>2916</v>
      </c>
      <c r="M1087" s="145"/>
      <c r="N1087" s="145"/>
      <c r="O1087" s="100"/>
      <c r="P1087" s="100"/>
      <c r="Q1087" s="101"/>
      <c r="R1087" s="93" t="s">
        <v>2927</v>
      </c>
      <c r="S1087" s="93"/>
      <c r="T1087" s="93"/>
      <c r="U1087" s="94"/>
    </row>
    <row r="1088" spans="1:21" x14ac:dyDescent="0.4">
      <c r="A1088" s="86">
        <f t="shared" si="16"/>
        <v>1084</v>
      </c>
      <c r="B1088" s="92"/>
      <c r="C1088" s="190"/>
      <c r="D1088" s="164"/>
      <c r="E1088" s="103"/>
      <c r="F1088" s="103"/>
      <c r="G1088" s="103"/>
      <c r="H1088" s="149"/>
      <c r="I1088" s="104"/>
      <c r="J1088" s="104"/>
      <c r="K1088" s="104"/>
      <c r="L1088" s="145" t="s">
        <v>1833</v>
      </c>
      <c r="M1088" s="145"/>
      <c r="N1088" s="145"/>
      <c r="O1088" s="100"/>
      <c r="P1088" s="100"/>
      <c r="Q1088" s="101"/>
      <c r="R1088" s="93" t="s">
        <v>36</v>
      </c>
      <c r="S1088" s="93"/>
      <c r="T1088" s="93"/>
      <c r="U1088" s="94"/>
    </row>
    <row r="1089" spans="1:21" x14ac:dyDescent="0.4">
      <c r="A1089" s="86">
        <f t="shared" si="16"/>
        <v>1085</v>
      </c>
      <c r="B1089" s="92"/>
      <c r="C1089" s="190"/>
      <c r="D1089" s="164"/>
      <c r="E1089" s="103"/>
      <c r="F1089" s="103"/>
      <c r="G1089" s="103"/>
      <c r="H1089" s="149"/>
      <c r="I1089" s="104"/>
      <c r="J1089" s="104"/>
      <c r="K1089" s="108"/>
      <c r="L1089" s="145" t="s">
        <v>1815</v>
      </c>
      <c r="M1089" s="145"/>
      <c r="N1089" s="145"/>
      <c r="O1089" s="100"/>
      <c r="P1089" s="100"/>
      <c r="Q1089" s="101"/>
      <c r="R1089" s="93" t="s">
        <v>36</v>
      </c>
      <c r="S1089" s="93"/>
      <c r="T1089" s="93"/>
      <c r="U1089" s="94"/>
    </row>
    <row r="1090" spans="1:21" x14ac:dyDescent="0.4">
      <c r="A1090" s="86">
        <f t="shared" si="16"/>
        <v>1086</v>
      </c>
      <c r="B1090" s="92"/>
      <c r="C1090" s="190"/>
      <c r="D1090" s="164"/>
      <c r="E1090" s="103"/>
      <c r="F1090" s="103"/>
      <c r="G1090" s="103"/>
      <c r="H1090" s="149"/>
      <c r="I1090" s="104"/>
      <c r="J1090" s="109" t="s">
        <v>1834</v>
      </c>
      <c r="K1090" s="100"/>
      <c r="L1090" s="145"/>
      <c r="M1090" s="145"/>
      <c r="N1090" s="145"/>
      <c r="O1090" s="100"/>
      <c r="P1090" s="100"/>
      <c r="Q1090" s="101"/>
      <c r="R1090" s="93" t="s">
        <v>1239</v>
      </c>
      <c r="S1090" s="93"/>
      <c r="T1090" s="93"/>
      <c r="U1090" s="94"/>
    </row>
    <row r="1091" spans="1:21" x14ac:dyDescent="0.4">
      <c r="A1091" s="86">
        <f t="shared" si="16"/>
        <v>1087</v>
      </c>
      <c r="B1091" s="92"/>
      <c r="C1091" s="190"/>
      <c r="D1091" s="164"/>
      <c r="E1091" s="103"/>
      <c r="F1091" s="103"/>
      <c r="G1091" s="103"/>
      <c r="H1091" s="149"/>
      <c r="I1091" s="104"/>
      <c r="J1091" s="104"/>
      <c r="K1091" s="70" t="s">
        <v>1813</v>
      </c>
      <c r="L1091" s="145"/>
      <c r="M1091" s="145"/>
      <c r="N1091" s="145"/>
      <c r="O1091" s="100"/>
      <c r="P1091" s="100"/>
      <c r="Q1091" s="101"/>
      <c r="R1091" s="93" t="s">
        <v>36</v>
      </c>
      <c r="S1091" s="93"/>
      <c r="T1091" s="93"/>
      <c r="U1091" s="94"/>
    </row>
    <row r="1092" spans="1:21" x14ac:dyDescent="0.4">
      <c r="A1092" s="86">
        <f t="shared" si="16"/>
        <v>1088</v>
      </c>
      <c r="B1092" s="92"/>
      <c r="C1092" s="190"/>
      <c r="D1092" s="164"/>
      <c r="E1092" s="103"/>
      <c r="F1092" s="103"/>
      <c r="G1092" s="103"/>
      <c r="H1092" s="149"/>
      <c r="I1092" s="104"/>
      <c r="J1092" s="104"/>
      <c r="K1092" s="104"/>
      <c r="L1092" s="145" t="s">
        <v>2916</v>
      </c>
      <c r="M1092" s="145"/>
      <c r="N1092" s="145"/>
      <c r="O1092" s="100"/>
      <c r="P1092" s="100"/>
      <c r="Q1092" s="101"/>
      <c r="R1092" s="93" t="s">
        <v>2927</v>
      </c>
      <c r="S1092" s="93"/>
      <c r="T1092" s="93"/>
      <c r="U1092" s="94"/>
    </row>
    <row r="1093" spans="1:21" x14ac:dyDescent="0.4">
      <c r="A1093" s="86">
        <f t="shared" si="16"/>
        <v>1089</v>
      </c>
      <c r="B1093" s="92"/>
      <c r="C1093" s="190"/>
      <c r="D1093" s="164"/>
      <c r="E1093" s="103"/>
      <c r="F1093" s="103"/>
      <c r="G1093" s="103"/>
      <c r="H1093" s="149"/>
      <c r="I1093" s="104"/>
      <c r="J1093" s="104"/>
      <c r="K1093" s="108"/>
      <c r="L1093" s="145" t="s">
        <v>1815</v>
      </c>
      <c r="M1093" s="145"/>
      <c r="N1093" s="145"/>
      <c r="O1093" s="100"/>
      <c r="P1093" s="100"/>
      <c r="Q1093" s="101"/>
      <c r="R1093" s="93" t="s">
        <v>36</v>
      </c>
      <c r="S1093" s="93"/>
      <c r="T1093" s="93"/>
      <c r="U1093" s="94"/>
    </row>
    <row r="1094" spans="1:21" x14ac:dyDescent="0.4">
      <c r="A1094" s="86">
        <f t="shared" si="16"/>
        <v>1090</v>
      </c>
      <c r="B1094" s="92"/>
      <c r="C1094" s="190"/>
      <c r="D1094" s="164"/>
      <c r="E1094" s="103"/>
      <c r="F1094" s="103"/>
      <c r="G1094" s="103"/>
      <c r="H1094" s="149"/>
      <c r="I1094" s="104"/>
      <c r="J1094" s="109" t="s">
        <v>1835</v>
      </c>
      <c r="K1094" s="100"/>
      <c r="L1094" s="145"/>
      <c r="M1094" s="145"/>
      <c r="N1094" s="145"/>
      <c r="O1094" s="100"/>
      <c r="P1094" s="100"/>
      <c r="Q1094" s="101"/>
      <c r="R1094" s="93" t="s">
        <v>1239</v>
      </c>
      <c r="S1094" s="93"/>
      <c r="T1094" s="93"/>
      <c r="U1094" s="94"/>
    </row>
    <row r="1095" spans="1:21" x14ac:dyDescent="0.4">
      <c r="A1095" s="86">
        <f t="shared" ref="A1095:A1158" si="17">A1094+1</f>
        <v>1091</v>
      </c>
      <c r="B1095" s="92"/>
      <c r="C1095" s="190"/>
      <c r="D1095" s="164"/>
      <c r="E1095" s="103"/>
      <c r="F1095" s="103"/>
      <c r="G1095" s="103"/>
      <c r="H1095" s="149"/>
      <c r="I1095" s="104"/>
      <c r="J1095" s="104"/>
      <c r="K1095" s="70" t="s">
        <v>1813</v>
      </c>
      <c r="L1095" s="145"/>
      <c r="M1095" s="145"/>
      <c r="N1095" s="145"/>
      <c r="O1095" s="100"/>
      <c r="P1095" s="100"/>
      <c r="Q1095" s="101"/>
      <c r="R1095" s="93" t="s">
        <v>36</v>
      </c>
      <c r="S1095" s="93"/>
      <c r="T1095" s="93"/>
      <c r="U1095" s="94"/>
    </row>
    <row r="1096" spans="1:21" x14ac:dyDescent="0.4">
      <c r="A1096" s="86">
        <f t="shared" si="17"/>
        <v>1092</v>
      </c>
      <c r="B1096" s="92"/>
      <c r="C1096" s="190"/>
      <c r="D1096" s="164"/>
      <c r="E1096" s="103"/>
      <c r="F1096" s="103"/>
      <c r="G1096" s="103"/>
      <c r="H1096" s="149"/>
      <c r="I1096" s="104"/>
      <c r="J1096" s="104"/>
      <c r="K1096" s="104"/>
      <c r="L1096" s="145" t="s">
        <v>2916</v>
      </c>
      <c r="M1096" s="145"/>
      <c r="N1096" s="145"/>
      <c r="O1096" s="100"/>
      <c r="P1096" s="100"/>
      <c r="Q1096" s="101"/>
      <c r="R1096" s="93" t="s">
        <v>2982</v>
      </c>
      <c r="S1096" s="93"/>
      <c r="T1096" s="93"/>
      <c r="U1096" s="94"/>
    </row>
    <row r="1097" spans="1:21" x14ac:dyDescent="0.4">
      <c r="A1097" s="86">
        <f t="shared" si="17"/>
        <v>1093</v>
      </c>
      <c r="B1097" s="92"/>
      <c r="C1097" s="190"/>
      <c r="D1097" s="164"/>
      <c r="E1097" s="103"/>
      <c r="F1097" s="103"/>
      <c r="G1097" s="103"/>
      <c r="H1097" s="149"/>
      <c r="I1097" s="104"/>
      <c r="J1097" s="104"/>
      <c r="K1097" s="108"/>
      <c r="L1097" s="145" t="s">
        <v>1836</v>
      </c>
      <c r="M1097" s="145"/>
      <c r="N1097" s="145"/>
      <c r="O1097" s="100"/>
      <c r="P1097" s="100"/>
      <c r="Q1097" s="101"/>
      <c r="R1097" s="93" t="s">
        <v>36</v>
      </c>
      <c r="S1097" s="93"/>
      <c r="T1097" s="93"/>
      <c r="U1097" s="94"/>
    </row>
    <row r="1098" spans="1:21" x14ac:dyDescent="0.4">
      <c r="A1098" s="86">
        <f t="shared" si="17"/>
        <v>1094</v>
      </c>
      <c r="B1098" s="92"/>
      <c r="C1098" s="190"/>
      <c r="D1098" s="164"/>
      <c r="E1098" s="103"/>
      <c r="F1098" s="103"/>
      <c r="G1098" s="103"/>
      <c r="H1098" s="149"/>
      <c r="I1098" s="104"/>
      <c r="J1098" s="109" t="s">
        <v>1837</v>
      </c>
      <c r="K1098" s="100"/>
      <c r="L1098" s="145"/>
      <c r="M1098" s="145"/>
      <c r="N1098" s="145"/>
      <c r="O1098" s="100"/>
      <c r="P1098" s="100"/>
      <c r="Q1098" s="101"/>
      <c r="R1098" s="93" t="s">
        <v>1239</v>
      </c>
      <c r="S1098" s="93"/>
      <c r="T1098" s="93"/>
      <c r="U1098" s="94"/>
    </row>
    <row r="1099" spans="1:21" x14ac:dyDescent="0.4">
      <c r="A1099" s="86">
        <f t="shared" si="17"/>
        <v>1095</v>
      </c>
      <c r="B1099" s="92"/>
      <c r="C1099" s="190"/>
      <c r="D1099" s="164"/>
      <c r="E1099" s="103"/>
      <c r="F1099" s="103"/>
      <c r="G1099" s="103"/>
      <c r="H1099" s="149"/>
      <c r="I1099" s="104"/>
      <c r="J1099" s="104"/>
      <c r="K1099" s="70" t="s">
        <v>1813</v>
      </c>
      <c r="L1099" s="145"/>
      <c r="M1099" s="145"/>
      <c r="N1099" s="145"/>
      <c r="O1099" s="100"/>
      <c r="P1099" s="100"/>
      <c r="Q1099" s="101"/>
      <c r="R1099" s="93" t="s">
        <v>36</v>
      </c>
      <c r="S1099" s="93"/>
      <c r="T1099" s="93"/>
      <c r="U1099" s="94"/>
    </row>
    <row r="1100" spans="1:21" x14ac:dyDescent="0.4">
      <c r="A1100" s="86">
        <f t="shared" si="17"/>
        <v>1096</v>
      </c>
      <c r="B1100" s="92"/>
      <c r="C1100" s="190"/>
      <c r="D1100" s="164"/>
      <c r="E1100" s="103"/>
      <c r="F1100" s="103"/>
      <c r="G1100" s="103"/>
      <c r="H1100" s="149"/>
      <c r="I1100" s="104"/>
      <c r="J1100" s="104"/>
      <c r="K1100" s="104"/>
      <c r="L1100" s="145" t="s">
        <v>2916</v>
      </c>
      <c r="M1100" s="145"/>
      <c r="N1100" s="145"/>
      <c r="O1100" s="100"/>
      <c r="P1100" s="100"/>
      <c r="Q1100" s="101"/>
      <c r="R1100" s="93" t="s">
        <v>2927</v>
      </c>
      <c r="S1100" s="93"/>
      <c r="T1100" s="93"/>
      <c r="U1100" s="94"/>
    </row>
    <row r="1101" spans="1:21" x14ac:dyDescent="0.4">
      <c r="A1101" s="86">
        <f t="shared" si="17"/>
        <v>1097</v>
      </c>
      <c r="B1101" s="92"/>
      <c r="C1101" s="190"/>
      <c r="D1101" s="164"/>
      <c r="E1101" s="103"/>
      <c r="F1101" s="103"/>
      <c r="G1101" s="103"/>
      <c r="H1101" s="149"/>
      <c r="I1101" s="104"/>
      <c r="J1101" s="104"/>
      <c r="K1101" s="108"/>
      <c r="L1101" s="145" t="s">
        <v>1815</v>
      </c>
      <c r="M1101" s="145"/>
      <c r="N1101" s="145"/>
      <c r="O1101" s="100"/>
      <c r="P1101" s="100"/>
      <c r="Q1101" s="101"/>
      <c r="R1101" s="93" t="s">
        <v>36</v>
      </c>
      <c r="S1101" s="93"/>
      <c r="T1101" s="93"/>
      <c r="U1101" s="94"/>
    </row>
    <row r="1102" spans="1:21" x14ac:dyDescent="0.4">
      <c r="A1102" s="86">
        <f t="shared" si="17"/>
        <v>1098</v>
      </c>
      <c r="B1102" s="92"/>
      <c r="C1102" s="190"/>
      <c r="D1102" s="164"/>
      <c r="E1102" s="103"/>
      <c r="F1102" s="103"/>
      <c r="G1102" s="103"/>
      <c r="H1102" s="149"/>
      <c r="I1102" s="104"/>
      <c r="J1102" s="109" t="s">
        <v>1838</v>
      </c>
      <c r="K1102" s="100"/>
      <c r="L1102" s="145"/>
      <c r="M1102" s="145"/>
      <c r="N1102" s="145"/>
      <c r="O1102" s="100"/>
      <c r="P1102" s="100"/>
      <c r="Q1102" s="101"/>
      <c r="R1102" s="93" t="s">
        <v>1239</v>
      </c>
      <c r="S1102" s="93"/>
      <c r="T1102" s="93"/>
      <c r="U1102" s="94"/>
    </row>
    <row r="1103" spans="1:21" x14ac:dyDescent="0.4">
      <c r="A1103" s="86">
        <f t="shared" si="17"/>
        <v>1099</v>
      </c>
      <c r="B1103" s="92"/>
      <c r="C1103" s="190"/>
      <c r="D1103" s="164"/>
      <c r="E1103" s="103"/>
      <c r="F1103" s="103"/>
      <c r="G1103" s="103"/>
      <c r="H1103" s="149"/>
      <c r="I1103" s="104"/>
      <c r="J1103" s="104"/>
      <c r="K1103" s="70" t="s">
        <v>1813</v>
      </c>
      <c r="L1103" s="145"/>
      <c r="M1103" s="145"/>
      <c r="N1103" s="145"/>
      <c r="O1103" s="100"/>
      <c r="P1103" s="100"/>
      <c r="Q1103" s="101"/>
      <c r="R1103" s="93" t="s">
        <v>36</v>
      </c>
      <c r="S1103" s="93"/>
      <c r="T1103" s="93"/>
      <c r="U1103" s="94"/>
    </row>
    <row r="1104" spans="1:21" x14ac:dyDescent="0.4">
      <c r="A1104" s="86">
        <f t="shared" si="17"/>
        <v>1100</v>
      </c>
      <c r="B1104" s="92"/>
      <c r="C1104" s="190"/>
      <c r="D1104" s="164"/>
      <c r="E1104" s="103"/>
      <c r="F1104" s="103"/>
      <c r="G1104" s="103"/>
      <c r="H1104" s="149"/>
      <c r="I1104" s="104"/>
      <c r="J1104" s="104"/>
      <c r="K1104" s="104"/>
      <c r="L1104" s="145" t="s">
        <v>2916</v>
      </c>
      <c r="M1104" s="145"/>
      <c r="N1104" s="145"/>
      <c r="O1104" s="100"/>
      <c r="P1104" s="100"/>
      <c r="Q1104" s="101"/>
      <c r="R1104" s="93" t="s">
        <v>2927</v>
      </c>
      <c r="S1104" s="93"/>
      <c r="T1104" s="93"/>
      <c r="U1104" s="94"/>
    </row>
    <row r="1105" spans="1:21" x14ac:dyDescent="0.4">
      <c r="A1105" s="86">
        <f t="shared" si="17"/>
        <v>1101</v>
      </c>
      <c r="B1105" s="92"/>
      <c r="C1105" s="190"/>
      <c r="D1105" s="164"/>
      <c r="E1105" s="103"/>
      <c r="F1105" s="103"/>
      <c r="G1105" s="103"/>
      <c r="H1105" s="149"/>
      <c r="I1105" s="104"/>
      <c r="J1105" s="104"/>
      <c r="K1105" s="108"/>
      <c r="L1105" s="145" t="s">
        <v>1815</v>
      </c>
      <c r="M1105" s="145"/>
      <c r="N1105" s="145"/>
      <c r="O1105" s="100"/>
      <c r="P1105" s="100"/>
      <c r="Q1105" s="101"/>
      <c r="R1105" s="93" t="s">
        <v>36</v>
      </c>
      <c r="S1105" s="93"/>
      <c r="T1105" s="93"/>
      <c r="U1105" s="94"/>
    </row>
    <row r="1106" spans="1:21" x14ac:dyDescent="0.4">
      <c r="A1106" s="86">
        <f t="shared" si="17"/>
        <v>1102</v>
      </c>
      <c r="B1106" s="92"/>
      <c r="C1106" s="190"/>
      <c r="D1106" s="164"/>
      <c r="E1106" s="103"/>
      <c r="F1106" s="103"/>
      <c r="G1106" s="103"/>
      <c r="H1106" s="149"/>
      <c r="I1106" s="104"/>
      <c r="J1106" s="109" t="s">
        <v>1839</v>
      </c>
      <c r="K1106" s="100"/>
      <c r="L1106" s="145"/>
      <c r="M1106" s="145"/>
      <c r="N1106" s="145"/>
      <c r="O1106" s="100"/>
      <c r="P1106" s="100"/>
      <c r="Q1106" s="101"/>
      <c r="R1106" s="93" t="s">
        <v>1239</v>
      </c>
      <c r="S1106" s="93"/>
      <c r="T1106" s="93"/>
      <c r="U1106" s="94"/>
    </row>
    <row r="1107" spans="1:21" x14ac:dyDescent="0.4">
      <c r="A1107" s="86">
        <f t="shared" si="17"/>
        <v>1103</v>
      </c>
      <c r="B1107" s="92"/>
      <c r="C1107" s="190"/>
      <c r="D1107" s="164"/>
      <c r="E1107" s="103"/>
      <c r="F1107" s="103"/>
      <c r="G1107" s="103"/>
      <c r="H1107" s="149"/>
      <c r="I1107" s="104"/>
      <c r="J1107" s="104"/>
      <c r="K1107" s="70" t="s">
        <v>1813</v>
      </c>
      <c r="L1107" s="145"/>
      <c r="M1107" s="145"/>
      <c r="N1107" s="145"/>
      <c r="O1107" s="100"/>
      <c r="P1107" s="100"/>
      <c r="Q1107" s="101"/>
      <c r="R1107" s="93" t="s">
        <v>36</v>
      </c>
      <c r="S1107" s="93"/>
      <c r="T1107" s="93"/>
      <c r="U1107" s="94"/>
    </row>
    <row r="1108" spans="1:21" x14ac:dyDescent="0.4">
      <c r="A1108" s="86">
        <f t="shared" si="17"/>
        <v>1104</v>
      </c>
      <c r="B1108" s="92"/>
      <c r="C1108" s="190"/>
      <c r="D1108" s="164"/>
      <c r="E1108" s="103"/>
      <c r="F1108" s="103"/>
      <c r="G1108" s="103"/>
      <c r="H1108" s="149"/>
      <c r="I1108" s="104"/>
      <c r="J1108" s="104"/>
      <c r="K1108" s="104"/>
      <c r="L1108" s="145" t="s">
        <v>2916</v>
      </c>
      <c r="M1108" s="145"/>
      <c r="N1108" s="145"/>
      <c r="O1108" s="100"/>
      <c r="P1108" s="100"/>
      <c r="Q1108" s="101"/>
      <c r="R1108" s="93" t="s">
        <v>2982</v>
      </c>
      <c r="S1108" s="93"/>
      <c r="T1108" s="93"/>
      <c r="U1108" s="94"/>
    </row>
    <row r="1109" spans="1:21" x14ac:dyDescent="0.4">
      <c r="A1109" s="86">
        <f t="shared" si="17"/>
        <v>1105</v>
      </c>
      <c r="B1109" s="92"/>
      <c r="C1109" s="190"/>
      <c r="D1109" s="164"/>
      <c r="E1109" s="103"/>
      <c r="F1109" s="103"/>
      <c r="G1109" s="103"/>
      <c r="H1109" s="149"/>
      <c r="I1109" s="104"/>
      <c r="J1109" s="109" t="s">
        <v>1840</v>
      </c>
      <c r="K1109" s="100"/>
      <c r="L1109" s="145"/>
      <c r="M1109" s="145"/>
      <c r="N1109" s="145"/>
      <c r="O1109" s="100"/>
      <c r="P1109" s="100"/>
      <c r="Q1109" s="101"/>
      <c r="R1109" s="93" t="s">
        <v>1239</v>
      </c>
      <c r="S1109" s="93"/>
      <c r="T1109" s="93"/>
      <c r="U1109" s="94"/>
    </row>
    <row r="1110" spans="1:21" x14ac:dyDescent="0.4">
      <c r="A1110" s="86">
        <f t="shared" si="17"/>
        <v>1106</v>
      </c>
      <c r="B1110" s="92"/>
      <c r="C1110" s="190"/>
      <c r="D1110" s="164"/>
      <c r="E1110" s="103"/>
      <c r="F1110" s="103"/>
      <c r="G1110" s="103"/>
      <c r="H1110" s="149"/>
      <c r="I1110" s="104"/>
      <c r="J1110" s="104"/>
      <c r="K1110" s="70" t="s">
        <v>1813</v>
      </c>
      <c r="L1110" s="145"/>
      <c r="M1110" s="145"/>
      <c r="N1110" s="145"/>
      <c r="O1110" s="100"/>
      <c r="P1110" s="100"/>
      <c r="Q1110" s="101"/>
      <c r="R1110" s="93" t="s">
        <v>36</v>
      </c>
      <c r="S1110" s="93"/>
      <c r="T1110" s="93"/>
      <c r="U1110" s="94"/>
    </row>
    <row r="1111" spans="1:21" x14ac:dyDescent="0.4">
      <c r="A1111" s="86">
        <f t="shared" si="17"/>
        <v>1107</v>
      </c>
      <c r="B1111" s="92"/>
      <c r="C1111" s="190"/>
      <c r="D1111" s="164"/>
      <c r="E1111" s="103"/>
      <c r="F1111" s="103"/>
      <c r="G1111" s="103"/>
      <c r="H1111" s="149"/>
      <c r="I1111" s="104"/>
      <c r="J1111" s="104"/>
      <c r="K1111" s="104"/>
      <c r="L1111" s="145" t="s">
        <v>2916</v>
      </c>
      <c r="M1111" s="145"/>
      <c r="N1111" s="145"/>
      <c r="O1111" s="100"/>
      <c r="P1111" s="100"/>
      <c r="Q1111" s="101"/>
      <c r="R1111" s="93" t="s">
        <v>2927</v>
      </c>
      <c r="S1111" s="93"/>
      <c r="T1111" s="93"/>
      <c r="U1111" s="94"/>
    </row>
    <row r="1112" spans="1:21" x14ac:dyDescent="0.4">
      <c r="A1112" s="86">
        <f t="shared" si="17"/>
        <v>1108</v>
      </c>
      <c r="B1112" s="92"/>
      <c r="C1112" s="190"/>
      <c r="D1112" s="164"/>
      <c r="E1112" s="103"/>
      <c r="F1112" s="103"/>
      <c r="G1112" s="103"/>
      <c r="H1112" s="149"/>
      <c r="I1112" s="104"/>
      <c r="J1112" s="109" t="s">
        <v>1841</v>
      </c>
      <c r="K1112" s="100"/>
      <c r="L1112" s="145"/>
      <c r="M1112" s="145"/>
      <c r="N1112" s="145"/>
      <c r="O1112" s="100"/>
      <c r="P1112" s="100"/>
      <c r="Q1112" s="101"/>
      <c r="R1112" s="93" t="s">
        <v>1239</v>
      </c>
      <c r="S1112" s="93"/>
      <c r="T1112" s="93"/>
      <c r="U1112" s="94"/>
    </row>
    <row r="1113" spans="1:21" x14ac:dyDescent="0.4">
      <c r="A1113" s="86">
        <f t="shared" si="17"/>
        <v>1109</v>
      </c>
      <c r="B1113" s="92"/>
      <c r="C1113" s="190"/>
      <c r="D1113" s="164"/>
      <c r="E1113" s="103"/>
      <c r="F1113" s="103"/>
      <c r="G1113" s="103"/>
      <c r="H1113" s="149"/>
      <c r="I1113" s="104"/>
      <c r="J1113" s="104"/>
      <c r="K1113" s="70" t="s">
        <v>1813</v>
      </c>
      <c r="L1113" s="145"/>
      <c r="M1113" s="145"/>
      <c r="N1113" s="145"/>
      <c r="O1113" s="100"/>
      <c r="P1113" s="100"/>
      <c r="Q1113" s="101"/>
      <c r="R1113" s="93" t="s">
        <v>36</v>
      </c>
      <c r="S1113" s="93"/>
      <c r="T1113" s="93"/>
      <c r="U1113" s="94"/>
    </row>
    <row r="1114" spans="1:21" x14ac:dyDescent="0.4">
      <c r="A1114" s="86">
        <f t="shared" si="17"/>
        <v>1110</v>
      </c>
      <c r="B1114" s="92"/>
      <c r="C1114" s="190"/>
      <c r="D1114" s="164"/>
      <c r="E1114" s="103"/>
      <c r="F1114" s="103"/>
      <c r="G1114" s="103"/>
      <c r="H1114" s="149"/>
      <c r="I1114" s="104"/>
      <c r="J1114" s="104"/>
      <c r="K1114" s="104"/>
      <c r="L1114" s="145" t="s">
        <v>2916</v>
      </c>
      <c r="M1114" s="145"/>
      <c r="N1114" s="145"/>
      <c r="O1114" s="100"/>
      <c r="P1114" s="100"/>
      <c r="Q1114" s="101"/>
      <c r="R1114" s="93" t="s">
        <v>2982</v>
      </c>
      <c r="S1114" s="93"/>
      <c r="T1114" s="93"/>
      <c r="U1114" s="94"/>
    </row>
    <row r="1115" spans="1:21" x14ac:dyDescent="0.4">
      <c r="A1115" s="86">
        <f t="shared" si="17"/>
        <v>1111</v>
      </c>
      <c r="B1115" s="92"/>
      <c r="C1115" s="190"/>
      <c r="D1115" s="164"/>
      <c r="E1115" s="103"/>
      <c r="F1115" s="103"/>
      <c r="G1115" s="103"/>
      <c r="H1115" s="149"/>
      <c r="I1115" s="104"/>
      <c r="J1115" s="109" t="s">
        <v>1842</v>
      </c>
      <c r="K1115" s="100"/>
      <c r="L1115" s="145"/>
      <c r="M1115" s="145"/>
      <c r="N1115" s="145"/>
      <c r="O1115" s="100"/>
      <c r="P1115" s="100"/>
      <c r="Q1115" s="101"/>
      <c r="R1115" s="93" t="s">
        <v>1239</v>
      </c>
      <c r="S1115" s="93"/>
      <c r="T1115" s="93"/>
      <c r="U1115" s="94"/>
    </row>
    <row r="1116" spans="1:21" x14ac:dyDescent="0.4">
      <c r="A1116" s="86">
        <f t="shared" si="17"/>
        <v>1112</v>
      </c>
      <c r="B1116" s="92"/>
      <c r="C1116" s="190"/>
      <c r="D1116" s="164"/>
      <c r="E1116" s="103"/>
      <c r="F1116" s="103"/>
      <c r="G1116" s="103"/>
      <c r="H1116" s="149"/>
      <c r="I1116" s="104"/>
      <c r="J1116" s="104"/>
      <c r="K1116" s="70" t="s">
        <v>1813</v>
      </c>
      <c r="L1116" s="145"/>
      <c r="M1116" s="145"/>
      <c r="N1116" s="145"/>
      <c r="O1116" s="100"/>
      <c r="P1116" s="100"/>
      <c r="Q1116" s="101"/>
      <c r="R1116" s="93" t="s">
        <v>36</v>
      </c>
      <c r="S1116" s="93"/>
      <c r="T1116" s="93"/>
      <c r="U1116" s="94"/>
    </row>
    <row r="1117" spans="1:21" x14ac:dyDescent="0.4">
      <c r="A1117" s="86">
        <f t="shared" si="17"/>
        <v>1113</v>
      </c>
      <c r="B1117" s="92"/>
      <c r="C1117" s="190"/>
      <c r="D1117" s="164"/>
      <c r="E1117" s="103"/>
      <c r="F1117" s="103"/>
      <c r="G1117" s="103"/>
      <c r="H1117" s="149"/>
      <c r="I1117" s="104"/>
      <c r="J1117" s="104"/>
      <c r="K1117" s="104"/>
      <c r="L1117" s="145" t="s">
        <v>2916</v>
      </c>
      <c r="M1117" s="145"/>
      <c r="N1117" s="145"/>
      <c r="O1117" s="100"/>
      <c r="P1117" s="100"/>
      <c r="Q1117" s="101"/>
      <c r="R1117" s="93" t="s">
        <v>2927</v>
      </c>
      <c r="S1117" s="93"/>
      <c r="T1117" s="93"/>
      <c r="U1117" s="94"/>
    </row>
    <row r="1118" spans="1:21" x14ac:dyDescent="0.4">
      <c r="A1118" s="86">
        <f t="shared" si="17"/>
        <v>1114</v>
      </c>
      <c r="B1118" s="92"/>
      <c r="C1118" s="190"/>
      <c r="D1118" s="164"/>
      <c r="E1118" s="103"/>
      <c r="F1118" s="103"/>
      <c r="G1118" s="103"/>
      <c r="H1118" s="149"/>
      <c r="I1118" s="104"/>
      <c r="J1118" s="104"/>
      <c r="K1118" s="108"/>
      <c r="L1118" s="145" t="s">
        <v>1815</v>
      </c>
      <c r="M1118" s="145"/>
      <c r="N1118" s="145"/>
      <c r="O1118" s="100"/>
      <c r="P1118" s="100"/>
      <c r="Q1118" s="101"/>
      <c r="R1118" s="93" t="s">
        <v>36</v>
      </c>
      <c r="S1118" s="93"/>
      <c r="T1118" s="93"/>
      <c r="U1118" s="94"/>
    </row>
    <row r="1119" spans="1:21" x14ac:dyDescent="0.4">
      <c r="A1119" s="86">
        <f t="shared" si="17"/>
        <v>1115</v>
      </c>
      <c r="B1119" s="92"/>
      <c r="C1119" s="190"/>
      <c r="D1119" s="164"/>
      <c r="E1119" s="103"/>
      <c r="F1119" s="103"/>
      <c r="G1119" s="103"/>
      <c r="H1119" s="149"/>
      <c r="I1119" s="104"/>
      <c r="J1119" s="109" t="s">
        <v>1843</v>
      </c>
      <c r="K1119" s="100"/>
      <c r="L1119" s="145"/>
      <c r="M1119" s="145"/>
      <c r="N1119" s="145"/>
      <c r="O1119" s="100"/>
      <c r="P1119" s="100"/>
      <c r="Q1119" s="101"/>
      <c r="R1119" s="93" t="s">
        <v>1239</v>
      </c>
      <c r="S1119" s="93"/>
      <c r="T1119" s="93"/>
      <c r="U1119" s="94"/>
    </row>
    <row r="1120" spans="1:21" x14ac:dyDescent="0.4">
      <c r="A1120" s="86">
        <f t="shared" si="17"/>
        <v>1116</v>
      </c>
      <c r="B1120" s="92"/>
      <c r="C1120" s="190"/>
      <c r="D1120" s="164"/>
      <c r="E1120" s="103"/>
      <c r="F1120" s="103"/>
      <c r="G1120" s="103"/>
      <c r="H1120" s="149"/>
      <c r="I1120" s="104"/>
      <c r="J1120" s="104"/>
      <c r="K1120" s="70" t="s">
        <v>1813</v>
      </c>
      <c r="L1120" s="145"/>
      <c r="M1120" s="145"/>
      <c r="N1120" s="145"/>
      <c r="O1120" s="100"/>
      <c r="P1120" s="100"/>
      <c r="Q1120" s="101"/>
      <c r="R1120" s="93" t="s">
        <v>36</v>
      </c>
      <c r="S1120" s="93"/>
      <c r="T1120" s="93"/>
      <c r="U1120" s="94"/>
    </row>
    <row r="1121" spans="1:21" x14ac:dyDescent="0.4">
      <c r="A1121" s="86">
        <f t="shared" si="17"/>
        <v>1117</v>
      </c>
      <c r="B1121" s="92"/>
      <c r="C1121" s="190"/>
      <c r="D1121" s="164"/>
      <c r="E1121" s="103"/>
      <c r="F1121" s="103"/>
      <c r="G1121" s="103"/>
      <c r="H1121" s="149"/>
      <c r="I1121" s="104"/>
      <c r="J1121" s="104"/>
      <c r="K1121" s="104"/>
      <c r="L1121" s="145" t="s">
        <v>2916</v>
      </c>
      <c r="M1121" s="145"/>
      <c r="N1121" s="145"/>
      <c r="O1121" s="100"/>
      <c r="P1121" s="100"/>
      <c r="Q1121" s="101"/>
      <c r="R1121" s="93" t="s">
        <v>2927</v>
      </c>
      <c r="S1121" s="93"/>
      <c r="T1121" s="93"/>
      <c r="U1121" s="94"/>
    </row>
    <row r="1122" spans="1:21" x14ac:dyDescent="0.4">
      <c r="A1122" s="86">
        <f t="shared" si="17"/>
        <v>1118</v>
      </c>
      <c r="B1122" s="92"/>
      <c r="C1122" s="190"/>
      <c r="D1122" s="164"/>
      <c r="E1122" s="103"/>
      <c r="F1122" s="103"/>
      <c r="G1122" s="103"/>
      <c r="H1122" s="149"/>
      <c r="I1122" s="108"/>
      <c r="J1122" s="108"/>
      <c r="K1122" s="108"/>
      <c r="L1122" s="145" t="s">
        <v>1815</v>
      </c>
      <c r="M1122" s="145"/>
      <c r="N1122" s="145"/>
      <c r="O1122" s="100"/>
      <c r="P1122" s="100"/>
      <c r="Q1122" s="101"/>
      <c r="R1122" s="93" t="s">
        <v>36</v>
      </c>
      <c r="S1122" s="93"/>
      <c r="T1122" s="93"/>
      <c r="U1122" s="94"/>
    </row>
    <row r="1123" spans="1:21" x14ac:dyDescent="0.4">
      <c r="A1123" s="86">
        <f t="shared" si="17"/>
        <v>1119</v>
      </c>
      <c r="B1123" s="92"/>
      <c r="C1123" s="190"/>
      <c r="D1123" s="164"/>
      <c r="E1123" s="103"/>
      <c r="F1123" s="103"/>
      <c r="G1123" s="103"/>
      <c r="H1123" s="149"/>
      <c r="I1123" s="70" t="s">
        <v>1852</v>
      </c>
      <c r="J1123" s="145"/>
      <c r="K1123" s="145"/>
      <c r="L1123" s="145"/>
      <c r="M1123" s="145"/>
      <c r="N1123" s="145"/>
      <c r="O1123" s="100"/>
      <c r="P1123" s="100"/>
      <c r="Q1123" s="101"/>
      <c r="R1123" s="93" t="s">
        <v>1239</v>
      </c>
      <c r="S1123" s="93"/>
      <c r="T1123" s="93"/>
      <c r="U1123" s="94"/>
    </row>
    <row r="1124" spans="1:21" x14ac:dyDescent="0.4">
      <c r="A1124" s="86">
        <f t="shared" si="17"/>
        <v>1120</v>
      </c>
      <c r="B1124" s="92"/>
      <c r="C1124" s="190"/>
      <c r="D1124" s="164"/>
      <c r="E1124" s="103"/>
      <c r="F1124" s="103"/>
      <c r="G1124" s="103"/>
      <c r="H1124" s="149"/>
      <c r="I1124" s="104"/>
      <c r="J1124" s="70" t="s">
        <v>1812</v>
      </c>
      <c r="K1124" s="145"/>
      <c r="L1124" s="145"/>
      <c r="M1124" s="145"/>
      <c r="N1124" s="145"/>
      <c r="O1124" s="100"/>
      <c r="P1124" s="100"/>
      <c r="Q1124" s="101"/>
      <c r="R1124" s="93" t="s">
        <v>1239</v>
      </c>
      <c r="S1124" s="93"/>
      <c r="T1124" s="93"/>
      <c r="U1124" s="94"/>
    </row>
    <row r="1125" spans="1:21" x14ac:dyDescent="0.4">
      <c r="A1125" s="86">
        <f t="shared" si="17"/>
        <v>1121</v>
      </c>
      <c r="B1125" s="92"/>
      <c r="C1125" s="190"/>
      <c r="D1125" s="164"/>
      <c r="E1125" s="103"/>
      <c r="F1125" s="103"/>
      <c r="G1125" s="103"/>
      <c r="H1125" s="149"/>
      <c r="I1125" s="104"/>
      <c r="J1125" s="104"/>
      <c r="K1125" s="70" t="s">
        <v>1813</v>
      </c>
      <c r="L1125" s="145"/>
      <c r="M1125" s="145"/>
      <c r="N1125" s="145"/>
      <c r="O1125" s="100"/>
      <c r="P1125" s="100"/>
      <c r="Q1125" s="101"/>
      <c r="R1125" s="93" t="s">
        <v>36</v>
      </c>
      <c r="S1125" s="93"/>
      <c r="T1125" s="93"/>
      <c r="U1125" s="94"/>
    </row>
    <row r="1126" spans="1:21" x14ac:dyDescent="0.4">
      <c r="A1126" s="86">
        <f t="shared" si="17"/>
        <v>1122</v>
      </c>
      <c r="B1126" s="92"/>
      <c r="C1126" s="190"/>
      <c r="D1126" s="164"/>
      <c r="E1126" s="103"/>
      <c r="F1126" s="103"/>
      <c r="G1126" s="103"/>
      <c r="H1126" s="149"/>
      <c r="I1126" s="104"/>
      <c r="J1126" s="104"/>
      <c r="K1126" s="104"/>
      <c r="L1126" s="145" t="s">
        <v>2916</v>
      </c>
      <c r="M1126" s="145"/>
      <c r="N1126" s="145"/>
      <c r="O1126" s="100"/>
      <c r="P1126" s="100"/>
      <c r="Q1126" s="101"/>
      <c r="R1126" s="93" t="s">
        <v>2927</v>
      </c>
      <c r="S1126" s="93"/>
      <c r="T1126" s="93"/>
      <c r="U1126" s="94"/>
    </row>
    <row r="1127" spans="1:21" x14ac:dyDescent="0.4">
      <c r="A1127" s="86">
        <f t="shared" si="17"/>
        <v>1123</v>
      </c>
      <c r="B1127" s="92"/>
      <c r="C1127" s="190"/>
      <c r="D1127" s="164"/>
      <c r="E1127" s="103"/>
      <c r="F1127" s="103"/>
      <c r="G1127" s="103"/>
      <c r="H1127" s="149"/>
      <c r="I1127" s="104"/>
      <c r="J1127" s="104"/>
      <c r="K1127" s="104"/>
      <c r="L1127" s="145" t="s">
        <v>1814</v>
      </c>
      <c r="M1127" s="145"/>
      <c r="N1127" s="145"/>
      <c r="O1127" s="100"/>
      <c r="P1127" s="100"/>
      <c r="Q1127" s="101"/>
      <c r="R1127" s="93" t="s">
        <v>36</v>
      </c>
      <c r="S1127" s="93"/>
      <c r="T1127" s="93"/>
      <c r="U1127" s="94"/>
    </row>
    <row r="1128" spans="1:21" x14ac:dyDescent="0.4">
      <c r="A1128" s="86">
        <f t="shared" si="17"/>
        <v>1124</v>
      </c>
      <c r="B1128" s="92"/>
      <c r="C1128" s="190"/>
      <c r="D1128" s="164"/>
      <c r="E1128" s="103"/>
      <c r="F1128" s="103"/>
      <c r="G1128" s="103"/>
      <c r="H1128" s="149"/>
      <c r="I1128" s="104"/>
      <c r="J1128" s="104"/>
      <c r="K1128" s="108"/>
      <c r="L1128" s="145" t="s">
        <v>1815</v>
      </c>
      <c r="M1128" s="145"/>
      <c r="N1128" s="145"/>
      <c r="O1128" s="100"/>
      <c r="P1128" s="100"/>
      <c r="Q1128" s="101"/>
      <c r="R1128" s="93" t="s">
        <v>36</v>
      </c>
      <c r="S1128" s="93"/>
      <c r="T1128" s="93"/>
      <c r="U1128" s="94"/>
    </row>
    <row r="1129" spans="1:21" x14ac:dyDescent="0.4">
      <c r="A1129" s="86">
        <f t="shared" si="17"/>
        <v>1125</v>
      </c>
      <c r="B1129" s="92"/>
      <c r="C1129" s="190"/>
      <c r="D1129" s="164"/>
      <c r="E1129" s="103"/>
      <c r="F1129" s="103"/>
      <c r="G1129" s="103"/>
      <c r="H1129" s="149"/>
      <c r="I1129" s="104"/>
      <c r="J1129" s="109" t="s">
        <v>1816</v>
      </c>
      <c r="K1129" s="145"/>
      <c r="L1129" s="145"/>
      <c r="M1129" s="145"/>
      <c r="N1129" s="145"/>
      <c r="O1129" s="100"/>
      <c r="P1129" s="100"/>
      <c r="Q1129" s="101"/>
      <c r="R1129" s="93" t="s">
        <v>1239</v>
      </c>
      <c r="S1129" s="93"/>
      <c r="T1129" s="93"/>
      <c r="U1129" s="94"/>
    </row>
    <row r="1130" spans="1:21" x14ac:dyDescent="0.4">
      <c r="A1130" s="86">
        <f t="shared" si="17"/>
        <v>1126</v>
      </c>
      <c r="B1130" s="92"/>
      <c r="C1130" s="190"/>
      <c r="D1130" s="164"/>
      <c r="E1130" s="103"/>
      <c r="F1130" s="103"/>
      <c r="G1130" s="103"/>
      <c r="H1130" s="149"/>
      <c r="I1130" s="104"/>
      <c r="J1130" s="104"/>
      <c r="K1130" s="70" t="s">
        <v>1813</v>
      </c>
      <c r="L1130" s="145"/>
      <c r="M1130" s="145"/>
      <c r="N1130" s="145"/>
      <c r="O1130" s="100"/>
      <c r="P1130" s="100"/>
      <c r="Q1130" s="101"/>
      <c r="R1130" s="93" t="s">
        <v>36</v>
      </c>
      <c r="S1130" s="93"/>
      <c r="T1130" s="93"/>
      <c r="U1130" s="94"/>
    </row>
    <row r="1131" spans="1:21" x14ac:dyDescent="0.4">
      <c r="A1131" s="86">
        <f t="shared" si="17"/>
        <v>1127</v>
      </c>
      <c r="B1131" s="92"/>
      <c r="C1131" s="190"/>
      <c r="D1131" s="164"/>
      <c r="E1131" s="103"/>
      <c r="F1131" s="103"/>
      <c r="G1131" s="103"/>
      <c r="H1131" s="149"/>
      <c r="I1131" s="104"/>
      <c r="J1131" s="104"/>
      <c r="K1131" s="104"/>
      <c r="L1131" s="145" t="s">
        <v>2916</v>
      </c>
      <c r="M1131" s="145"/>
      <c r="N1131" s="145"/>
      <c r="O1131" s="100"/>
      <c r="P1131" s="100"/>
      <c r="Q1131" s="101"/>
      <c r="R1131" s="93" t="s">
        <v>2927</v>
      </c>
      <c r="S1131" s="93"/>
      <c r="T1131" s="93"/>
      <c r="U1131" s="94"/>
    </row>
    <row r="1132" spans="1:21" x14ac:dyDescent="0.4">
      <c r="A1132" s="86">
        <f t="shared" si="17"/>
        <v>1128</v>
      </c>
      <c r="B1132" s="92"/>
      <c r="C1132" s="190"/>
      <c r="D1132" s="164"/>
      <c r="E1132" s="103"/>
      <c r="F1132" s="103"/>
      <c r="G1132" s="103"/>
      <c r="H1132" s="149"/>
      <c r="I1132" s="104"/>
      <c r="J1132" s="104"/>
      <c r="K1132" s="108"/>
      <c r="L1132" s="145" t="s">
        <v>1815</v>
      </c>
      <c r="M1132" s="145"/>
      <c r="N1132" s="145"/>
      <c r="O1132" s="100"/>
      <c r="P1132" s="100"/>
      <c r="Q1132" s="101"/>
      <c r="R1132" s="93" t="s">
        <v>36</v>
      </c>
      <c r="S1132" s="93"/>
      <c r="T1132" s="93"/>
      <c r="U1132" s="94"/>
    </row>
    <row r="1133" spans="1:21" x14ac:dyDescent="0.4">
      <c r="A1133" s="86">
        <f t="shared" si="17"/>
        <v>1129</v>
      </c>
      <c r="B1133" s="92"/>
      <c r="C1133" s="190"/>
      <c r="D1133" s="164"/>
      <c r="E1133" s="103"/>
      <c r="F1133" s="103"/>
      <c r="G1133" s="103"/>
      <c r="H1133" s="149"/>
      <c r="I1133" s="104"/>
      <c r="J1133" s="109" t="s">
        <v>1817</v>
      </c>
      <c r="K1133" s="145"/>
      <c r="L1133" s="145"/>
      <c r="M1133" s="145"/>
      <c r="N1133" s="145"/>
      <c r="O1133" s="100"/>
      <c r="P1133" s="100"/>
      <c r="Q1133" s="101"/>
      <c r="R1133" s="93" t="s">
        <v>1239</v>
      </c>
      <c r="S1133" s="93"/>
      <c r="T1133" s="93"/>
      <c r="U1133" s="94"/>
    </row>
    <row r="1134" spans="1:21" x14ac:dyDescent="0.4">
      <c r="A1134" s="86">
        <f t="shared" si="17"/>
        <v>1130</v>
      </c>
      <c r="B1134" s="92"/>
      <c r="C1134" s="190"/>
      <c r="D1134" s="164"/>
      <c r="E1134" s="103"/>
      <c r="F1134" s="103"/>
      <c r="G1134" s="103"/>
      <c r="H1134" s="149"/>
      <c r="I1134" s="104"/>
      <c r="J1134" s="104"/>
      <c r="K1134" s="70" t="s">
        <v>1813</v>
      </c>
      <c r="L1134" s="145"/>
      <c r="M1134" s="145"/>
      <c r="N1134" s="145"/>
      <c r="O1134" s="100"/>
      <c r="P1134" s="100"/>
      <c r="Q1134" s="101"/>
      <c r="R1134" s="93" t="s">
        <v>36</v>
      </c>
      <c r="S1134" s="93"/>
      <c r="T1134" s="93"/>
      <c r="U1134" s="94"/>
    </row>
    <row r="1135" spans="1:21" x14ac:dyDescent="0.4">
      <c r="A1135" s="86">
        <f t="shared" si="17"/>
        <v>1131</v>
      </c>
      <c r="B1135" s="92"/>
      <c r="C1135" s="190"/>
      <c r="D1135" s="164"/>
      <c r="E1135" s="103"/>
      <c r="F1135" s="103"/>
      <c r="G1135" s="103"/>
      <c r="H1135" s="149"/>
      <c r="I1135" s="104"/>
      <c r="J1135" s="104"/>
      <c r="K1135" s="104"/>
      <c r="L1135" s="145" t="s">
        <v>2916</v>
      </c>
      <c r="M1135" s="145"/>
      <c r="N1135" s="145"/>
      <c r="O1135" s="100"/>
      <c r="P1135" s="100"/>
      <c r="Q1135" s="101"/>
      <c r="R1135" s="93" t="s">
        <v>2927</v>
      </c>
      <c r="S1135" s="93"/>
      <c r="T1135" s="93"/>
      <c r="U1135" s="94"/>
    </row>
    <row r="1136" spans="1:21" x14ac:dyDescent="0.4">
      <c r="A1136" s="86">
        <f t="shared" si="17"/>
        <v>1132</v>
      </c>
      <c r="B1136" s="92"/>
      <c r="C1136" s="190"/>
      <c r="D1136" s="164"/>
      <c r="E1136" s="103"/>
      <c r="F1136" s="103"/>
      <c r="G1136" s="103"/>
      <c r="H1136" s="149"/>
      <c r="I1136" s="104"/>
      <c r="J1136" s="104"/>
      <c r="K1136" s="108"/>
      <c r="L1136" s="145" t="s">
        <v>1815</v>
      </c>
      <c r="M1136" s="145"/>
      <c r="N1136" s="145"/>
      <c r="O1136" s="100"/>
      <c r="P1136" s="100"/>
      <c r="Q1136" s="101"/>
      <c r="R1136" s="93" t="s">
        <v>36</v>
      </c>
      <c r="S1136" s="93"/>
      <c r="T1136" s="93"/>
      <c r="U1136" s="94"/>
    </row>
    <row r="1137" spans="1:21" x14ac:dyDescent="0.4">
      <c r="A1137" s="86">
        <f t="shared" si="17"/>
        <v>1133</v>
      </c>
      <c r="B1137" s="92"/>
      <c r="C1137" s="190"/>
      <c r="D1137" s="164"/>
      <c r="E1137" s="103"/>
      <c r="F1137" s="103"/>
      <c r="G1137" s="103"/>
      <c r="H1137" s="149"/>
      <c r="I1137" s="104"/>
      <c r="J1137" s="109" t="s">
        <v>1818</v>
      </c>
      <c r="K1137" s="145"/>
      <c r="L1137" s="145"/>
      <c r="M1137" s="145"/>
      <c r="N1137" s="145"/>
      <c r="O1137" s="100"/>
      <c r="P1137" s="100"/>
      <c r="Q1137" s="101"/>
      <c r="R1137" s="93" t="s">
        <v>1239</v>
      </c>
      <c r="S1137" s="93"/>
      <c r="T1137" s="93"/>
      <c r="U1137" s="94"/>
    </row>
    <row r="1138" spans="1:21" x14ac:dyDescent="0.4">
      <c r="A1138" s="86">
        <f t="shared" si="17"/>
        <v>1134</v>
      </c>
      <c r="B1138" s="92"/>
      <c r="C1138" s="190"/>
      <c r="D1138" s="164"/>
      <c r="E1138" s="103"/>
      <c r="F1138" s="103"/>
      <c r="G1138" s="103"/>
      <c r="H1138" s="149"/>
      <c r="I1138" s="104"/>
      <c r="J1138" s="104"/>
      <c r="K1138" s="70" t="s">
        <v>1813</v>
      </c>
      <c r="L1138" s="145"/>
      <c r="M1138" s="145"/>
      <c r="N1138" s="145"/>
      <c r="O1138" s="100"/>
      <c r="P1138" s="100"/>
      <c r="Q1138" s="101"/>
      <c r="R1138" s="93" t="s">
        <v>36</v>
      </c>
      <c r="S1138" s="93"/>
      <c r="T1138" s="93"/>
      <c r="U1138" s="94"/>
    </row>
    <row r="1139" spans="1:21" x14ac:dyDescent="0.4">
      <c r="A1139" s="86">
        <f t="shared" si="17"/>
        <v>1135</v>
      </c>
      <c r="B1139" s="92"/>
      <c r="C1139" s="190"/>
      <c r="D1139" s="164"/>
      <c r="E1139" s="103"/>
      <c r="F1139" s="103"/>
      <c r="G1139" s="103"/>
      <c r="H1139" s="149"/>
      <c r="I1139" s="104"/>
      <c r="J1139" s="104"/>
      <c r="K1139" s="104"/>
      <c r="L1139" s="145" t="s">
        <v>2916</v>
      </c>
      <c r="M1139" s="145"/>
      <c r="N1139" s="145"/>
      <c r="O1139" s="100"/>
      <c r="P1139" s="100"/>
      <c r="Q1139" s="101"/>
      <c r="R1139" s="93" t="s">
        <v>2927</v>
      </c>
      <c r="S1139" s="93"/>
      <c r="T1139" s="93"/>
      <c r="U1139" s="94"/>
    </row>
    <row r="1140" spans="1:21" x14ac:dyDescent="0.4">
      <c r="A1140" s="86">
        <f t="shared" si="17"/>
        <v>1136</v>
      </c>
      <c r="B1140" s="92"/>
      <c r="C1140" s="190"/>
      <c r="D1140" s="164"/>
      <c r="E1140" s="103"/>
      <c r="F1140" s="103"/>
      <c r="G1140" s="103"/>
      <c r="H1140" s="149"/>
      <c r="I1140" s="104"/>
      <c r="J1140" s="104"/>
      <c r="K1140" s="108"/>
      <c r="L1140" s="145" t="s">
        <v>1815</v>
      </c>
      <c r="M1140" s="145"/>
      <c r="N1140" s="145"/>
      <c r="O1140" s="100"/>
      <c r="P1140" s="100"/>
      <c r="Q1140" s="101"/>
      <c r="R1140" s="93" t="s">
        <v>36</v>
      </c>
      <c r="S1140" s="93"/>
      <c r="T1140" s="93"/>
      <c r="U1140" s="94"/>
    </row>
    <row r="1141" spans="1:21" x14ac:dyDescent="0.4">
      <c r="A1141" s="86">
        <f t="shared" si="17"/>
        <v>1137</v>
      </c>
      <c r="B1141" s="92"/>
      <c r="C1141" s="190"/>
      <c r="D1141" s="164"/>
      <c r="E1141" s="103"/>
      <c r="F1141" s="103"/>
      <c r="G1141" s="103"/>
      <c r="H1141" s="149"/>
      <c r="I1141" s="104"/>
      <c r="J1141" s="109" t="s">
        <v>1819</v>
      </c>
      <c r="K1141" s="145"/>
      <c r="L1141" s="145"/>
      <c r="M1141" s="145"/>
      <c r="N1141" s="145"/>
      <c r="O1141" s="100"/>
      <c r="P1141" s="100"/>
      <c r="Q1141" s="101"/>
      <c r="R1141" s="93" t="s">
        <v>1239</v>
      </c>
      <c r="S1141" s="93"/>
      <c r="T1141" s="93"/>
      <c r="U1141" s="94"/>
    </row>
    <row r="1142" spans="1:21" x14ac:dyDescent="0.4">
      <c r="A1142" s="86">
        <f t="shared" si="17"/>
        <v>1138</v>
      </c>
      <c r="B1142" s="92"/>
      <c r="C1142" s="190"/>
      <c r="D1142" s="164"/>
      <c r="E1142" s="103"/>
      <c r="F1142" s="103"/>
      <c r="G1142" s="103"/>
      <c r="H1142" s="149"/>
      <c r="I1142" s="104"/>
      <c r="J1142" s="104"/>
      <c r="K1142" s="70" t="s">
        <v>1813</v>
      </c>
      <c r="L1142" s="145"/>
      <c r="M1142" s="145"/>
      <c r="N1142" s="145"/>
      <c r="O1142" s="100"/>
      <c r="P1142" s="100"/>
      <c r="Q1142" s="101"/>
      <c r="R1142" s="93" t="s">
        <v>36</v>
      </c>
      <c r="S1142" s="93"/>
      <c r="T1142" s="93"/>
      <c r="U1142" s="94"/>
    </row>
    <row r="1143" spans="1:21" x14ac:dyDescent="0.4">
      <c r="A1143" s="86">
        <f t="shared" si="17"/>
        <v>1139</v>
      </c>
      <c r="B1143" s="92"/>
      <c r="C1143" s="190"/>
      <c r="D1143" s="164"/>
      <c r="E1143" s="103"/>
      <c r="F1143" s="103"/>
      <c r="G1143" s="103"/>
      <c r="H1143" s="149"/>
      <c r="I1143" s="104"/>
      <c r="J1143" s="104"/>
      <c r="K1143" s="104"/>
      <c r="L1143" s="145" t="s">
        <v>2916</v>
      </c>
      <c r="M1143" s="145"/>
      <c r="N1143" s="145"/>
      <c r="O1143" s="100"/>
      <c r="P1143" s="100"/>
      <c r="Q1143" s="101"/>
      <c r="R1143" s="93" t="s">
        <v>2927</v>
      </c>
      <c r="S1143" s="93"/>
      <c r="T1143" s="93"/>
      <c r="U1143" s="94"/>
    </row>
    <row r="1144" spans="1:21" x14ac:dyDescent="0.4">
      <c r="A1144" s="86">
        <f t="shared" si="17"/>
        <v>1140</v>
      </c>
      <c r="B1144" s="92"/>
      <c r="C1144" s="190"/>
      <c r="D1144" s="164"/>
      <c r="E1144" s="103"/>
      <c r="F1144" s="103"/>
      <c r="G1144" s="103"/>
      <c r="H1144" s="149"/>
      <c r="I1144" s="104"/>
      <c r="J1144" s="104"/>
      <c r="K1144" s="104"/>
      <c r="L1144" s="145" t="s">
        <v>1820</v>
      </c>
      <c r="M1144" s="145"/>
      <c r="N1144" s="145"/>
      <c r="O1144" s="100"/>
      <c r="P1144" s="100"/>
      <c r="Q1144" s="101"/>
      <c r="R1144" s="93" t="s">
        <v>36</v>
      </c>
      <c r="S1144" s="93"/>
      <c r="T1144" s="93"/>
      <c r="U1144" s="94"/>
    </row>
    <row r="1145" spans="1:21" x14ac:dyDescent="0.4">
      <c r="A1145" s="86">
        <f t="shared" si="17"/>
        <v>1141</v>
      </c>
      <c r="B1145" s="92"/>
      <c r="C1145" s="190"/>
      <c r="D1145" s="164"/>
      <c r="E1145" s="103"/>
      <c r="F1145" s="103"/>
      <c r="G1145" s="103"/>
      <c r="H1145" s="149"/>
      <c r="I1145" s="104"/>
      <c r="J1145" s="104"/>
      <c r="K1145" s="108"/>
      <c r="L1145" s="145" t="s">
        <v>1815</v>
      </c>
      <c r="M1145" s="145"/>
      <c r="N1145" s="145"/>
      <c r="O1145" s="100"/>
      <c r="P1145" s="100"/>
      <c r="Q1145" s="101"/>
      <c r="R1145" s="93" t="s">
        <v>36</v>
      </c>
      <c r="S1145" s="93"/>
      <c r="T1145" s="93"/>
      <c r="U1145" s="94"/>
    </row>
    <row r="1146" spans="1:21" x14ac:dyDescent="0.4">
      <c r="A1146" s="86">
        <f t="shared" si="17"/>
        <v>1142</v>
      </c>
      <c r="B1146" s="92"/>
      <c r="C1146" s="190"/>
      <c r="D1146" s="164"/>
      <c r="E1146" s="103"/>
      <c r="F1146" s="103"/>
      <c r="G1146" s="103"/>
      <c r="H1146" s="149"/>
      <c r="I1146" s="104"/>
      <c r="J1146" s="109" t="s">
        <v>1821</v>
      </c>
      <c r="K1146" s="145"/>
      <c r="L1146" s="145"/>
      <c r="M1146" s="145"/>
      <c r="N1146" s="145"/>
      <c r="O1146" s="100"/>
      <c r="P1146" s="100"/>
      <c r="Q1146" s="101"/>
      <c r="R1146" s="93" t="s">
        <v>1239</v>
      </c>
      <c r="S1146" s="93"/>
      <c r="T1146" s="93"/>
      <c r="U1146" s="94"/>
    </row>
    <row r="1147" spans="1:21" x14ac:dyDescent="0.4">
      <c r="A1147" s="86">
        <f t="shared" si="17"/>
        <v>1143</v>
      </c>
      <c r="B1147" s="92"/>
      <c r="C1147" s="190"/>
      <c r="D1147" s="164"/>
      <c r="E1147" s="103"/>
      <c r="F1147" s="103"/>
      <c r="G1147" s="103"/>
      <c r="H1147" s="149"/>
      <c r="I1147" s="104"/>
      <c r="J1147" s="104"/>
      <c r="K1147" s="70" t="s">
        <v>1813</v>
      </c>
      <c r="L1147" s="145"/>
      <c r="M1147" s="145"/>
      <c r="N1147" s="145"/>
      <c r="O1147" s="100"/>
      <c r="P1147" s="100"/>
      <c r="Q1147" s="101"/>
      <c r="R1147" s="93" t="s">
        <v>36</v>
      </c>
      <c r="S1147" s="93"/>
      <c r="T1147" s="93"/>
      <c r="U1147" s="94"/>
    </row>
    <row r="1148" spans="1:21" x14ac:dyDescent="0.4">
      <c r="A1148" s="86">
        <f t="shared" si="17"/>
        <v>1144</v>
      </c>
      <c r="B1148" s="92"/>
      <c r="C1148" s="190"/>
      <c r="D1148" s="164"/>
      <c r="E1148" s="103"/>
      <c r="F1148" s="103"/>
      <c r="G1148" s="103"/>
      <c r="H1148" s="149"/>
      <c r="I1148" s="104"/>
      <c r="J1148" s="104"/>
      <c r="K1148" s="104"/>
      <c r="L1148" s="145" t="s">
        <v>2916</v>
      </c>
      <c r="M1148" s="145"/>
      <c r="N1148" s="145"/>
      <c r="O1148" s="100"/>
      <c r="P1148" s="100"/>
      <c r="Q1148" s="101"/>
      <c r="R1148" s="93" t="s">
        <v>2982</v>
      </c>
      <c r="S1148" s="93"/>
      <c r="T1148" s="93"/>
      <c r="U1148" s="94"/>
    </row>
    <row r="1149" spans="1:21" x14ac:dyDescent="0.4">
      <c r="A1149" s="86">
        <f t="shared" si="17"/>
        <v>1145</v>
      </c>
      <c r="B1149" s="92"/>
      <c r="C1149" s="190"/>
      <c r="D1149" s="164"/>
      <c r="E1149" s="103"/>
      <c r="F1149" s="103"/>
      <c r="G1149" s="103"/>
      <c r="H1149" s="149"/>
      <c r="I1149" s="104"/>
      <c r="J1149" s="104"/>
      <c r="K1149" s="108"/>
      <c r="L1149" s="145" t="s">
        <v>1822</v>
      </c>
      <c r="M1149" s="145"/>
      <c r="N1149" s="145"/>
      <c r="O1149" s="100"/>
      <c r="P1149" s="100"/>
      <c r="Q1149" s="101"/>
      <c r="R1149" s="93" t="s">
        <v>36</v>
      </c>
      <c r="S1149" s="93"/>
      <c r="T1149" s="93"/>
      <c r="U1149" s="94"/>
    </row>
    <row r="1150" spans="1:21" x14ac:dyDescent="0.4">
      <c r="A1150" s="86">
        <f t="shared" si="17"/>
        <v>1146</v>
      </c>
      <c r="B1150" s="92"/>
      <c r="C1150" s="190"/>
      <c r="D1150" s="164"/>
      <c r="E1150" s="103"/>
      <c r="F1150" s="103"/>
      <c r="G1150" s="103"/>
      <c r="H1150" s="149"/>
      <c r="I1150" s="104"/>
      <c r="J1150" s="109" t="s">
        <v>1823</v>
      </c>
      <c r="K1150" s="145"/>
      <c r="L1150" s="145"/>
      <c r="M1150" s="145"/>
      <c r="N1150" s="145"/>
      <c r="O1150" s="100"/>
      <c r="P1150" s="100"/>
      <c r="Q1150" s="101"/>
      <c r="R1150" s="93" t="s">
        <v>1239</v>
      </c>
      <c r="S1150" s="93"/>
      <c r="T1150" s="93"/>
      <c r="U1150" s="94"/>
    </row>
    <row r="1151" spans="1:21" x14ac:dyDescent="0.4">
      <c r="A1151" s="86">
        <f t="shared" si="17"/>
        <v>1147</v>
      </c>
      <c r="B1151" s="92"/>
      <c r="C1151" s="190"/>
      <c r="D1151" s="164"/>
      <c r="E1151" s="103"/>
      <c r="F1151" s="103"/>
      <c r="G1151" s="103"/>
      <c r="H1151" s="149"/>
      <c r="I1151" s="104"/>
      <c r="J1151" s="104"/>
      <c r="K1151" s="70" t="s">
        <v>1813</v>
      </c>
      <c r="L1151" s="145"/>
      <c r="M1151" s="145"/>
      <c r="N1151" s="145"/>
      <c r="O1151" s="100"/>
      <c r="P1151" s="100"/>
      <c r="Q1151" s="101"/>
      <c r="R1151" s="93" t="s">
        <v>36</v>
      </c>
      <c r="S1151" s="93"/>
      <c r="T1151" s="93"/>
      <c r="U1151" s="94"/>
    </row>
    <row r="1152" spans="1:21" x14ac:dyDescent="0.4">
      <c r="A1152" s="86">
        <f t="shared" si="17"/>
        <v>1148</v>
      </c>
      <c r="B1152" s="92"/>
      <c r="C1152" s="190"/>
      <c r="D1152" s="164"/>
      <c r="E1152" s="103"/>
      <c r="F1152" s="103"/>
      <c r="G1152" s="103"/>
      <c r="H1152" s="149"/>
      <c r="I1152" s="104"/>
      <c r="J1152" s="104"/>
      <c r="K1152" s="104"/>
      <c r="L1152" s="145" t="s">
        <v>2916</v>
      </c>
      <c r="M1152" s="145"/>
      <c r="N1152" s="145"/>
      <c r="O1152" s="100"/>
      <c r="P1152" s="100"/>
      <c r="Q1152" s="101"/>
      <c r="R1152" s="93" t="s">
        <v>2982</v>
      </c>
      <c r="S1152" s="93"/>
      <c r="T1152" s="93"/>
      <c r="U1152" s="94"/>
    </row>
    <row r="1153" spans="1:21" x14ac:dyDescent="0.4">
      <c r="A1153" s="86">
        <f t="shared" si="17"/>
        <v>1149</v>
      </c>
      <c r="B1153" s="92"/>
      <c r="C1153" s="190"/>
      <c r="D1153" s="164"/>
      <c r="E1153" s="103"/>
      <c r="F1153" s="103"/>
      <c r="G1153" s="103"/>
      <c r="H1153" s="149"/>
      <c r="I1153" s="104"/>
      <c r="J1153" s="104"/>
      <c r="K1153" s="108"/>
      <c r="L1153" s="145" t="s">
        <v>1824</v>
      </c>
      <c r="M1153" s="145"/>
      <c r="N1153" s="145"/>
      <c r="O1153" s="100"/>
      <c r="P1153" s="100"/>
      <c r="Q1153" s="101"/>
      <c r="R1153" s="93" t="s">
        <v>36</v>
      </c>
      <c r="S1153" s="93"/>
      <c r="T1153" s="93"/>
      <c r="U1153" s="94"/>
    </row>
    <row r="1154" spans="1:21" x14ac:dyDescent="0.4">
      <c r="A1154" s="86">
        <f t="shared" si="17"/>
        <v>1150</v>
      </c>
      <c r="B1154" s="92"/>
      <c r="C1154" s="190"/>
      <c r="D1154" s="164"/>
      <c r="E1154" s="103"/>
      <c r="F1154" s="103"/>
      <c r="G1154" s="103"/>
      <c r="H1154" s="149"/>
      <c r="I1154" s="104"/>
      <c r="J1154" s="109" t="s">
        <v>1825</v>
      </c>
      <c r="K1154" s="145"/>
      <c r="L1154" s="145"/>
      <c r="M1154" s="145"/>
      <c r="N1154" s="145"/>
      <c r="O1154" s="100"/>
      <c r="P1154" s="100"/>
      <c r="Q1154" s="101"/>
      <c r="R1154" s="93" t="s">
        <v>1239</v>
      </c>
      <c r="S1154" s="93"/>
      <c r="T1154" s="93"/>
      <c r="U1154" s="94"/>
    </row>
    <row r="1155" spans="1:21" x14ac:dyDescent="0.4">
      <c r="A1155" s="86">
        <f t="shared" si="17"/>
        <v>1151</v>
      </c>
      <c r="B1155" s="92"/>
      <c r="C1155" s="190"/>
      <c r="D1155" s="164"/>
      <c r="E1155" s="103"/>
      <c r="F1155" s="103"/>
      <c r="G1155" s="103"/>
      <c r="H1155" s="149"/>
      <c r="I1155" s="104"/>
      <c r="J1155" s="104"/>
      <c r="K1155" s="70" t="s">
        <v>1813</v>
      </c>
      <c r="L1155" s="145"/>
      <c r="M1155" s="145"/>
      <c r="N1155" s="145"/>
      <c r="O1155" s="100"/>
      <c r="P1155" s="100"/>
      <c r="Q1155" s="101"/>
      <c r="R1155" s="93" t="s">
        <v>36</v>
      </c>
      <c r="S1155" s="93"/>
      <c r="T1155" s="93"/>
      <c r="U1155" s="94"/>
    </row>
    <row r="1156" spans="1:21" x14ac:dyDescent="0.4">
      <c r="A1156" s="86">
        <f t="shared" si="17"/>
        <v>1152</v>
      </c>
      <c r="B1156" s="92"/>
      <c r="C1156" s="190"/>
      <c r="D1156" s="164"/>
      <c r="E1156" s="103"/>
      <c r="F1156" s="103"/>
      <c r="G1156" s="103"/>
      <c r="H1156" s="149"/>
      <c r="I1156" s="104"/>
      <c r="J1156" s="104"/>
      <c r="K1156" s="104"/>
      <c r="L1156" s="145" t="s">
        <v>2916</v>
      </c>
      <c r="M1156" s="145"/>
      <c r="N1156" s="145"/>
      <c r="O1156" s="100"/>
      <c r="P1156" s="100"/>
      <c r="Q1156" s="101"/>
      <c r="R1156" s="93" t="s">
        <v>2927</v>
      </c>
      <c r="S1156" s="93"/>
      <c r="T1156" s="93"/>
      <c r="U1156" s="94"/>
    </row>
    <row r="1157" spans="1:21" x14ac:dyDescent="0.4">
      <c r="A1157" s="86">
        <f t="shared" si="17"/>
        <v>1153</v>
      </c>
      <c r="B1157" s="92"/>
      <c r="C1157" s="190"/>
      <c r="D1157" s="164"/>
      <c r="E1157" s="103"/>
      <c r="F1157" s="103"/>
      <c r="G1157" s="103"/>
      <c r="H1157" s="149"/>
      <c r="I1157" s="104"/>
      <c r="J1157" s="109" t="s">
        <v>1826</v>
      </c>
      <c r="K1157" s="100"/>
      <c r="L1157" s="145"/>
      <c r="M1157" s="145"/>
      <c r="N1157" s="145"/>
      <c r="O1157" s="100"/>
      <c r="P1157" s="100"/>
      <c r="Q1157" s="101"/>
      <c r="R1157" s="93" t="s">
        <v>1239</v>
      </c>
      <c r="S1157" s="93"/>
      <c r="T1157" s="93"/>
      <c r="U1157" s="94"/>
    </row>
    <row r="1158" spans="1:21" x14ac:dyDescent="0.4">
      <c r="A1158" s="86">
        <f t="shared" si="17"/>
        <v>1154</v>
      </c>
      <c r="B1158" s="92"/>
      <c r="C1158" s="190"/>
      <c r="D1158" s="164"/>
      <c r="E1158" s="103"/>
      <c r="F1158" s="103"/>
      <c r="G1158" s="103"/>
      <c r="H1158" s="149"/>
      <c r="I1158" s="104"/>
      <c r="J1158" s="104"/>
      <c r="K1158" s="70" t="s">
        <v>1813</v>
      </c>
      <c r="L1158" s="145"/>
      <c r="M1158" s="145"/>
      <c r="N1158" s="145"/>
      <c r="O1158" s="100"/>
      <c r="P1158" s="100"/>
      <c r="Q1158" s="101"/>
      <c r="R1158" s="93" t="s">
        <v>36</v>
      </c>
      <c r="S1158" s="93"/>
      <c r="T1158" s="93"/>
      <c r="U1158" s="94"/>
    </row>
    <row r="1159" spans="1:21" x14ac:dyDescent="0.4">
      <c r="A1159" s="86">
        <f t="shared" ref="A1159:A1222" si="18">A1158+1</f>
        <v>1155</v>
      </c>
      <c r="B1159" s="92"/>
      <c r="C1159" s="190"/>
      <c r="D1159" s="164"/>
      <c r="E1159" s="103"/>
      <c r="F1159" s="103"/>
      <c r="G1159" s="103"/>
      <c r="H1159" s="149"/>
      <c r="I1159" s="104"/>
      <c r="J1159" s="104"/>
      <c r="K1159" s="104"/>
      <c r="L1159" s="145" t="s">
        <v>2916</v>
      </c>
      <c r="M1159" s="145"/>
      <c r="N1159" s="145"/>
      <c r="O1159" s="100"/>
      <c r="P1159" s="100"/>
      <c r="Q1159" s="101"/>
      <c r="R1159" s="93" t="s">
        <v>2927</v>
      </c>
      <c r="S1159" s="93"/>
      <c r="T1159" s="93"/>
      <c r="U1159" s="94"/>
    </row>
    <row r="1160" spans="1:21" x14ac:dyDescent="0.4">
      <c r="A1160" s="86">
        <f t="shared" si="18"/>
        <v>1156</v>
      </c>
      <c r="B1160" s="92"/>
      <c r="C1160" s="190"/>
      <c r="D1160" s="164"/>
      <c r="E1160" s="103"/>
      <c r="F1160" s="103"/>
      <c r="G1160" s="103"/>
      <c r="H1160" s="149"/>
      <c r="I1160" s="104"/>
      <c r="J1160" s="104"/>
      <c r="K1160" s="108"/>
      <c r="L1160" s="145" t="s">
        <v>1815</v>
      </c>
      <c r="M1160" s="145"/>
      <c r="N1160" s="145"/>
      <c r="O1160" s="100"/>
      <c r="P1160" s="100"/>
      <c r="Q1160" s="101"/>
      <c r="R1160" s="93" t="s">
        <v>36</v>
      </c>
      <c r="S1160" s="93"/>
      <c r="T1160" s="93"/>
      <c r="U1160" s="94"/>
    </row>
    <row r="1161" spans="1:21" x14ac:dyDescent="0.4">
      <c r="A1161" s="86">
        <f t="shared" si="18"/>
        <v>1157</v>
      </c>
      <c r="B1161" s="92"/>
      <c r="C1161" s="190"/>
      <c r="D1161" s="164"/>
      <c r="E1161" s="103"/>
      <c r="F1161" s="103"/>
      <c r="G1161" s="103"/>
      <c r="H1161" s="149"/>
      <c r="I1161" s="104"/>
      <c r="J1161" s="109" t="s">
        <v>1827</v>
      </c>
      <c r="K1161" s="100"/>
      <c r="L1161" s="145"/>
      <c r="M1161" s="145"/>
      <c r="N1161" s="145"/>
      <c r="O1161" s="100"/>
      <c r="P1161" s="100"/>
      <c r="Q1161" s="101"/>
      <c r="R1161" s="93" t="s">
        <v>1239</v>
      </c>
      <c r="S1161" s="93"/>
      <c r="T1161" s="93"/>
      <c r="U1161" s="94"/>
    </row>
    <row r="1162" spans="1:21" x14ac:dyDescent="0.4">
      <c r="A1162" s="86">
        <f t="shared" si="18"/>
        <v>1158</v>
      </c>
      <c r="B1162" s="92"/>
      <c r="C1162" s="190"/>
      <c r="D1162" s="164"/>
      <c r="E1162" s="103"/>
      <c r="F1162" s="103"/>
      <c r="G1162" s="103"/>
      <c r="H1162" s="149"/>
      <c r="I1162" s="104"/>
      <c r="J1162" s="104"/>
      <c r="K1162" s="70" t="s">
        <v>1813</v>
      </c>
      <c r="L1162" s="145"/>
      <c r="M1162" s="145"/>
      <c r="N1162" s="145"/>
      <c r="O1162" s="100"/>
      <c r="P1162" s="100"/>
      <c r="Q1162" s="101"/>
      <c r="R1162" s="93" t="s">
        <v>36</v>
      </c>
      <c r="S1162" s="93"/>
      <c r="T1162" s="93"/>
      <c r="U1162" s="94"/>
    </row>
    <row r="1163" spans="1:21" x14ac:dyDescent="0.4">
      <c r="A1163" s="86">
        <f t="shared" si="18"/>
        <v>1159</v>
      </c>
      <c r="B1163" s="92"/>
      <c r="C1163" s="190"/>
      <c r="D1163" s="164"/>
      <c r="E1163" s="103"/>
      <c r="F1163" s="103"/>
      <c r="G1163" s="103"/>
      <c r="H1163" s="149"/>
      <c r="I1163" s="104"/>
      <c r="J1163" s="104"/>
      <c r="K1163" s="104"/>
      <c r="L1163" s="145" t="s">
        <v>2916</v>
      </c>
      <c r="M1163" s="145"/>
      <c r="N1163" s="145"/>
      <c r="O1163" s="100"/>
      <c r="P1163" s="100"/>
      <c r="Q1163" s="101"/>
      <c r="R1163" s="93" t="s">
        <v>2927</v>
      </c>
      <c r="S1163" s="93"/>
      <c r="T1163" s="93"/>
      <c r="U1163" s="94"/>
    </row>
    <row r="1164" spans="1:21" x14ac:dyDescent="0.4">
      <c r="A1164" s="86">
        <f t="shared" si="18"/>
        <v>1160</v>
      </c>
      <c r="B1164" s="92"/>
      <c r="C1164" s="190"/>
      <c r="D1164" s="164"/>
      <c r="E1164" s="103"/>
      <c r="F1164" s="103"/>
      <c r="G1164" s="103"/>
      <c r="H1164" s="149"/>
      <c r="I1164" s="104"/>
      <c r="J1164" s="104"/>
      <c r="K1164" s="108"/>
      <c r="L1164" s="145" t="s">
        <v>1815</v>
      </c>
      <c r="M1164" s="145"/>
      <c r="N1164" s="145"/>
      <c r="O1164" s="100"/>
      <c r="P1164" s="100"/>
      <c r="Q1164" s="101"/>
      <c r="R1164" s="93" t="s">
        <v>36</v>
      </c>
      <c r="S1164" s="93"/>
      <c r="T1164" s="93"/>
      <c r="U1164" s="94"/>
    </row>
    <row r="1165" spans="1:21" x14ac:dyDescent="0.4">
      <c r="A1165" s="86">
        <f t="shared" si="18"/>
        <v>1161</v>
      </c>
      <c r="B1165" s="92"/>
      <c r="C1165" s="190"/>
      <c r="D1165" s="164"/>
      <c r="E1165" s="103"/>
      <c r="F1165" s="103"/>
      <c r="G1165" s="103"/>
      <c r="H1165" s="149"/>
      <c r="I1165" s="104"/>
      <c r="J1165" s="109" t="s">
        <v>1828</v>
      </c>
      <c r="K1165" s="100"/>
      <c r="L1165" s="145"/>
      <c r="M1165" s="145"/>
      <c r="N1165" s="145"/>
      <c r="O1165" s="100"/>
      <c r="P1165" s="100"/>
      <c r="Q1165" s="101"/>
      <c r="R1165" s="93" t="s">
        <v>1239</v>
      </c>
      <c r="S1165" s="93"/>
      <c r="T1165" s="93"/>
      <c r="U1165" s="94"/>
    </row>
    <row r="1166" spans="1:21" x14ac:dyDescent="0.4">
      <c r="A1166" s="86">
        <f t="shared" si="18"/>
        <v>1162</v>
      </c>
      <c r="B1166" s="92"/>
      <c r="C1166" s="190"/>
      <c r="D1166" s="164"/>
      <c r="E1166" s="103"/>
      <c r="F1166" s="103"/>
      <c r="G1166" s="103"/>
      <c r="H1166" s="149"/>
      <c r="I1166" s="104"/>
      <c r="J1166" s="104"/>
      <c r="K1166" s="70" t="s">
        <v>1813</v>
      </c>
      <c r="L1166" s="145"/>
      <c r="M1166" s="145"/>
      <c r="N1166" s="145"/>
      <c r="O1166" s="100"/>
      <c r="P1166" s="100"/>
      <c r="Q1166" s="101"/>
      <c r="R1166" s="93" t="s">
        <v>36</v>
      </c>
      <c r="S1166" s="93"/>
      <c r="T1166" s="93"/>
      <c r="U1166" s="94"/>
    </row>
    <row r="1167" spans="1:21" x14ac:dyDescent="0.4">
      <c r="A1167" s="86">
        <f t="shared" si="18"/>
        <v>1163</v>
      </c>
      <c r="B1167" s="92"/>
      <c r="C1167" s="190"/>
      <c r="D1167" s="164"/>
      <c r="E1167" s="103"/>
      <c r="F1167" s="103"/>
      <c r="G1167" s="103"/>
      <c r="H1167" s="149"/>
      <c r="I1167" s="104"/>
      <c r="J1167" s="104"/>
      <c r="K1167" s="104"/>
      <c r="L1167" s="145" t="s">
        <v>2916</v>
      </c>
      <c r="M1167" s="145"/>
      <c r="N1167" s="145"/>
      <c r="O1167" s="100"/>
      <c r="P1167" s="100"/>
      <c r="Q1167" s="101"/>
      <c r="R1167" s="93" t="s">
        <v>2927</v>
      </c>
      <c r="S1167" s="93"/>
      <c r="T1167" s="93"/>
      <c r="U1167" s="94"/>
    </row>
    <row r="1168" spans="1:21" x14ac:dyDescent="0.4">
      <c r="A1168" s="86">
        <f t="shared" si="18"/>
        <v>1164</v>
      </c>
      <c r="B1168" s="92"/>
      <c r="C1168" s="190"/>
      <c r="D1168" s="164"/>
      <c r="E1168" s="103"/>
      <c r="F1168" s="103"/>
      <c r="G1168" s="103"/>
      <c r="H1168" s="149"/>
      <c r="I1168" s="104"/>
      <c r="J1168" s="104"/>
      <c r="K1168" s="104"/>
      <c r="L1168" s="145" t="s">
        <v>1829</v>
      </c>
      <c r="M1168" s="145"/>
      <c r="N1168" s="145"/>
      <c r="O1168" s="100"/>
      <c r="P1168" s="100"/>
      <c r="Q1168" s="101"/>
      <c r="R1168" s="93" t="s">
        <v>36</v>
      </c>
      <c r="S1168" s="93"/>
      <c r="T1168" s="93"/>
      <c r="U1168" s="94"/>
    </row>
    <row r="1169" spans="1:21" x14ac:dyDescent="0.4">
      <c r="A1169" s="86">
        <f t="shared" si="18"/>
        <v>1165</v>
      </c>
      <c r="B1169" s="92"/>
      <c r="C1169" s="190"/>
      <c r="D1169" s="164"/>
      <c r="E1169" s="103"/>
      <c r="F1169" s="103"/>
      <c r="G1169" s="103"/>
      <c r="H1169" s="149"/>
      <c r="I1169" s="104"/>
      <c r="J1169" s="104"/>
      <c r="K1169" s="108"/>
      <c r="L1169" s="145" t="s">
        <v>1815</v>
      </c>
      <c r="M1169" s="145"/>
      <c r="N1169" s="145"/>
      <c r="O1169" s="100"/>
      <c r="P1169" s="100"/>
      <c r="Q1169" s="101"/>
      <c r="R1169" s="93" t="s">
        <v>36</v>
      </c>
      <c r="S1169" s="93"/>
      <c r="T1169" s="93"/>
      <c r="U1169" s="94"/>
    </row>
    <row r="1170" spans="1:21" x14ac:dyDescent="0.4">
      <c r="A1170" s="86">
        <f t="shared" si="18"/>
        <v>1166</v>
      </c>
      <c r="B1170" s="92"/>
      <c r="C1170" s="190"/>
      <c r="D1170" s="164"/>
      <c r="E1170" s="103"/>
      <c r="F1170" s="103"/>
      <c r="G1170" s="103"/>
      <c r="H1170" s="149"/>
      <c r="I1170" s="104"/>
      <c r="J1170" s="109" t="s">
        <v>1830</v>
      </c>
      <c r="K1170" s="100"/>
      <c r="L1170" s="145"/>
      <c r="M1170" s="145"/>
      <c r="N1170" s="145"/>
      <c r="O1170" s="100"/>
      <c r="P1170" s="100"/>
      <c r="Q1170" s="101"/>
      <c r="R1170" s="93" t="s">
        <v>1239</v>
      </c>
      <c r="S1170" s="93"/>
      <c r="T1170" s="93"/>
      <c r="U1170" s="94"/>
    </row>
    <row r="1171" spans="1:21" x14ac:dyDescent="0.4">
      <c r="A1171" s="86">
        <f t="shared" si="18"/>
        <v>1167</v>
      </c>
      <c r="B1171" s="92"/>
      <c r="C1171" s="190"/>
      <c r="D1171" s="164"/>
      <c r="E1171" s="103"/>
      <c r="F1171" s="103"/>
      <c r="G1171" s="103"/>
      <c r="H1171" s="149"/>
      <c r="I1171" s="104"/>
      <c r="J1171" s="104"/>
      <c r="K1171" s="70" t="s">
        <v>1813</v>
      </c>
      <c r="L1171" s="145"/>
      <c r="M1171" s="145"/>
      <c r="N1171" s="145"/>
      <c r="O1171" s="100"/>
      <c r="P1171" s="100"/>
      <c r="Q1171" s="101"/>
      <c r="R1171" s="93" t="s">
        <v>20</v>
      </c>
      <c r="S1171" s="93"/>
      <c r="T1171" s="93"/>
      <c r="U1171" s="94"/>
    </row>
    <row r="1172" spans="1:21" x14ac:dyDescent="0.4">
      <c r="A1172" s="86">
        <f t="shared" si="18"/>
        <v>1168</v>
      </c>
      <c r="B1172" s="92"/>
      <c r="C1172" s="190"/>
      <c r="D1172" s="164"/>
      <c r="E1172" s="103"/>
      <c r="F1172" s="103"/>
      <c r="G1172" s="103"/>
      <c r="H1172" s="149"/>
      <c r="I1172" s="104"/>
      <c r="J1172" s="104"/>
      <c r="K1172" s="104"/>
      <c r="L1172" s="145" t="s">
        <v>2916</v>
      </c>
      <c r="M1172" s="145"/>
      <c r="N1172" s="145"/>
      <c r="O1172" s="100"/>
      <c r="P1172" s="100"/>
      <c r="Q1172" s="101"/>
      <c r="R1172" s="93" t="s">
        <v>2982</v>
      </c>
      <c r="S1172" s="93"/>
      <c r="T1172" s="93"/>
      <c r="U1172" s="94"/>
    </row>
    <row r="1173" spans="1:21" x14ac:dyDescent="0.4">
      <c r="A1173" s="86">
        <f t="shared" si="18"/>
        <v>1169</v>
      </c>
      <c r="B1173" s="92"/>
      <c r="C1173" s="190"/>
      <c r="D1173" s="164"/>
      <c r="E1173" s="103"/>
      <c r="F1173" s="103"/>
      <c r="G1173" s="103"/>
      <c r="H1173" s="149"/>
      <c r="I1173" s="104"/>
      <c r="J1173" s="104"/>
      <c r="K1173" s="108"/>
      <c r="L1173" s="145" t="s">
        <v>1831</v>
      </c>
      <c r="M1173" s="145"/>
      <c r="N1173" s="145"/>
      <c r="O1173" s="100"/>
      <c r="P1173" s="100"/>
      <c r="Q1173" s="101"/>
      <c r="R1173" s="93" t="s">
        <v>36</v>
      </c>
      <c r="S1173" s="93"/>
      <c r="T1173" s="93"/>
      <c r="U1173" s="94"/>
    </row>
    <row r="1174" spans="1:21" x14ac:dyDescent="0.4">
      <c r="A1174" s="86">
        <f t="shared" si="18"/>
        <v>1170</v>
      </c>
      <c r="B1174" s="92"/>
      <c r="C1174" s="190"/>
      <c r="D1174" s="164"/>
      <c r="E1174" s="103"/>
      <c r="F1174" s="103"/>
      <c r="G1174" s="103"/>
      <c r="H1174" s="149"/>
      <c r="I1174" s="104"/>
      <c r="J1174" s="109" t="s">
        <v>1832</v>
      </c>
      <c r="K1174" s="100"/>
      <c r="L1174" s="145"/>
      <c r="M1174" s="145"/>
      <c r="N1174" s="145"/>
      <c r="O1174" s="100"/>
      <c r="P1174" s="100"/>
      <c r="Q1174" s="101"/>
      <c r="R1174" s="93" t="s">
        <v>1239</v>
      </c>
      <c r="S1174" s="93"/>
      <c r="T1174" s="93"/>
      <c r="U1174" s="94"/>
    </row>
    <row r="1175" spans="1:21" x14ac:dyDescent="0.4">
      <c r="A1175" s="86">
        <f t="shared" si="18"/>
        <v>1171</v>
      </c>
      <c r="B1175" s="92"/>
      <c r="C1175" s="190"/>
      <c r="D1175" s="164"/>
      <c r="E1175" s="103"/>
      <c r="F1175" s="103"/>
      <c r="G1175" s="103"/>
      <c r="H1175" s="149"/>
      <c r="I1175" s="104"/>
      <c r="J1175" s="104"/>
      <c r="K1175" s="70" t="s">
        <v>1813</v>
      </c>
      <c r="L1175" s="145"/>
      <c r="M1175" s="145"/>
      <c r="N1175" s="145"/>
      <c r="O1175" s="100"/>
      <c r="P1175" s="100"/>
      <c r="Q1175" s="101"/>
      <c r="R1175" s="93" t="s">
        <v>36</v>
      </c>
      <c r="S1175" s="93"/>
      <c r="T1175" s="93"/>
      <c r="U1175" s="94"/>
    </row>
    <row r="1176" spans="1:21" x14ac:dyDescent="0.4">
      <c r="A1176" s="86">
        <f t="shared" si="18"/>
        <v>1172</v>
      </c>
      <c r="B1176" s="92"/>
      <c r="C1176" s="190"/>
      <c r="D1176" s="164"/>
      <c r="E1176" s="103"/>
      <c r="F1176" s="103"/>
      <c r="G1176" s="103"/>
      <c r="H1176" s="149"/>
      <c r="I1176" s="104"/>
      <c r="J1176" s="104"/>
      <c r="K1176" s="104"/>
      <c r="L1176" s="145" t="s">
        <v>2916</v>
      </c>
      <c r="M1176" s="145"/>
      <c r="N1176" s="145"/>
      <c r="O1176" s="100"/>
      <c r="P1176" s="100"/>
      <c r="Q1176" s="101"/>
      <c r="R1176" s="93" t="s">
        <v>2927</v>
      </c>
      <c r="S1176" s="93"/>
      <c r="T1176" s="93"/>
      <c r="U1176" s="94"/>
    </row>
    <row r="1177" spans="1:21" x14ac:dyDescent="0.4">
      <c r="A1177" s="86">
        <f t="shared" si="18"/>
        <v>1173</v>
      </c>
      <c r="B1177" s="92"/>
      <c r="C1177" s="190"/>
      <c r="D1177" s="164"/>
      <c r="E1177" s="103"/>
      <c r="F1177" s="103"/>
      <c r="G1177" s="103"/>
      <c r="H1177" s="149"/>
      <c r="I1177" s="104"/>
      <c r="J1177" s="104"/>
      <c r="K1177" s="104"/>
      <c r="L1177" s="145" t="s">
        <v>1833</v>
      </c>
      <c r="M1177" s="145"/>
      <c r="N1177" s="145"/>
      <c r="O1177" s="100"/>
      <c r="P1177" s="100"/>
      <c r="Q1177" s="101"/>
      <c r="R1177" s="93" t="s">
        <v>36</v>
      </c>
      <c r="S1177" s="93"/>
      <c r="T1177" s="93"/>
      <c r="U1177" s="94"/>
    </row>
    <row r="1178" spans="1:21" x14ac:dyDescent="0.4">
      <c r="A1178" s="86">
        <f t="shared" si="18"/>
        <v>1174</v>
      </c>
      <c r="B1178" s="92"/>
      <c r="C1178" s="190"/>
      <c r="D1178" s="164"/>
      <c r="E1178" s="103"/>
      <c r="F1178" s="103"/>
      <c r="G1178" s="103"/>
      <c r="H1178" s="149"/>
      <c r="I1178" s="104"/>
      <c r="J1178" s="104"/>
      <c r="K1178" s="108"/>
      <c r="L1178" s="145" t="s">
        <v>1815</v>
      </c>
      <c r="M1178" s="145"/>
      <c r="N1178" s="145"/>
      <c r="O1178" s="100"/>
      <c r="P1178" s="100"/>
      <c r="Q1178" s="101"/>
      <c r="R1178" s="93" t="s">
        <v>36</v>
      </c>
      <c r="S1178" s="93"/>
      <c r="T1178" s="93"/>
      <c r="U1178" s="94"/>
    </row>
    <row r="1179" spans="1:21" x14ac:dyDescent="0.4">
      <c r="A1179" s="86">
        <f t="shared" si="18"/>
        <v>1175</v>
      </c>
      <c r="B1179" s="92"/>
      <c r="C1179" s="190"/>
      <c r="D1179" s="164"/>
      <c r="E1179" s="103"/>
      <c r="F1179" s="103"/>
      <c r="G1179" s="103"/>
      <c r="H1179" s="149"/>
      <c r="I1179" s="104"/>
      <c r="J1179" s="109" t="s">
        <v>1834</v>
      </c>
      <c r="K1179" s="100"/>
      <c r="L1179" s="145"/>
      <c r="M1179" s="145"/>
      <c r="N1179" s="145"/>
      <c r="O1179" s="100"/>
      <c r="P1179" s="100"/>
      <c r="Q1179" s="101"/>
      <c r="R1179" s="93" t="s">
        <v>1239</v>
      </c>
      <c r="S1179" s="93"/>
      <c r="T1179" s="93"/>
      <c r="U1179" s="94"/>
    </row>
    <row r="1180" spans="1:21" x14ac:dyDescent="0.4">
      <c r="A1180" s="86">
        <f t="shared" si="18"/>
        <v>1176</v>
      </c>
      <c r="B1180" s="92"/>
      <c r="C1180" s="190"/>
      <c r="D1180" s="164"/>
      <c r="E1180" s="103"/>
      <c r="F1180" s="103"/>
      <c r="G1180" s="103"/>
      <c r="H1180" s="149"/>
      <c r="I1180" s="104"/>
      <c r="J1180" s="104"/>
      <c r="K1180" s="70" t="s">
        <v>1813</v>
      </c>
      <c r="L1180" s="145"/>
      <c r="M1180" s="145"/>
      <c r="N1180" s="145"/>
      <c r="O1180" s="100"/>
      <c r="P1180" s="100"/>
      <c r="Q1180" s="101"/>
      <c r="R1180" s="93" t="s">
        <v>36</v>
      </c>
      <c r="S1180" s="93"/>
      <c r="T1180" s="93"/>
      <c r="U1180" s="94"/>
    </row>
    <row r="1181" spans="1:21" x14ac:dyDescent="0.4">
      <c r="A1181" s="86">
        <f t="shared" si="18"/>
        <v>1177</v>
      </c>
      <c r="B1181" s="92"/>
      <c r="C1181" s="190"/>
      <c r="D1181" s="164"/>
      <c r="E1181" s="103"/>
      <c r="F1181" s="103"/>
      <c r="G1181" s="103"/>
      <c r="H1181" s="149"/>
      <c r="I1181" s="104"/>
      <c r="J1181" s="104"/>
      <c r="K1181" s="104"/>
      <c r="L1181" s="145" t="s">
        <v>2916</v>
      </c>
      <c r="M1181" s="145"/>
      <c r="N1181" s="145"/>
      <c r="O1181" s="100"/>
      <c r="P1181" s="100"/>
      <c r="Q1181" s="101"/>
      <c r="R1181" s="93" t="s">
        <v>2927</v>
      </c>
      <c r="S1181" s="93"/>
      <c r="T1181" s="93"/>
      <c r="U1181" s="94"/>
    </row>
    <row r="1182" spans="1:21" x14ac:dyDescent="0.4">
      <c r="A1182" s="86">
        <f t="shared" si="18"/>
        <v>1178</v>
      </c>
      <c r="B1182" s="92"/>
      <c r="C1182" s="190"/>
      <c r="D1182" s="164"/>
      <c r="E1182" s="103"/>
      <c r="F1182" s="103"/>
      <c r="G1182" s="103"/>
      <c r="H1182" s="149"/>
      <c r="I1182" s="104"/>
      <c r="J1182" s="104"/>
      <c r="K1182" s="108"/>
      <c r="L1182" s="145" t="s">
        <v>1815</v>
      </c>
      <c r="M1182" s="145"/>
      <c r="N1182" s="145"/>
      <c r="O1182" s="100"/>
      <c r="P1182" s="100"/>
      <c r="Q1182" s="101"/>
      <c r="R1182" s="93" t="s">
        <v>36</v>
      </c>
      <c r="S1182" s="93"/>
      <c r="T1182" s="93"/>
      <c r="U1182" s="94"/>
    </row>
    <row r="1183" spans="1:21" x14ac:dyDescent="0.4">
      <c r="A1183" s="86">
        <f t="shared" si="18"/>
        <v>1179</v>
      </c>
      <c r="B1183" s="92"/>
      <c r="C1183" s="190"/>
      <c r="D1183" s="164"/>
      <c r="E1183" s="103"/>
      <c r="F1183" s="103"/>
      <c r="G1183" s="103"/>
      <c r="H1183" s="149"/>
      <c r="I1183" s="104"/>
      <c r="J1183" s="109" t="s">
        <v>1835</v>
      </c>
      <c r="K1183" s="100"/>
      <c r="L1183" s="145"/>
      <c r="M1183" s="145"/>
      <c r="N1183" s="145"/>
      <c r="O1183" s="100"/>
      <c r="P1183" s="100"/>
      <c r="Q1183" s="101"/>
      <c r="R1183" s="93" t="s">
        <v>1239</v>
      </c>
      <c r="S1183" s="93"/>
      <c r="T1183" s="93"/>
      <c r="U1183" s="94"/>
    </row>
    <row r="1184" spans="1:21" x14ac:dyDescent="0.4">
      <c r="A1184" s="86">
        <f t="shared" si="18"/>
        <v>1180</v>
      </c>
      <c r="B1184" s="92"/>
      <c r="C1184" s="190"/>
      <c r="D1184" s="164"/>
      <c r="E1184" s="103"/>
      <c r="F1184" s="103"/>
      <c r="G1184" s="103"/>
      <c r="H1184" s="149"/>
      <c r="I1184" s="104"/>
      <c r="J1184" s="104"/>
      <c r="K1184" s="70" t="s">
        <v>1813</v>
      </c>
      <c r="L1184" s="145"/>
      <c r="M1184" s="145"/>
      <c r="N1184" s="145"/>
      <c r="O1184" s="100"/>
      <c r="P1184" s="100"/>
      <c r="Q1184" s="101"/>
      <c r="R1184" s="93" t="s">
        <v>36</v>
      </c>
      <c r="S1184" s="93"/>
      <c r="T1184" s="93"/>
      <c r="U1184" s="94"/>
    </row>
    <row r="1185" spans="1:21" x14ac:dyDescent="0.4">
      <c r="A1185" s="86">
        <f t="shared" si="18"/>
        <v>1181</v>
      </c>
      <c r="B1185" s="92"/>
      <c r="C1185" s="190"/>
      <c r="D1185" s="164"/>
      <c r="E1185" s="103"/>
      <c r="F1185" s="103"/>
      <c r="G1185" s="103"/>
      <c r="H1185" s="149"/>
      <c r="I1185" s="104"/>
      <c r="J1185" s="104"/>
      <c r="K1185" s="104"/>
      <c r="L1185" s="145" t="s">
        <v>2916</v>
      </c>
      <c r="M1185" s="145"/>
      <c r="N1185" s="145"/>
      <c r="O1185" s="100"/>
      <c r="P1185" s="100"/>
      <c r="Q1185" s="101"/>
      <c r="R1185" s="93" t="s">
        <v>2982</v>
      </c>
      <c r="S1185" s="93"/>
      <c r="T1185" s="93"/>
      <c r="U1185" s="94"/>
    </row>
    <row r="1186" spans="1:21" x14ac:dyDescent="0.4">
      <c r="A1186" s="86">
        <f t="shared" si="18"/>
        <v>1182</v>
      </c>
      <c r="B1186" s="92"/>
      <c r="C1186" s="190"/>
      <c r="D1186" s="164"/>
      <c r="E1186" s="103"/>
      <c r="F1186" s="103"/>
      <c r="G1186" s="103"/>
      <c r="H1186" s="149"/>
      <c r="I1186" s="104"/>
      <c r="J1186" s="104"/>
      <c r="K1186" s="108"/>
      <c r="L1186" s="145" t="s">
        <v>1836</v>
      </c>
      <c r="M1186" s="145"/>
      <c r="N1186" s="145"/>
      <c r="O1186" s="100"/>
      <c r="P1186" s="100"/>
      <c r="Q1186" s="101"/>
      <c r="R1186" s="93" t="s">
        <v>36</v>
      </c>
      <c r="S1186" s="93"/>
      <c r="T1186" s="93"/>
      <c r="U1186" s="94"/>
    </row>
    <row r="1187" spans="1:21" x14ac:dyDescent="0.4">
      <c r="A1187" s="86">
        <f t="shared" si="18"/>
        <v>1183</v>
      </c>
      <c r="B1187" s="92"/>
      <c r="C1187" s="190"/>
      <c r="D1187" s="164"/>
      <c r="E1187" s="103"/>
      <c r="F1187" s="103"/>
      <c r="G1187" s="103"/>
      <c r="H1187" s="149"/>
      <c r="I1187" s="104"/>
      <c r="J1187" s="109" t="s">
        <v>1837</v>
      </c>
      <c r="K1187" s="100"/>
      <c r="L1187" s="145"/>
      <c r="M1187" s="145"/>
      <c r="N1187" s="145"/>
      <c r="O1187" s="100"/>
      <c r="P1187" s="100"/>
      <c r="Q1187" s="101"/>
      <c r="R1187" s="93" t="s">
        <v>1239</v>
      </c>
      <c r="S1187" s="93"/>
      <c r="T1187" s="93"/>
      <c r="U1187" s="94"/>
    </row>
    <row r="1188" spans="1:21" x14ac:dyDescent="0.4">
      <c r="A1188" s="86">
        <f t="shared" si="18"/>
        <v>1184</v>
      </c>
      <c r="B1188" s="92"/>
      <c r="C1188" s="190"/>
      <c r="D1188" s="164"/>
      <c r="E1188" s="103"/>
      <c r="F1188" s="103"/>
      <c r="G1188" s="103"/>
      <c r="H1188" s="149"/>
      <c r="I1188" s="104"/>
      <c r="J1188" s="104"/>
      <c r="K1188" s="70" t="s">
        <v>1813</v>
      </c>
      <c r="L1188" s="145"/>
      <c r="M1188" s="145"/>
      <c r="N1188" s="145"/>
      <c r="O1188" s="100"/>
      <c r="P1188" s="100"/>
      <c r="Q1188" s="101"/>
      <c r="R1188" s="93" t="s">
        <v>36</v>
      </c>
      <c r="S1188" s="93"/>
      <c r="T1188" s="93"/>
      <c r="U1188" s="94"/>
    </row>
    <row r="1189" spans="1:21" x14ac:dyDescent="0.4">
      <c r="A1189" s="86">
        <f t="shared" si="18"/>
        <v>1185</v>
      </c>
      <c r="B1189" s="92"/>
      <c r="C1189" s="190"/>
      <c r="D1189" s="164"/>
      <c r="E1189" s="103"/>
      <c r="F1189" s="103"/>
      <c r="G1189" s="103"/>
      <c r="H1189" s="149"/>
      <c r="I1189" s="104"/>
      <c r="J1189" s="104"/>
      <c r="K1189" s="104"/>
      <c r="L1189" s="145" t="s">
        <v>2916</v>
      </c>
      <c r="M1189" s="145"/>
      <c r="N1189" s="145"/>
      <c r="O1189" s="100"/>
      <c r="P1189" s="100"/>
      <c r="Q1189" s="101"/>
      <c r="R1189" s="93" t="s">
        <v>2927</v>
      </c>
      <c r="S1189" s="93"/>
      <c r="T1189" s="93"/>
      <c r="U1189" s="94"/>
    </row>
    <row r="1190" spans="1:21" x14ac:dyDescent="0.4">
      <c r="A1190" s="86">
        <f t="shared" si="18"/>
        <v>1186</v>
      </c>
      <c r="B1190" s="92"/>
      <c r="C1190" s="190"/>
      <c r="D1190" s="164"/>
      <c r="E1190" s="103"/>
      <c r="F1190" s="103"/>
      <c r="G1190" s="103"/>
      <c r="H1190" s="149"/>
      <c r="I1190" s="104"/>
      <c r="J1190" s="104"/>
      <c r="K1190" s="108"/>
      <c r="L1190" s="145" t="s">
        <v>1815</v>
      </c>
      <c r="M1190" s="145"/>
      <c r="N1190" s="145"/>
      <c r="O1190" s="100"/>
      <c r="P1190" s="100"/>
      <c r="Q1190" s="101"/>
      <c r="R1190" s="93" t="s">
        <v>36</v>
      </c>
      <c r="S1190" s="93"/>
      <c r="T1190" s="93"/>
      <c r="U1190" s="94"/>
    </row>
    <row r="1191" spans="1:21" x14ac:dyDescent="0.4">
      <c r="A1191" s="86">
        <f t="shared" si="18"/>
        <v>1187</v>
      </c>
      <c r="B1191" s="92"/>
      <c r="C1191" s="190"/>
      <c r="D1191" s="164"/>
      <c r="E1191" s="103"/>
      <c r="F1191" s="103"/>
      <c r="G1191" s="103"/>
      <c r="H1191" s="149"/>
      <c r="I1191" s="104"/>
      <c r="J1191" s="109" t="s">
        <v>1838</v>
      </c>
      <c r="K1191" s="100"/>
      <c r="L1191" s="145"/>
      <c r="M1191" s="145"/>
      <c r="N1191" s="145"/>
      <c r="O1191" s="100"/>
      <c r="P1191" s="100"/>
      <c r="Q1191" s="101"/>
      <c r="R1191" s="93" t="s">
        <v>1239</v>
      </c>
      <c r="S1191" s="93"/>
      <c r="T1191" s="93"/>
      <c r="U1191" s="94"/>
    </row>
    <row r="1192" spans="1:21" x14ac:dyDescent="0.4">
      <c r="A1192" s="86">
        <f t="shared" si="18"/>
        <v>1188</v>
      </c>
      <c r="B1192" s="92"/>
      <c r="C1192" s="190"/>
      <c r="D1192" s="164"/>
      <c r="E1192" s="103"/>
      <c r="F1192" s="103"/>
      <c r="G1192" s="103"/>
      <c r="H1192" s="149"/>
      <c r="I1192" s="104"/>
      <c r="J1192" s="104"/>
      <c r="K1192" s="70" t="s">
        <v>1813</v>
      </c>
      <c r="L1192" s="145"/>
      <c r="M1192" s="145"/>
      <c r="N1192" s="145"/>
      <c r="O1192" s="100"/>
      <c r="P1192" s="100"/>
      <c r="Q1192" s="101"/>
      <c r="R1192" s="93" t="s">
        <v>36</v>
      </c>
      <c r="S1192" s="93"/>
      <c r="T1192" s="93"/>
      <c r="U1192" s="94"/>
    </row>
    <row r="1193" spans="1:21" x14ac:dyDescent="0.4">
      <c r="A1193" s="86">
        <f t="shared" si="18"/>
        <v>1189</v>
      </c>
      <c r="B1193" s="92"/>
      <c r="C1193" s="190"/>
      <c r="D1193" s="164"/>
      <c r="E1193" s="103"/>
      <c r="F1193" s="103"/>
      <c r="G1193" s="103"/>
      <c r="H1193" s="149"/>
      <c r="I1193" s="104"/>
      <c r="J1193" s="104"/>
      <c r="K1193" s="104"/>
      <c r="L1193" s="145" t="s">
        <v>2916</v>
      </c>
      <c r="M1193" s="145"/>
      <c r="N1193" s="145"/>
      <c r="O1193" s="100"/>
      <c r="P1193" s="100"/>
      <c r="Q1193" s="101"/>
      <c r="R1193" s="93" t="s">
        <v>2927</v>
      </c>
      <c r="S1193" s="93"/>
      <c r="T1193" s="93"/>
      <c r="U1193" s="94"/>
    </row>
    <row r="1194" spans="1:21" x14ac:dyDescent="0.4">
      <c r="A1194" s="86">
        <f t="shared" si="18"/>
        <v>1190</v>
      </c>
      <c r="B1194" s="92"/>
      <c r="C1194" s="190"/>
      <c r="D1194" s="164"/>
      <c r="E1194" s="103"/>
      <c r="F1194" s="103"/>
      <c r="G1194" s="103"/>
      <c r="H1194" s="149"/>
      <c r="I1194" s="104"/>
      <c r="J1194" s="104"/>
      <c r="K1194" s="108"/>
      <c r="L1194" s="145" t="s">
        <v>1815</v>
      </c>
      <c r="M1194" s="145"/>
      <c r="N1194" s="145"/>
      <c r="O1194" s="100"/>
      <c r="P1194" s="100"/>
      <c r="Q1194" s="101"/>
      <c r="R1194" s="93" t="s">
        <v>36</v>
      </c>
      <c r="S1194" s="93"/>
      <c r="T1194" s="93"/>
      <c r="U1194" s="94"/>
    </row>
    <row r="1195" spans="1:21" x14ac:dyDescent="0.4">
      <c r="A1195" s="86">
        <f t="shared" si="18"/>
        <v>1191</v>
      </c>
      <c r="B1195" s="92"/>
      <c r="C1195" s="190"/>
      <c r="D1195" s="164"/>
      <c r="E1195" s="103"/>
      <c r="F1195" s="103"/>
      <c r="G1195" s="103"/>
      <c r="H1195" s="149"/>
      <c r="I1195" s="104"/>
      <c r="J1195" s="109" t="s">
        <v>1839</v>
      </c>
      <c r="K1195" s="100"/>
      <c r="L1195" s="145"/>
      <c r="M1195" s="145"/>
      <c r="N1195" s="145"/>
      <c r="O1195" s="100"/>
      <c r="P1195" s="100"/>
      <c r="Q1195" s="101"/>
      <c r="R1195" s="93" t="s">
        <v>1239</v>
      </c>
      <c r="S1195" s="93"/>
      <c r="T1195" s="93"/>
      <c r="U1195" s="94"/>
    </row>
    <row r="1196" spans="1:21" x14ac:dyDescent="0.4">
      <c r="A1196" s="86">
        <f t="shared" si="18"/>
        <v>1192</v>
      </c>
      <c r="B1196" s="92"/>
      <c r="C1196" s="190"/>
      <c r="D1196" s="164"/>
      <c r="E1196" s="103"/>
      <c r="F1196" s="103"/>
      <c r="G1196" s="103"/>
      <c r="H1196" s="149"/>
      <c r="I1196" s="104"/>
      <c r="J1196" s="104"/>
      <c r="K1196" s="70" t="s">
        <v>1813</v>
      </c>
      <c r="L1196" s="145"/>
      <c r="M1196" s="145"/>
      <c r="N1196" s="145"/>
      <c r="O1196" s="100"/>
      <c r="P1196" s="100"/>
      <c r="Q1196" s="101"/>
      <c r="R1196" s="93" t="s">
        <v>36</v>
      </c>
      <c r="S1196" s="93"/>
      <c r="T1196" s="93"/>
      <c r="U1196" s="94"/>
    </row>
    <row r="1197" spans="1:21" x14ac:dyDescent="0.4">
      <c r="A1197" s="86">
        <f t="shared" si="18"/>
        <v>1193</v>
      </c>
      <c r="B1197" s="92"/>
      <c r="C1197" s="190"/>
      <c r="D1197" s="164"/>
      <c r="E1197" s="103"/>
      <c r="F1197" s="103"/>
      <c r="G1197" s="103"/>
      <c r="H1197" s="149"/>
      <c r="I1197" s="104"/>
      <c r="J1197" s="104"/>
      <c r="K1197" s="104"/>
      <c r="L1197" s="145" t="s">
        <v>2916</v>
      </c>
      <c r="M1197" s="145"/>
      <c r="N1197" s="145"/>
      <c r="O1197" s="100"/>
      <c r="P1197" s="100"/>
      <c r="Q1197" s="101"/>
      <c r="R1197" s="93" t="s">
        <v>2982</v>
      </c>
      <c r="S1197" s="93"/>
      <c r="T1197" s="93"/>
      <c r="U1197" s="94"/>
    </row>
    <row r="1198" spans="1:21" x14ac:dyDescent="0.4">
      <c r="A1198" s="86">
        <f t="shared" si="18"/>
        <v>1194</v>
      </c>
      <c r="B1198" s="92"/>
      <c r="C1198" s="190"/>
      <c r="D1198" s="164"/>
      <c r="E1198" s="103"/>
      <c r="F1198" s="103"/>
      <c r="G1198" s="103"/>
      <c r="H1198" s="149"/>
      <c r="I1198" s="104"/>
      <c r="J1198" s="109" t="s">
        <v>1840</v>
      </c>
      <c r="K1198" s="100"/>
      <c r="L1198" s="145"/>
      <c r="M1198" s="145"/>
      <c r="N1198" s="145"/>
      <c r="O1198" s="100"/>
      <c r="P1198" s="100"/>
      <c r="Q1198" s="101"/>
      <c r="R1198" s="93" t="s">
        <v>1239</v>
      </c>
      <c r="S1198" s="93"/>
      <c r="T1198" s="93"/>
      <c r="U1198" s="94"/>
    </row>
    <row r="1199" spans="1:21" x14ac:dyDescent="0.4">
      <c r="A1199" s="86">
        <f t="shared" si="18"/>
        <v>1195</v>
      </c>
      <c r="B1199" s="92"/>
      <c r="C1199" s="190"/>
      <c r="D1199" s="164"/>
      <c r="E1199" s="103"/>
      <c r="F1199" s="103"/>
      <c r="G1199" s="103"/>
      <c r="H1199" s="149"/>
      <c r="I1199" s="104"/>
      <c r="J1199" s="104"/>
      <c r="K1199" s="70" t="s">
        <v>1813</v>
      </c>
      <c r="L1199" s="145"/>
      <c r="M1199" s="145"/>
      <c r="N1199" s="145"/>
      <c r="O1199" s="100"/>
      <c r="P1199" s="100"/>
      <c r="Q1199" s="101"/>
      <c r="R1199" s="93" t="s">
        <v>36</v>
      </c>
      <c r="S1199" s="93"/>
      <c r="T1199" s="93"/>
      <c r="U1199" s="94"/>
    </row>
    <row r="1200" spans="1:21" x14ac:dyDescent="0.4">
      <c r="A1200" s="86">
        <f t="shared" si="18"/>
        <v>1196</v>
      </c>
      <c r="B1200" s="92"/>
      <c r="C1200" s="190"/>
      <c r="D1200" s="164"/>
      <c r="E1200" s="103"/>
      <c r="F1200" s="103"/>
      <c r="G1200" s="103"/>
      <c r="H1200" s="149"/>
      <c r="I1200" s="104"/>
      <c r="J1200" s="104"/>
      <c r="K1200" s="104"/>
      <c r="L1200" s="145" t="s">
        <v>2916</v>
      </c>
      <c r="M1200" s="145"/>
      <c r="N1200" s="145"/>
      <c r="O1200" s="100"/>
      <c r="P1200" s="100"/>
      <c r="Q1200" s="101"/>
      <c r="R1200" s="93" t="s">
        <v>2927</v>
      </c>
      <c r="S1200" s="93"/>
      <c r="T1200" s="93"/>
      <c r="U1200" s="94"/>
    </row>
    <row r="1201" spans="1:21" x14ac:dyDescent="0.4">
      <c r="A1201" s="86">
        <f t="shared" si="18"/>
        <v>1197</v>
      </c>
      <c r="B1201" s="92"/>
      <c r="C1201" s="190"/>
      <c r="D1201" s="164"/>
      <c r="E1201" s="103"/>
      <c r="F1201" s="103"/>
      <c r="G1201" s="103"/>
      <c r="H1201" s="149"/>
      <c r="I1201" s="104"/>
      <c r="J1201" s="109" t="s">
        <v>1841</v>
      </c>
      <c r="K1201" s="100"/>
      <c r="L1201" s="145"/>
      <c r="M1201" s="145"/>
      <c r="N1201" s="145"/>
      <c r="O1201" s="100"/>
      <c r="P1201" s="100"/>
      <c r="Q1201" s="101"/>
      <c r="R1201" s="93" t="s">
        <v>1239</v>
      </c>
      <c r="S1201" s="93"/>
      <c r="T1201" s="93"/>
      <c r="U1201" s="94"/>
    </row>
    <row r="1202" spans="1:21" x14ac:dyDescent="0.4">
      <c r="A1202" s="86">
        <f t="shared" si="18"/>
        <v>1198</v>
      </c>
      <c r="B1202" s="92"/>
      <c r="C1202" s="190"/>
      <c r="D1202" s="164"/>
      <c r="E1202" s="103"/>
      <c r="F1202" s="103"/>
      <c r="G1202" s="103"/>
      <c r="H1202" s="149"/>
      <c r="I1202" s="104"/>
      <c r="J1202" s="104"/>
      <c r="K1202" s="70" t="s">
        <v>1813</v>
      </c>
      <c r="L1202" s="145"/>
      <c r="M1202" s="145"/>
      <c r="N1202" s="145"/>
      <c r="O1202" s="100"/>
      <c r="P1202" s="100"/>
      <c r="Q1202" s="101"/>
      <c r="R1202" s="93" t="s">
        <v>36</v>
      </c>
      <c r="S1202" s="93"/>
      <c r="T1202" s="93"/>
      <c r="U1202" s="94"/>
    </row>
    <row r="1203" spans="1:21" x14ac:dyDescent="0.4">
      <c r="A1203" s="86">
        <f t="shared" si="18"/>
        <v>1199</v>
      </c>
      <c r="B1203" s="92"/>
      <c r="C1203" s="190"/>
      <c r="D1203" s="164"/>
      <c r="E1203" s="103"/>
      <c r="F1203" s="103"/>
      <c r="G1203" s="103"/>
      <c r="H1203" s="149"/>
      <c r="I1203" s="104"/>
      <c r="J1203" s="104"/>
      <c r="K1203" s="104"/>
      <c r="L1203" s="145" t="s">
        <v>2916</v>
      </c>
      <c r="M1203" s="145"/>
      <c r="N1203" s="145"/>
      <c r="O1203" s="100"/>
      <c r="P1203" s="100"/>
      <c r="Q1203" s="101"/>
      <c r="R1203" s="93" t="s">
        <v>2982</v>
      </c>
      <c r="S1203" s="93"/>
      <c r="T1203" s="93"/>
      <c r="U1203" s="94"/>
    </row>
    <row r="1204" spans="1:21" x14ac:dyDescent="0.4">
      <c r="A1204" s="86">
        <f t="shared" si="18"/>
        <v>1200</v>
      </c>
      <c r="B1204" s="92"/>
      <c r="C1204" s="190"/>
      <c r="D1204" s="164"/>
      <c r="E1204" s="103"/>
      <c r="F1204" s="103"/>
      <c r="G1204" s="103"/>
      <c r="H1204" s="149"/>
      <c r="I1204" s="104"/>
      <c r="J1204" s="109" t="s">
        <v>1842</v>
      </c>
      <c r="K1204" s="100"/>
      <c r="L1204" s="145"/>
      <c r="M1204" s="145"/>
      <c r="N1204" s="145"/>
      <c r="O1204" s="100"/>
      <c r="P1204" s="100"/>
      <c r="Q1204" s="101"/>
      <c r="R1204" s="93" t="s">
        <v>1239</v>
      </c>
      <c r="S1204" s="93"/>
      <c r="T1204" s="93"/>
      <c r="U1204" s="94"/>
    </row>
    <row r="1205" spans="1:21" x14ac:dyDescent="0.4">
      <c r="A1205" s="86">
        <f t="shared" si="18"/>
        <v>1201</v>
      </c>
      <c r="B1205" s="92"/>
      <c r="C1205" s="190"/>
      <c r="D1205" s="164"/>
      <c r="E1205" s="103"/>
      <c r="F1205" s="103"/>
      <c r="G1205" s="103"/>
      <c r="H1205" s="149"/>
      <c r="I1205" s="104"/>
      <c r="J1205" s="104"/>
      <c r="K1205" s="70" t="s">
        <v>1813</v>
      </c>
      <c r="L1205" s="145"/>
      <c r="M1205" s="145"/>
      <c r="N1205" s="145"/>
      <c r="O1205" s="100"/>
      <c r="P1205" s="100"/>
      <c r="Q1205" s="101"/>
      <c r="R1205" s="93" t="s">
        <v>36</v>
      </c>
      <c r="S1205" s="93"/>
      <c r="T1205" s="93"/>
      <c r="U1205" s="94"/>
    </row>
    <row r="1206" spans="1:21" x14ac:dyDescent="0.4">
      <c r="A1206" s="86">
        <f t="shared" si="18"/>
        <v>1202</v>
      </c>
      <c r="B1206" s="92"/>
      <c r="C1206" s="190"/>
      <c r="D1206" s="164"/>
      <c r="E1206" s="103"/>
      <c r="F1206" s="103"/>
      <c r="G1206" s="103"/>
      <c r="H1206" s="149"/>
      <c r="I1206" s="104"/>
      <c r="J1206" s="104"/>
      <c r="K1206" s="104"/>
      <c r="L1206" s="145" t="s">
        <v>2916</v>
      </c>
      <c r="M1206" s="145"/>
      <c r="N1206" s="145"/>
      <c r="O1206" s="100"/>
      <c r="P1206" s="100"/>
      <c r="Q1206" s="101"/>
      <c r="R1206" s="93" t="s">
        <v>2927</v>
      </c>
      <c r="S1206" s="93"/>
      <c r="T1206" s="93"/>
      <c r="U1206" s="94"/>
    </row>
    <row r="1207" spans="1:21" x14ac:dyDescent="0.4">
      <c r="A1207" s="86">
        <f t="shared" si="18"/>
        <v>1203</v>
      </c>
      <c r="B1207" s="92"/>
      <c r="C1207" s="190"/>
      <c r="D1207" s="164"/>
      <c r="E1207" s="103"/>
      <c r="F1207" s="103"/>
      <c r="G1207" s="103"/>
      <c r="H1207" s="149"/>
      <c r="I1207" s="104"/>
      <c r="J1207" s="104"/>
      <c r="K1207" s="108"/>
      <c r="L1207" s="145" t="s">
        <v>1815</v>
      </c>
      <c r="M1207" s="145"/>
      <c r="N1207" s="145"/>
      <c r="O1207" s="100"/>
      <c r="P1207" s="100"/>
      <c r="Q1207" s="101"/>
      <c r="R1207" s="93" t="s">
        <v>36</v>
      </c>
      <c r="S1207" s="93"/>
      <c r="T1207" s="93"/>
      <c r="U1207" s="94"/>
    </row>
    <row r="1208" spans="1:21" x14ac:dyDescent="0.4">
      <c r="A1208" s="86">
        <f t="shared" si="18"/>
        <v>1204</v>
      </c>
      <c r="B1208" s="92"/>
      <c r="C1208" s="190"/>
      <c r="D1208" s="164"/>
      <c r="E1208" s="103"/>
      <c r="F1208" s="103"/>
      <c r="G1208" s="103"/>
      <c r="H1208" s="149"/>
      <c r="I1208" s="104"/>
      <c r="J1208" s="109" t="s">
        <v>1843</v>
      </c>
      <c r="K1208" s="100"/>
      <c r="L1208" s="145"/>
      <c r="M1208" s="145"/>
      <c r="N1208" s="145"/>
      <c r="O1208" s="100"/>
      <c r="P1208" s="100"/>
      <c r="Q1208" s="101"/>
      <c r="R1208" s="93" t="s">
        <v>1239</v>
      </c>
      <c r="S1208" s="93"/>
      <c r="T1208" s="93"/>
      <c r="U1208" s="94"/>
    </row>
    <row r="1209" spans="1:21" x14ac:dyDescent="0.4">
      <c r="A1209" s="86">
        <f t="shared" si="18"/>
        <v>1205</v>
      </c>
      <c r="B1209" s="92"/>
      <c r="C1209" s="190"/>
      <c r="D1209" s="164"/>
      <c r="E1209" s="103"/>
      <c r="F1209" s="103"/>
      <c r="G1209" s="103"/>
      <c r="H1209" s="149"/>
      <c r="I1209" s="104"/>
      <c r="J1209" s="104"/>
      <c r="K1209" s="70" t="s">
        <v>1813</v>
      </c>
      <c r="L1209" s="145"/>
      <c r="M1209" s="145"/>
      <c r="N1209" s="145"/>
      <c r="O1209" s="100"/>
      <c r="P1209" s="100"/>
      <c r="Q1209" s="101"/>
      <c r="R1209" s="93" t="s">
        <v>36</v>
      </c>
      <c r="S1209" s="93"/>
      <c r="T1209" s="93"/>
      <c r="U1209" s="94"/>
    </row>
    <row r="1210" spans="1:21" x14ac:dyDescent="0.4">
      <c r="A1210" s="86">
        <f t="shared" si="18"/>
        <v>1206</v>
      </c>
      <c r="B1210" s="92"/>
      <c r="C1210" s="190"/>
      <c r="D1210" s="164"/>
      <c r="E1210" s="103"/>
      <c r="F1210" s="103"/>
      <c r="G1210" s="103"/>
      <c r="H1210" s="149"/>
      <c r="I1210" s="104"/>
      <c r="J1210" s="104"/>
      <c r="K1210" s="104"/>
      <c r="L1210" s="145" t="s">
        <v>2916</v>
      </c>
      <c r="M1210" s="145"/>
      <c r="N1210" s="145"/>
      <c r="O1210" s="100"/>
      <c r="P1210" s="100"/>
      <c r="Q1210" s="101"/>
      <c r="R1210" s="93" t="s">
        <v>2927</v>
      </c>
      <c r="S1210" s="93"/>
      <c r="T1210" s="93"/>
      <c r="U1210" s="94"/>
    </row>
    <row r="1211" spans="1:21" x14ac:dyDescent="0.4">
      <c r="A1211" s="86">
        <f t="shared" si="18"/>
        <v>1207</v>
      </c>
      <c r="B1211" s="92"/>
      <c r="C1211" s="190"/>
      <c r="D1211" s="164"/>
      <c r="E1211" s="103"/>
      <c r="F1211" s="103"/>
      <c r="G1211" s="103"/>
      <c r="H1211" s="149"/>
      <c r="I1211" s="108"/>
      <c r="J1211" s="108"/>
      <c r="K1211" s="108"/>
      <c r="L1211" s="145" t="s">
        <v>1815</v>
      </c>
      <c r="M1211" s="145"/>
      <c r="N1211" s="145"/>
      <c r="O1211" s="100"/>
      <c r="P1211" s="100"/>
      <c r="Q1211" s="101"/>
      <c r="R1211" s="93" t="s">
        <v>36</v>
      </c>
      <c r="S1211" s="93"/>
      <c r="T1211" s="93"/>
      <c r="U1211" s="94"/>
    </row>
    <row r="1212" spans="1:21" x14ac:dyDescent="0.4">
      <c r="A1212" s="86">
        <f t="shared" si="18"/>
        <v>1208</v>
      </c>
      <c r="B1212" s="92"/>
      <c r="C1212" s="190"/>
      <c r="D1212" s="164"/>
      <c r="E1212" s="103"/>
      <c r="F1212" s="103"/>
      <c r="G1212" s="103"/>
      <c r="H1212" s="149"/>
      <c r="I1212" s="70" t="s">
        <v>1853</v>
      </c>
      <c r="J1212" s="145"/>
      <c r="K1212" s="145"/>
      <c r="L1212" s="145"/>
      <c r="M1212" s="145"/>
      <c r="N1212" s="145"/>
      <c r="O1212" s="100"/>
      <c r="P1212" s="100"/>
      <c r="Q1212" s="101"/>
      <c r="R1212" s="93" t="s">
        <v>1239</v>
      </c>
      <c r="S1212" s="93"/>
      <c r="T1212" s="93"/>
      <c r="U1212" s="94"/>
    </row>
    <row r="1213" spans="1:21" x14ac:dyDescent="0.4">
      <c r="A1213" s="86">
        <f t="shared" si="18"/>
        <v>1209</v>
      </c>
      <c r="B1213" s="92"/>
      <c r="C1213" s="190"/>
      <c r="D1213" s="164"/>
      <c r="E1213" s="103"/>
      <c r="F1213" s="103"/>
      <c r="G1213" s="103"/>
      <c r="H1213" s="149"/>
      <c r="I1213" s="104"/>
      <c r="J1213" s="70" t="s">
        <v>1812</v>
      </c>
      <c r="K1213" s="145"/>
      <c r="L1213" s="145"/>
      <c r="M1213" s="145"/>
      <c r="N1213" s="145"/>
      <c r="O1213" s="100"/>
      <c r="P1213" s="100"/>
      <c r="Q1213" s="101"/>
      <c r="R1213" s="93" t="s">
        <v>1239</v>
      </c>
      <c r="S1213" s="93"/>
      <c r="T1213" s="93"/>
      <c r="U1213" s="94"/>
    </row>
    <row r="1214" spans="1:21" x14ac:dyDescent="0.4">
      <c r="A1214" s="86">
        <f t="shared" si="18"/>
        <v>1210</v>
      </c>
      <c r="B1214" s="92"/>
      <c r="C1214" s="190"/>
      <c r="D1214" s="164"/>
      <c r="E1214" s="103"/>
      <c r="F1214" s="103"/>
      <c r="G1214" s="103"/>
      <c r="H1214" s="149"/>
      <c r="I1214" s="104"/>
      <c r="J1214" s="104"/>
      <c r="K1214" s="70" t="s">
        <v>1813</v>
      </c>
      <c r="L1214" s="145"/>
      <c r="M1214" s="145"/>
      <c r="N1214" s="145"/>
      <c r="O1214" s="100"/>
      <c r="P1214" s="100"/>
      <c r="Q1214" s="101"/>
      <c r="R1214" s="93" t="s">
        <v>36</v>
      </c>
      <c r="S1214" s="93"/>
      <c r="T1214" s="93"/>
      <c r="U1214" s="94"/>
    </row>
    <row r="1215" spans="1:21" x14ac:dyDescent="0.4">
      <c r="A1215" s="86">
        <f t="shared" si="18"/>
        <v>1211</v>
      </c>
      <c r="B1215" s="92"/>
      <c r="C1215" s="190"/>
      <c r="D1215" s="164"/>
      <c r="E1215" s="103"/>
      <c r="F1215" s="103"/>
      <c r="G1215" s="103"/>
      <c r="H1215" s="149"/>
      <c r="I1215" s="104"/>
      <c r="J1215" s="104"/>
      <c r="K1215" s="104"/>
      <c r="L1215" s="145" t="s">
        <v>2916</v>
      </c>
      <c r="M1215" s="145"/>
      <c r="N1215" s="145"/>
      <c r="O1215" s="100"/>
      <c r="P1215" s="100"/>
      <c r="Q1215" s="101"/>
      <c r="R1215" s="93" t="s">
        <v>2927</v>
      </c>
      <c r="S1215" s="93"/>
      <c r="T1215" s="93"/>
      <c r="U1215" s="94"/>
    </row>
    <row r="1216" spans="1:21" x14ac:dyDescent="0.4">
      <c r="A1216" s="86">
        <f t="shared" si="18"/>
        <v>1212</v>
      </c>
      <c r="B1216" s="92"/>
      <c r="C1216" s="190"/>
      <c r="D1216" s="164"/>
      <c r="E1216" s="103"/>
      <c r="F1216" s="103"/>
      <c r="G1216" s="103"/>
      <c r="H1216" s="149"/>
      <c r="I1216" s="104"/>
      <c r="J1216" s="104"/>
      <c r="K1216" s="104"/>
      <c r="L1216" s="145" t="s">
        <v>1814</v>
      </c>
      <c r="M1216" s="145"/>
      <c r="N1216" s="145"/>
      <c r="O1216" s="100"/>
      <c r="P1216" s="100"/>
      <c r="Q1216" s="101"/>
      <c r="R1216" s="93" t="s">
        <v>36</v>
      </c>
      <c r="S1216" s="93"/>
      <c r="T1216" s="93"/>
      <c r="U1216" s="94"/>
    </row>
    <row r="1217" spans="1:21" x14ac:dyDescent="0.4">
      <c r="A1217" s="86">
        <f t="shared" si="18"/>
        <v>1213</v>
      </c>
      <c r="B1217" s="92"/>
      <c r="C1217" s="190"/>
      <c r="D1217" s="164"/>
      <c r="E1217" s="103"/>
      <c r="F1217" s="103"/>
      <c r="G1217" s="103"/>
      <c r="H1217" s="149"/>
      <c r="I1217" s="104"/>
      <c r="J1217" s="104"/>
      <c r="K1217" s="108"/>
      <c r="L1217" s="145" t="s">
        <v>1815</v>
      </c>
      <c r="M1217" s="145"/>
      <c r="N1217" s="145"/>
      <c r="O1217" s="100"/>
      <c r="P1217" s="100"/>
      <c r="Q1217" s="101"/>
      <c r="R1217" s="93" t="s">
        <v>36</v>
      </c>
      <c r="S1217" s="93"/>
      <c r="T1217" s="93"/>
      <c r="U1217" s="94"/>
    </row>
    <row r="1218" spans="1:21" x14ac:dyDescent="0.4">
      <c r="A1218" s="86">
        <f t="shared" si="18"/>
        <v>1214</v>
      </c>
      <c r="B1218" s="92"/>
      <c r="C1218" s="190"/>
      <c r="D1218" s="164"/>
      <c r="E1218" s="103"/>
      <c r="F1218" s="103"/>
      <c r="G1218" s="103"/>
      <c r="H1218" s="149"/>
      <c r="I1218" s="104"/>
      <c r="J1218" s="109" t="s">
        <v>1816</v>
      </c>
      <c r="K1218" s="145"/>
      <c r="L1218" s="145"/>
      <c r="M1218" s="145"/>
      <c r="N1218" s="145"/>
      <c r="O1218" s="100"/>
      <c r="P1218" s="100"/>
      <c r="Q1218" s="101"/>
      <c r="R1218" s="93" t="s">
        <v>1239</v>
      </c>
      <c r="S1218" s="93"/>
      <c r="T1218" s="93"/>
      <c r="U1218" s="94"/>
    </row>
    <row r="1219" spans="1:21" x14ac:dyDescent="0.4">
      <c r="A1219" s="86">
        <f t="shared" si="18"/>
        <v>1215</v>
      </c>
      <c r="B1219" s="92"/>
      <c r="C1219" s="190"/>
      <c r="D1219" s="164"/>
      <c r="E1219" s="103"/>
      <c r="F1219" s="103"/>
      <c r="G1219" s="103"/>
      <c r="H1219" s="149"/>
      <c r="I1219" s="104"/>
      <c r="J1219" s="104"/>
      <c r="K1219" s="70" t="s">
        <v>1813</v>
      </c>
      <c r="L1219" s="145"/>
      <c r="M1219" s="145"/>
      <c r="N1219" s="145"/>
      <c r="O1219" s="100"/>
      <c r="P1219" s="100"/>
      <c r="Q1219" s="101"/>
      <c r="R1219" s="93" t="s">
        <v>36</v>
      </c>
      <c r="S1219" s="93"/>
      <c r="T1219" s="93"/>
      <c r="U1219" s="94"/>
    </row>
    <row r="1220" spans="1:21" x14ac:dyDescent="0.4">
      <c r="A1220" s="86">
        <f t="shared" si="18"/>
        <v>1216</v>
      </c>
      <c r="B1220" s="92"/>
      <c r="C1220" s="190"/>
      <c r="D1220" s="164"/>
      <c r="E1220" s="103"/>
      <c r="F1220" s="103"/>
      <c r="G1220" s="103"/>
      <c r="H1220" s="149"/>
      <c r="I1220" s="104"/>
      <c r="J1220" s="104"/>
      <c r="K1220" s="104"/>
      <c r="L1220" s="145" t="s">
        <v>2916</v>
      </c>
      <c r="M1220" s="145"/>
      <c r="N1220" s="145"/>
      <c r="O1220" s="100"/>
      <c r="P1220" s="100"/>
      <c r="Q1220" s="101"/>
      <c r="R1220" s="93" t="s">
        <v>2927</v>
      </c>
      <c r="S1220" s="93"/>
      <c r="T1220" s="93"/>
      <c r="U1220" s="94"/>
    </row>
    <row r="1221" spans="1:21" x14ac:dyDescent="0.4">
      <c r="A1221" s="86">
        <f t="shared" si="18"/>
        <v>1217</v>
      </c>
      <c r="B1221" s="92"/>
      <c r="C1221" s="190"/>
      <c r="D1221" s="164"/>
      <c r="E1221" s="103"/>
      <c r="F1221" s="103"/>
      <c r="G1221" s="103"/>
      <c r="H1221" s="149"/>
      <c r="I1221" s="104"/>
      <c r="J1221" s="104"/>
      <c r="K1221" s="108"/>
      <c r="L1221" s="145" t="s">
        <v>1815</v>
      </c>
      <c r="M1221" s="145"/>
      <c r="N1221" s="145"/>
      <c r="O1221" s="100"/>
      <c r="P1221" s="100"/>
      <c r="Q1221" s="101"/>
      <c r="R1221" s="93" t="s">
        <v>36</v>
      </c>
      <c r="S1221" s="93"/>
      <c r="T1221" s="93"/>
      <c r="U1221" s="94"/>
    </row>
    <row r="1222" spans="1:21" x14ac:dyDescent="0.4">
      <c r="A1222" s="86">
        <f t="shared" si="18"/>
        <v>1218</v>
      </c>
      <c r="B1222" s="92"/>
      <c r="C1222" s="190"/>
      <c r="D1222" s="164"/>
      <c r="E1222" s="103"/>
      <c r="F1222" s="103"/>
      <c r="G1222" s="103"/>
      <c r="H1222" s="149"/>
      <c r="I1222" s="104"/>
      <c r="J1222" s="109" t="s">
        <v>1817</v>
      </c>
      <c r="K1222" s="145"/>
      <c r="L1222" s="145"/>
      <c r="M1222" s="145"/>
      <c r="N1222" s="145"/>
      <c r="O1222" s="100"/>
      <c r="P1222" s="100"/>
      <c r="Q1222" s="101"/>
      <c r="R1222" s="93" t="s">
        <v>1239</v>
      </c>
      <c r="S1222" s="93"/>
      <c r="T1222" s="93"/>
      <c r="U1222" s="94"/>
    </row>
    <row r="1223" spans="1:21" x14ac:dyDescent="0.4">
      <c r="A1223" s="86">
        <f t="shared" ref="A1223:A1286" si="19">A1222+1</f>
        <v>1219</v>
      </c>
      <c r="B1223" s="92"/>
      <c r="C1223" s="190"/>
      <c r="D1223" s="164"/>
      <c r="E1223" s="103"/>
      <c r="F1223" s="103"/>
      <c r="G1223" s="103"/>
      <c r="H1223" s="149"/>
      <c r="I1223" s="104"/>
      <c r="J1223" s="104"/>
      <c r="K1223" s="70" t="s">
        <v>1813</v>
      </c>
      <c r="L1223" s="145"/>
      <c r="M1223" s="145"/>
      <c r="N1223" s="145"/>
      <c r="O1223" s="100"/>
      <c r="P1223" s="100"/>
      <c r="Q1223" s="101"/>
      <c r="R1223" s="93" t="s">
        <v>36</v>
      </c>
      <c r="S1223" s="93"/>
      <c r="T1223" s="93"/>
      <c r="U1223" s="94"/>
    </row>
    <row r="1224" spans="1:21" x14ac:dyDescent="0.4">
      <c r="A1224" s="86">
        <f t="shared" si="19"/>
        <v>1220</v>
      </c>
      <c r="B1224" s="92"/>
      <c r="C1224" s="190"/>
      <c r="D1224" s="164"/>
      <c r="E1224" s="103"/>
      <c r="F1224" s="103"/>
      <c r="G1224" s="103"/>
      <c r="H1224" s="149"/>
      <c r="I1224" s="104"/>
      <c r="J1224" s="104"/>
      <c r="K1224" s="104"/>
      <c r="L1224" s="145" t="s">
        <v>2916</v>
      </c>
      <c r="M1224" s="145"/>
      <c r="N1224" s="145"/>
      <c r="O1224" s="100"/>
      <c r="P1224" s="100"/>
      <c r="Q1224" s="101"/>
      <c r="R1224" s="93" t="s">
        <v>2927</v>
      </c>
      <c r="S1224" s="93"/>
      <c r="T1224" s="93"/>
      <c r="U1224" s="94"/>
    </row>
    <row r="1225" spans="1:21" x14ac:dyDescent="0.4">
      <c r="A1225" s="86">
        <f t="shared" si="19"/>
        <v>1221</v>
      </c>
      <c r="B1225" s="92"/>
      <c r="C1225" s="190"/>
      <c r="D1225" s="164"/>
      <c r="E1225" s="103"/>
      <c r="F1225" s="103"/>
      <c r="G1225" s="103"/>
      <c r="H1225" s="149"/>
      <c r="I1225" s="104"/>
      <c r="J1225" s="104"/>
      <c r="K1225" s="108"/>
      <c r="L1225" s="145" t="s">
        <v>1815</v>
      </c>
      <c r="M1225" s="145"/>
      <c r="N1225" s="145"/>
      <c r="O1225" s="100"/>
      <c r="P1225" s="100"/>
      <c r="Q1225" s="101"/>
      <c r="R1225" s="93" t="s">
        <v>36</v>
      </c>
      <c r="S1225" s="93"/>
      <c r="T1225" s="93"/>
      <c r="U1225" s="94"/>
    </row>
    <row r="1226" spans="1:21" x14ac:dyDescent="0.4">
      <c r="A1226" s="86">
        <f t="shared" si="19"/>
        <v>1222</v>
      </c>
      <c r="B1226" s="92"/>
      <c r="C1226" s="190"/>
      <c r="D1226" s="164"/>
      <c r="E1226" s="103"/>
      <c r="F1226" s="103"/>
      <c r="G1226" s="103"/>
      <c r="H1226" s="149"/>
      <c r="I1226" s="104"/>
      <c r="J1226" s="109" t="s">
        <v>1818</v>
      </c>
      <c r="K1226" s="145"/>
      <c r="L1226" s="145"/>
      <c r="M1226" s="145"/>
      <c r="N1226" s="145"/>
      <c r="O1226" s="100"/>
      <c r="P1226" s="100"/>
      <c r="Q1226" s="101"/>
      <c r="R1226" s="93" t="s">
        <v>1239</v>
      </c>
      <c r="S1226" s="93"/>
      <c r="T1226" s="93"/>
      <c r="U1226" s="94"/>
    </row>
    <row r="1227" spans="1:21" x14ac:dyDescent="0.4">
      <c r="A1227" s="86">
        <f t="shared" si="19"/>
        <v>1223</v>
      </c>
      <c r="B1227" s="92"/>
      <c r="C1227" s="190"/>
      <c r="D1227" s="164"/>
      <c r="E1227" s="103"/>
      <c r="F1227" s="103"/>
      <c r="G1227" s="103"/>
      <c r="H1227" s="149"/>
      <c r="I1227" s="104"/>
      <c r="J1227" s="104"/>
      <c r="K1227" s="70" t="s">
        <v>1813</v>
      </c>
      <c r="L1227" s="145"/>
      <c r="M1227" s="145"/>
      <c r="N1227" s="145"/>
      <c r="O1227" s="100"/>
      <c r="P1227" s="100"/>
      <c r="Q1227" s="101"/>
      <c r="R1227" s="93" t="s">
        <v>36</v>
      </c>
      <c r="S1227" s="93"/>
      <c r="T1227" s="93"/>
      <c r="U1227" s="94"/>
    </row>
    <row r="1228" spans="1:21" x14ac:dyDescent="0.4">
      <c r="A1228" s="86">
        <f t="shared" si="19"/>
        <v>1224</v>
      </c>
      <c r="B1228" s="92"/>
      <c r="C1228" s="190"/>
      <c r="D1228" s="164"/>
      <c r="E1228" s="103"/>
      <c r="F1228" s="103"/>
      <c r="G1228" s="103"/>
      <c r="H1228" s="149"/>
      <c r="I1228" s="104"/>
      <c r="J1228" s="104"/>
      <c r="K1228" s="104"/>
      <c r="L1228" s="145" t="s">
        <v>2916</v>
      </c>
      <c r="M1228" s="145"/>
      <c r="N1228" s="145"/>
      <c r="O1228" s="100"/>
      <c r="P1228" s="100"/>
      <c r="Q1228" s="101"/>
      <c r="R1228" s="93" t="s">
        <v>2927</v>
      </c>
      <c r="S1228" s="93"/>
      <c r="T1228" s="93"/>
      <c r="U1228" s="94"/>
    </row>
    <row r="1229" spans="1:21" x14ac:dyDescent="0.4">
      <c r="A1229" s="86">
        <f t="shared" si="19"/>
        <v>1225</v>
      </c>
      <c r="B1229" s="92"/>
      <c r="C1229" s="190"/>
      <c r="D1229" s="164"/>
      <c r="E1229" s="103"/>
      <c r="F1229" s="103"/>
      <c r="G1229" s="103"/>
      <c r="H1229" s="149"/>
      <c r="I1229" s="104"/>
      <c r="J1229" s="104"/>
      <c r="K1229" s="108"/>
      <c r="L1229" s="145" t="s">
        <v>1815</v>
      </c>
      <c r="M1229" s="145"/>
      <c r="N1229" s="145"/>
      <c r="O1229" s="100"/>
      <c r="P1229" s="100"/>
      <c r="Q1229" s="101"/>
      <c r="R1229" s="93" t="s">
        <v>36</v>
      </c>
      <c r="S1229" s="93"/>
      <c r="T1229" s="93"/>
      <c r="U1229" s="94"/>
    </row>
    <row r="1230" spans="1:21" x14ac:dyDescent="0.4">
      <c r="A1230" s="86">
        <f t="shared" si="19"/>
        <v>1226</v>
      </c>
      <c r="B1230" s="92"/>
      <c r="C1230" s="190"/>
      <c r="D1230" s="164"/>
      <c r="E1230" s="103"/>
      <c r="F1230" s="103"/>
      <c r="G1230" s="103"/>
      <c r="H1230" s="149"/>
      <c r="I1230" s="104"/>
      <c r="J1230" s="109" t="s">
        <v>1819</v>
      </c>
      <c r="K1230" s="145"/>
      <c r="L1230" s="145"/>
      <c r="M1230" s="145"/>
      <c r="N1230" s="145"/>
      <c r="O1230" s="100"/>
      <c r="P1230" s="100"/>
      <c r="Q1230" s="101"/>
      <c r="R1230" s="93" t="s">
        <v>1239</v>
      </c>
      <c r="S1230" s="93"/>
      <c r="T1230" s="93"/>
      <c r="U1230" s="94"/>
    </row>
    <row r="1231" spans="1:21" x14ac:dyDescent="0.4">
      <c r="A1231" s="86">
        <f t="shared" si="19"/>
        <v>1227</v>
      </c>
      <c r="B1231" s="92"/>
      <c r="C1231" s="190"/>
      <c r="D1231" s="164"/>
      <c r="E1231" s="103"/>
      <c r="F1231" s="103"/>
      <c r="G1231" s="103"/>
      <c r="H1231" s="149"/>
      <c r="I1231" s="104"/>
      <c r="J1231" s="104"/>
      <c r="K1231" s="70" t="s">
        <v>1813</v>
      </c>
      <c r="L1231" s="145"/>
      <c r="M1231" s="145"/>
      <c r="N1231" s="145"/>
      <c r="O1231" s="100"/>
      <c r="P1231" s="100"/>
      <c r="Q1231" s="101"/>
      <c r="R1231" s="93" t="s">
        <v>36</v>
      </c>
      <c r="S1231" s="93"/>
      <c r="T1231" s="93"/>
      <c r="U1231" s="94"/>
    </row>
    <row r="1232" spans="1:21" x14ac:dyDescent="0.4">
      <c r="A1232" s="86">
        <f t="shared" si="19"/>
        <v>1228</v>
      </c>
      <c r="B1232" s="92"/>
      <c r="C1232" s="190"/>
      <c r="D1232" s="164"/>
      <c r="E1232" s="103"/>
      <c r="F1232" s="103"/>
      <c r="G1232" s="103"/>
      <c r="H1232" s="149"/>
      <c r="I1232" s="104"/>
      <c r="J1232" s="104"/>
      <c r="K1232" s="104"/>
      <c r="L1232" s="145" t="s">
        <v>2916</v>
      </c>
      <c r="M1232" s="145"/>
      <c r="N1232" s="145"/>
      <c r="O1232" s="100"/>
      <c r="P1232" s="100"/>
      <c r="Q1232" s="101"/>
      <c r="R1232" s="93" t="s">
        <v>2927</v>
      </c>
      <c r="S1232" s="93"/>
      <c r="T1232" s="93"/>
      <c r="U1232" s="94"/>
    </row>
    <row r="1233" spans="1:21" x14ac:dyDescent="0.4">
      <c r="A1233" s="86">
        <f t="shared" si="19"/>
        <v>1229</v>
      </c>
      <c r="B1233" s="92"/>
      <c r="C1233" s="190"/>
      <c r="D1233" s="164"/>
      <c r="E1233" s="103"/>
      <c r="F1233" s="103"/>
      <c r="G1233" s="103"/>
      <c r="H1233" s="149"/>
      <c r="I1233" s="104"/>
      <c r="J1233" s="104"/>
      <c r="K1233" s="104"/>
      <c r="L1233" s="145" t="s">
        <v>1820</v>
      </c>
      <c r="M1233" s="145"/>
      <c r="N1233" s="145"/>
      <c r="O1233" s="100"/>
      <c r="P1233" s="100"/>
      <c r="Q1233" s="101"/>
      <c r="R1233" s="93" t="s">
        <v>36</v>
      </c>
      <c r="S1233" s="93"/>
      <c r="T1233" s="93"/>
      <c r="U1233" s="94"/>
    </row>
    <row r="1234" spans="1:21" x14ac:dyDescent="0.4">
      <c r="A1234" s="86">
        <f t="shared" si="19"/>
        <v>1230</v>
      </c>
      <c r="B1234" s="92"/>
      <c r="C1234" s="190"/>
      <c r="D1234" s="164"/>
      <c r="E1234" s="103"/>
      <c r="F1234" s="103"/>
      <c r="G1234" s="103"/>
      <c r="H1234" s="149"/>
      <c r="I1234" s="104"/>
      <c r="J1234" s="104"/>
      <c r="K1234" s="108"/>
      <c r="L1234" s="145" t="s">
        <v>1815</v>
      </c>
      <c r="M1234" s="145"/>
      <c r="N1234" s="145"/>
      <c r="O1234" s="100"/>
      <c r="P1234" s="100"/>
      <c r="Q1234" s="101"/>
      <c r="R1234" s="93" t="s">
        <v>36</v>
      </c>
      <c r="S1234" s="93"/>
      <c r="T1234" s="93"/>
      <c r="U1234" s="94"/>
    </row>
    <row r="1235" spans="1:21" x14ac:dyDescent="0.4">
      <c r="A1235" s="86">
        <f t="shared" si="19"/>
        <v>1231</v>
      </c>
      <c r="B1235" s="92"/>
      <c r="C1235" s="190"/>
      <c r="D1235" s="164"/>
      <c r="E1235" s="103"/>
      <c r="F1235" s="103"/>
      <c r="G1235" s="103"/>
      <c r="H1235" s="149"/>
      <c r="I1235" s="104"/>
      <c r="J1235" s="109" t="s">
        <v>1821</v>
      </c>
      <c r="K1235" s="145"/>
      <c r="L1235" s="145"/>
      <c r="M1235" s="145"/>
      <c r="N1235" s="145"/>
      <c r="O1235" s="100"/>
      <c r="P1235" s="100"/>
      <c r="Q1235" s="101"/>
      <c r="R1235" s="93" t="s">
        <v>1239</v>
      </c>
      <c r="S1235" s="93"/>
      <c r="T1235" s="93"/>
      <c r="U1235" s="94"/>
    </row>
    <row r="1236" spans="1:21" x14ac:dyDescent="0.4">
      <c r="A1236" s="86">
        <f t="shared" si="19"/>
        <v>1232</v>
      </c>
      <c r="B1236" s="92"/>
      <c r="C1236" s="190"/>
      <c r="D1236" s="164"/>
      <c r="E1236" s="103"/>
      <c r="F1236" s="103"/>
      <c r="G1236" s="103"/>
      <c r="H1236" s="149"/>
      <c r="I1236" s="104"/>
      <c r="J1236" s="104"/>
      <c r="K1236" s="70" t="s">
        <v>1813</v>
      </c>
      <c r="L1236" s="145"/>
      <c r="M1236" s="145"/>
      <c r="N1236" s="145"/>
      <c r="O1236" s="100"/>
      <c r="P1236" s="100"/>
      <c r="Q1236" s="101"/>
      <c r="R1236" s="93" t="s">
        <v>36</v>
      </c>
      <c r="S1236" s="93"/>
      <c r="T1236" s="93"/>
      <c r="U1236" s="94"/>
    </row>
    <row r="1237" spans="1:21" x14ac:dyDescent="0.4">
      <c r="A1237" s="86">
        <f t="shared" si="19"/>
        <v>1233</v>
      </c>
      <c r="B1237" s="92"/>
      <c r="C1237" s="190"/>
      <c r="D1237" s="164"/>
      <c r="E1237" s="103"/>
      <c r="F1237" s="103"/>
      <c r="G1237" s="103"/>
      <c r="H1237" s="149"/>
      <c r="I1237" s="104"/>
      <c r="J1237" s="104"/>
      <c r="K1237" s="104"/>
      <c r="L1237" s="145" t="s">
        <v>2916</v>
      </c>
      <c r="M1237" s="145"/>
      <c r="N1237" s="145"/>
      <c r="O1237" s="100"/>
      <c r="P1237" s="100"/>
      <c r="Q1237" s="101"/>
      <c r="R1237" s="93" t="s">
        <v>2982</v>
      </c>
      <c r="S1237" s="93"/>
      <c r="T1237" s="93"/>
      <c r="U1237" s="94"/>
    </row>
    <row r="1238" spans="1:21" x14ac:dyDescent="0.4">
      <c r="A1238" s="86">
        <f t="shared" si="19"/>
        <v>1234</v>
      </c>
      <c r="B1238" s="92"/>
      <c r="C1238" s="190"/>
      <c r="D1238" s="164"/>
      <c r="E1238" s="103"/>
      <c r="F1238" s="103"/>
      <c r="G1238" s="103"/>
      <c r="H1238" s="149"/>
      <c r="I1238" s="104"/>
      <c r="J1238" s="104"/>
      <c r="K1238" s="108"/>
      <c r="L1238" s="145" t="s">
        <v>1822</v>
      </c>
      <c r="M1238" s="145"/>
      <c r="N1238" s="145"/>
      <c r="O1238" s="100"/>
      <c r="P1238" s="100"/>
      <c r="Q1238" s="101"/>
      <c r="R1238" s="93" t="s">
        <v>36</v>
      </c>
      <c r="S1238" s="93"/>
      <c r="T1238" s="93"/>
      <c r="U1238" s="94"/>
    </row>
    <row r="1239" spans="1:21" x14ac:dyDescent="0.4">
      <c r="A1239" s="86">
        <f t="shared" si="19"/>
        <v>1235</v>
      </c>
      <c r="B1239" s="92"/>
      <c r="C1239" s="190"/>
      <c r="D1239" s="164"/>
      <c r="E1239" s="103"/>
      <c r="F1239" s="103"/>
      <c r="G1239" s="103"/>
      <c r="H1239" s="149"/>
      <c r="I1239" s="104"/>
      <c r="J1239" s="109" t="s">
        <v>1823</v>
      </c>
      <c r="K1239" s="145"/>
      <c r="L1239" s="145"/>
      <c r="M1239" s="145"/>
      <c r="N1239" s="145"/>
      <c r="O1239" s="100"/>
      <c r="P1239" s="100"/>
      <c r="Q1239" s="101"/>
      <c r="R1239" s="93" t="s">
        <v>1239</v>
      </c>
      <c r="S1239" s="93"/>
      <c r="T1239" s="93"/>
      <c r="U1239" s="94"/>
    </row>
    <row r="1240" spans="1:21" x14ac:dyDescent="0.4">
      <c r="A1240" s="86">
        <f t="shared" si="19"/>
        <v>1236</v>
      </c>
      <c r="B1240" s="92"/>
      <c r="C1240" s="190"/>
      <c r="D1240" s="164"/>
      <c r="E1240" s="103"/>
      <c r="F1240" s="103"/>
      <c r="G1240" s="103"/>
      <c r="H1240" s="149"/>
      <c r="I1240" s="104"/>
      <c r="J1240" s="104"/>
      <c r="K1240" s="70" t="s">
        <v>1813</v>
      </c>
      <c r="L1240" s="145"/>
      <c r="M1240" s="145"/>
      <c r="N1240" s="145"/>
      <c r="O1240" s="100"/>
      <c r="P1240" s="100"/>
      <c r="Q1240" s="101"/>
      <c r="R1240" s="93" t="s">
        <v>36</v>
      </c>
      <c r="S1240" s="93"/>
      <c r="T1240" s="93"/>
      <c r="U1240" s="94"/>
    </row>
    <row r="1241" spans="1:21" x14ac:dyDescent="0.4">
      <c r="A1241" s="86">
        <f t="shared" si="19"/>
        <v>1237</v>
      </c>
      <c r="B1241" s="92"/>
      <c r="C1241" s="190"/>
      <c r="D1241" s="164"/>
      <c r="E1241" s="103"/>
      <c r="F1241" s="103"/>
      <c r="G1241" s="103"/>
      <c r="H1241" s="149"/>
      <c r="I1241" s="104"/>
      <c r="J1241" s="104"/>
      <c r="K1241" s="104"/>
      <c r="L1241" s="145" t="s">
        <v>2916</v>
      </c>
      <c r="M1241" s="145"/>
      <c r="N1241" s="145"/>
      <c r="O1241" s="100"/>
      <c r="P1241" s="100"/>
      <c r="Q1241" s="101"/>
      <c r="R1241" s="93" t="s">
        <v>2982</v>
      </c>
      <c r="S1241" s="93"/>
      <c r="T1241" s="93"/>
      <c r="U1241" s="94"/>
    </row>
    <row r="1242" spans="1:21" x14ac:dyDescent="0.4">
      <c r="A1242" s="86">
        <f t="shared" si="19"/>
        <v>1238</v>
      </c>
      <c r="B1242" s="92"/>
      <c r="C1242" s="190"/>
      <c r="D1242" s="164"/>
      <c r="E1242" s="103"/>
      <c r="F1242" s="103"/>
      <c r="G1242" s="103"/>
      <c r="H1242" s="149"/>
      <c r="I1242" s="104"/>
      <c r="J1242" s="104"/>
      <c r="K1242" s="108"/>
      <c r="L1242" s="145" t="s">
        <v>1824</v>
      </c>
      <c r="M1242" s="145"/>
      <c r="N1242" s="145"/>
      <c r="O1242" s="100"/>
      <c r="P1242" s="100"/>
      <c r="Q1242" s="101"/>
      <c r="R1242" s="93" t="s">
        <v>36</v>
      </c>
      <c r="S1242" s="93"/>
      <c r="T1242" s="93"/>
      <c r="U1242" s="94"/>
    </row>
    <row r="1243" spans="1:21" x14ac:dyDescent="0.4">
      <c r="A1243" s="86">
        <f t="shared" si="19"/>
        <v>1239</v>
      </c>
      <c r="B1243" s="92"/>
      <c r="C1243" s="190"/>
      <c r="D1243" s="164"/>
      <c r="E1243" s="103"/>
      <c r="F1243" s="103"/>
      <c r="G1243" s="103"/>
      <c r="H1243" s="149"/>
      <c r="I1243" s="104"/>
      <c r="J1243" s="109" t="s">
        <v>1825</v>
      </c>
      <c r="K1243" s="145"/>
      <c r="L1243" s="145"/>
      <c r="M1243" s="145"/>
      <c r="N1243" s="145"/>
      <c r="O1243" s="100"/>
      <c r="P1243" s="100"/>
      <c r="Q1243" s="101"/>
      <c r="R1243" s="93" t="s">
        <v>1239</v>
      </c>
      <c r="S1243" s="93"/>
      <c r="T1243" s="93"/>
      <c r="U1243" s="94"/>
    </row>
    <row r="1244" spans="1:21" x14ac:dyDescent="0.4">
      <c r="A1244" s="86">
        <f t="shared" si="19"/>
        <v>1240</v>
      </c>
      <c r="B1244" s="92"/>
      <c r="C1244" s="190"/>
      <c r="D1244" s="164"/>
      <c r="E1244" s="103"/>
      <c r="F1244" s="103"/>
      <c r="G1244" s="103"/>
      <c r="H1244" s="149"/>
      <c r="I1244" s="104"/>
      <c r="J1244" s="104"/>
      <c r="K1244" s="70" t="s">
        <v>1813</v>
      </c>
      <c r="L1244" s="145"/>
      <c r="M1244" s="145"/>
      <c r="N1244" s="145"/>
      <c r="O1244" s="100"/>
      <c r="P1244" s="100"/>
      <c r="Q1244" s="101"/>
      <c r="R1244" s="93" t="s">
        <v>36</v>
      </c>
      <c r="S1244" s="93"/>
      <c r="T1244" s="93"/>
      <c r="U1244" s="94"/>
    </row>
    <row r="1245" spans="1:21" x14ac:dyDescent="0.4">
      <c r="A1245" s="86">
        <f t="shared" si="19"/>
        <v>1241</v>
      </c>
      <c r="B1245" s="92"/>
      <c r="C1245" s="190"/>
      <c r="D1245" s="164"/>
      <c r="E1245" s="103"/>
      <c r="F1245" s="103"/>
      <c r="G1245" s="103"/>
      <c r="H1245" s="149"/>
      <c r="I1245" s="104"/>
      <c r="J1245" s="104"/>
      <c r="K1245" s="104"/>
      <c r="L1245" s="145" t="s">
        <v>2916</v>
      </c>
      <c r="M1245" s="145"/>
      <c r="N1245" s="145"/>
      <c r="O1245" s="100"/>
      <c r="P1245" s="100"/>
      <c r="Q1245" s="101"/>
      <c r="R1245" s="93" t="s">
        <v>2927</v>
      </c>
      <c r="S1245" s="93"/>
      <c r="T1245" s="93"/>
      <c r="U1245" s="94"/>
    </row>
    <row r="1246" spans="1:21" x14ac:dyDescent="0.4">
      <c r="A1246" s="86">
        <f t="shared" si="19"/>
        <v>1242</v>
      </c>
      <c r="B1246" s="92"/>
      <c r="C1246" s="190"/>
      <c r="D1246" s="164"/>
      <c r="E1246" s="103"/>
      <c r="F1246" s="103"/>
      <c r="G1246" s="103"/>
      <c r="H1246" s="149"/>
      <c r="I1246" s="104"/>
      <c r="J1246" s="109" t="s">
        <v>1826</v>
      </c>
      <c r="K1246" s="100"/>
      <c r="L1246" s="145"/>
      <c r="M1246" s="145"/>
      <c r="N1246" s="145"/>
      <c r="O1246" s="100"/>
      <c r="P1246" s="100"/>
      <c r="Q1246" s="101"/>
      <c r="R1246" s="93" t="s">
        <v>1239</v>
      </c>
      <c r="S1246" s="93"/>
      <c r="T1246" s="93"/>
      <c r="U1246" s="94"/>
    </row>
    <row r="1247" spans="1:21" x14ac:dyDescent="0.4">
      <c r="A1247" s="86">
        <f t="shared" si="19"/>
        <v>1243</v>
      </c>
      <c r="B1247" s="92"/>
      <c r="C1247" s="190"/>
      <c r="D1247" s="164"/>
      <c r="E1247" s="103"/>
      <c r="F1247" s="103"/>
      <c r="G1247" s="103"/>
      <c r="H1247" s="149"/>
      <c r="I1247" s="104"/>
      <c r="J1247" s="104"/>
      <c r="K1247" s="70" t="s">
        <v>1813</v>
      </c>
      <c r="L1247" s="145"/>
      <c r="M1247" s="145"/>
      <c r="N1247" s="145"/>
      <c r="O1247" s="100"/>
      <c r="P1247" s="100"/>
      <c r="Q1247" s="101"/>
      <c r="R1247" s="93" t="s">
        <v>36</v>
      </c>
      <c r="S1247" s="93"/>
      <c r="T1247" s="93"/>
      <c r="U1247" s="94"/>
    </row>
    <row r="1248" spans="1:21" x14ac:dyDescent="0.4">
      <c r="A1248" s="86">
        <f t="shared" si="19"/>
        <v>1244</v>
      </c>
      <c r="B1248" s="92"/>
      <c r="C1248" s="190"/>
      <c r="D1248" s="164"/>
      <c r="E1248" s="103"/>
      <c r="F1248" s="103"/>
      <c r="G1248" s="103"/>
      <c r="H1248" s="149"/>
      <c r="I1248" s="104"/>
      <c r="J1248" s="104"/>
      <c r="K1248" s="104"/>
      <c r="L1248" s="145" t="s">
        <v>2916</v>
      </c>
      <c r="M1248" s="145"/>
      <c r="N1248" s="145"/>
      <c r="O1248" s="100"/>
      <c r="P1248" s="100"/>
      <c r="Q1248" s="101"/>
      <c r="R1248" s="93" t="s">
        <v>2927</v>
      </c>
      <c r="S1248" s="93"/>
      <c r="T1248" s="93"/>
      <c r="U1248" s="94"/>
    </row>
    <row r="1249" spans="1:21" x14ac:dyDescent="0.4">
      <c r="A1249" s="86">
        <f t="shared" si="19"/>
        <v>1245</v>
      </c>
      <c r="B1249" s="92"/>
      <c r="C1249" s="190"/>
      <c r="D1249" s="164"/>
      <c r="E1249" s="103"/>
      <c r="F1249" s="103"/>
      <c r="G1249" s="103"/>
      <c r="H1249" s="149"/>
      <c r="I1249" s="104"/>
      <c r="J1249" s="104"/>
      <c r="K1249" s="108"/>
      <c r="L1249" s="145" t="s">
        <v>1815</v>
      </c>
      <c r="M1249" s="145"/>
      <c r="N1249" s="145"/>
      <c r="O1249" s="100"/>
      <c r="P1249" s="100"/>
      <c r="Q1249" s="101"/>
      <c r="R1249" s="93" t="s">
        <v>36</v>
      </c>
      <c r="S1249" s="93"/>
      <c r="T1249" s="93"/>
      <c r="U1249" s="94"/>
    </row>
    <row r="1250" spans="1:21" x14ac:dyDescent="0.4">
      <c r="A1250" s="86">
        <f t="shared" si="19"/>
        <v>1246</v>
      </c>
      <c r="B1250" s="92"/>
      <c r="C1250" s="190"/>
      <c r="D1250" s="164"/>
      <c r="E1250" s="103"/>
      <c r="F1250" s="103"/>
      <c r="G1250" s="103"/>
      <c r="H1250" s="149"/>
      <c r="I1250" s="104"/>
      <c r="J1250" s="109" t="s">
        <v>1827</v>
      </c>
      <c r="K1250" s="100"/>
      <c r="L1250" s="145"/>
      <c r="M1250" s="145"/>
      <c r="N1250" s="145"/>
      <c r="O1250" s="100"/>
      <c r="P1250" s="100"/>
      <c r="Q1250" s="101"/>
      <c r="R1250" s="93" t="s">
        <v>1239</v>
      </c>
      <c r="S1250" s="93"/>
      <c r="T1250" s="93"/>
      <c r="U1250" s="94"/>
    </row>
    <row r="1251" spans="1:21" x14ac:dyDescent="0.4">
      <c r="A1251" s="86">
        <f t="shared" si="19"/>
        <v>1247</v>
      </c>
      <c r="B1251" s="92"/>
      <c r="C1251" s="190"/>
      <c r="D1251" s="164"/>
      <c r="E1251" s="103"/>
      <c r="F1251" s="103"/>
      <c r="G1251" s="103"/>
      <c r="H1251" s="149"/>
      <c r="I1251" s="104"/>
      <c r="J1251" s="104"/>
      <c r="K1251" s="70" t="s">
        <v>1813</v>
      </c>
      <c r="L1251" s="145"/>
      <c r="M1251" s="145"/>
      <c r="N1251" s="145"/>
      <c r="O1251" s="100"/>
      <c r="P1251" s="100"/>
      <c r="Q1251" s="101"/>
      <c r="R1251" s="93" t="s">
        <v>36</v>
      </c>
      <c r="S1251" s="93"/>
      <c r="T1251" s="93"/>
      <c r="U1251" s="94"/>
    </row>
    <row r="1252" spans="1:21" x14ac:dyDescent="0.4">
      <c r="A1252" s="86">
        <f t="shared" si="19"/>
        <v>1248</v>
      </c>
      <c r="B1252" s="92"/>
      <c r="C1252" s="190"/>
      <c r="D1252" s="164"/>
      <c r="E1252" s="103"/>
      <c r="F1252" s="103"/>
      <c r="G1252" s="103"/>
      <c r="H1252" s="149"/>
      <c r="I1252" s="104"/>
      <c r="J1252" s="104"/>
      <c r="K1252" s="104"/>
      <c r="L1252" s="145" t="s">
        <v>2916</v>
      </c>
      <c r="M1252" s="145"/>
      <c r="N1252" s="145"/>
      <c r="O1252" s="100"/>
      <c r="P1252" s="100"/>
      <c r="Q1252" s="101"/>
      <c r="R1252" s="93" t="s">
        <v>2927</v>
      </c>
      <c r="S1252" s="93"/>
      <c r="T1252" s="93"/>
      <c r="U1252" s="94"/>
    </row>
    <row r="1253" spans="1:21" x14ac:dyDescent="0.4">
      <c r="A1253" s="86">
        <f t="shared" si="19"/>
        <v>1249</v>
      </c>
      <c r="B1253" s="92"/>
      <c r="C1253" s="190"/>
      <c r="D1253" s="164"/>
      <c r="E1253" s="103"/>
      <c r="F1253" s="103"/>
      <c r="G1253" s="103"/>
      <c r="H1253" s="149"/>
      <c r="I1253" s="104"/>
      <c r="J1253" s="104"/>
      <c r="K1253" s="108"/>
      <c r="L1253" s="145" t="s">
        <v>1815</v>
      </c>
      <c r="M1253" s="145"/>
      <c r="N1253" s="145"/>
      <c r="O1253" s="100"/>
      <c r="P1253" s="100"/>
      <c r="Q1253" s="101"/>
      <c r="R1253" s="93" t="s">
        <v>36</v>
      </c>
      <c r="S1253" s="93"/>
      <c r="T1253" s="93"/>
      <c r="U1253" s="94"/>
    </row>
    <row r="1254" spans="1:21" x14ac:dyDescent="0.4">
      <c r="A1254" s="86">
        <f t="shared" si="19"/>
        <v>1250</v>
      </c>
      <c r="B1254" s="92"/>
      <c r="C1254" s="190"/>
      <c r="D1254" s="164"/>
      <c r="E1254" s="103"/>
      <c r="F1254" s="103"/>
      <c r="G1254" s="103"/>
      <c r="H1254" s="149"/>
      <c r="I1254" s="104"/>
      <c r="J1254" s="109" t="s">
        <v>1828</v>
      </c>
      <c r="K1254" s="100"/>
      <c r="L1254" s="145"/>
      <c r="M1254" s="145"/>
      <c r="N1254" s="145"/>
      <c r="O1254" s="100"/>
      <c r="P1254" s="100"/>
      <c r="Q1254" s="101"/>
      <c r="R1254" s="93" t="s">
        <v>1239</v>
      </c>
      <c r="S1254" s="93"/>
      <c r="T1254" s="93"/>
      <c r="U1254" s="94"/>
    </row>
    <row r="1255" spans="1:21" x14ac:dyDescent="0.4">
      <c r="A1255" s="86">
        <f t="shared" si="19"/>
        <v>1251</v>
      </c>
      <c r="B1255" s="92"/>
      <c r="C1255" s="190"/>
      <c r="D1255" s="164"/>
      <c r="E1255" s="103"/>
      <c r="F1255" s="103"/>
      <c r="G1255" s="103"/>
      <c r="H1255" s="149"/>
      <c r="I1255" s="104"/>
      <c r="J1255" s="104"/>
      <c r="K1255" s="70" t="s">
        <v>1813</v>
      </c>
      <c r="L1255" s="145"/>
      <c r="M1255" s="145"/>
      <c r="N1255" s="145"/>
      <c r="O1255" s="100"/>
      <c r="P1255" s="100"/>
      <c r="Q1255" s="101"/>
      <c r="R1255" s="93" t="s">
        <v>36</v>
      </c>
      <c r="S1255" s="93"/>
      <c r="T1255" s="93"/>
      <c r="U1255" s="94"/>
    </row>
    <row r="1256" spans="1:21" x14ac:dyDescent="0.4">
      <c r="A1256" s="86">
        <f t="shared" si="19"/>
        <v>1252</v>
      </c>
      <c r="B1256" s="92"/>
      <c r="C1256" s="190"/>
      <c r="D1256" s="164"/>
      <c r="E1256" s="103"/>
      <c r="F1256" s="103"/>
      <c r="G1256" s="103"/>
      <c r="H1256" s="149"/>
      <c r="I1256" s="104"/>
      <c r="J1256" s="104"/>
      <c r="K1256" s="104"/>
      <c r="L1256" s="145" t="s">
        <v>2916</v>
      </c>
      <c r="M1256" s="145"/>
      <c r="N1256" s="145"/>
      <c r="O1256" s="100"/>
      <c r="P1256" s="100"/>
      <c r="Q1256" s="101"/>
      <c r="R1256" s="93" t="s">
        <v>2927</v>
      </c>
      <c r="S1256" s="93"/>
      <c r="T1256" s="93"/>
      <c r="U1256" s="94"/>
    </row>
    <row r="1257" spans="1:21" x14ac:dyDescent="0.4">
      <c r="A1257" s="86">
        <f t="shared" si="19"/>
        <v>1253</v>
      </c>
      <c r="B1257" s="92"/>
      <c r="C1257" s="190"/>
      <c r="D1257" s="164"/>
      <c r="E1257" s="103"/>
      <c r="F1257" s="103"/>
      <c r="G1257" s="103"/>
      <c r="H1257" s="149"/>
      <c r="I1257" s="104"/>
      <c r="J1257" s="104"/>
      <c r="K1257" s="104"/>
      <c r="L1257" s="145" t="s">
        <v>1829</v>
      </c>
      <c r="M1257" s="145"/>
      <c r="N1257" s="145"/>
      <c r="O1257" s="100"/>
      <c r="P1257" s="100"/>
      <c r="Q1257" s="101"/>
      <c r="R1257" s="93" t="s">
        <v>36</v>
      </c>
      <c r="S1257" s="93"/>
      <c r="T1257" s="93"/>
      <c r="U1257" s="94"/>
    </row>
    <row r="1258" spans="1:21" x14ac:dyDescent="0.4">
      <c r="A1258" s="86">
        <f t="shared" si="19"/>
        <v>1254</v>
      </c>
      <c r="B1258" s="92"/>
      <c r="C1258" s="190"/>
      <c r="D1258" s="164"/>
      <c r="E1258" s="103"/>
      <c r="F1258" s="103"/>
      <c r="G1258" s="103"/>
      <c r="H1258" s="149"/>
      <c r="I1258" s="104"/>
      <c r="J1258" s="104"/>
      <c r="K1258" s="108"/>
      <c r="L1258" s="145" t="s">
        <v>1815</v>
      </c>
      <c r="M1258" s="145"/>
      <c r="N1258" s="145"/>
      <c r="O1258" s="100"/>
      <c r="P1258" s="100"/>
      <c r="Q1258" s="101"/>
      <c r="R1258" s="93" t="s">
        <v>36</v>
      </c>
      <c r="S1258" s="93"/>
      <c r="T1258" s="93"/>
      <c r="U1258" s="94"/>
    </row>
    <row r="1259" spans="1:21" x14ac:dyDescent="0.4">
      <c r="A1259" s="86">
        <f t="shared" si="19"/>
        <v>1255</v>
      </c>
      <c r="B1259" s="92"/>
      <c r="C1259" s="190"/>
      <c r="D1259" s="164"/>
      <c r="E1259" s="103"/>
      <c r="F1259" s="103"/>
      <c r="G1259" s="103"/>
      <c r="H1259" s="149"/>
      <c r="I1259" s="104"/>
      <c r="J1259" s="109" t="s">
        <v>1830</v>
      </c>
      <c r="K1259" s="100"/>
      <c r="L1259" s="145"/>
      <c r="M1259" s="145"/>
      <c r="N1259" s="145"/>
      <c r="O1259" s="100"/>
      <c r="P1259" s="100"/>
      <c r="Q1259" s="101"/>
      <c r="R1259" s="93" t="s">
        <v>1239</v>
      </c>
      <c r="S1259" s="93"/>
      <c r="T1259" s="93"/>
      <c r="U1259" s="94"/>
    </row>
    <row r="1260" spans="1:21" x14ac:dyDescent="0.4">
      <c r="A1260" s="86">
        <f t="shared" si="19"/>
        <v>1256</v>
      </c>
      <c r="B1260" s="92"/>
      <c r="C1260" s="190"/>
      <c r="D1260" s="164"/>
      <c r="E1260" s="103"/>
      <c r="F1260" s="103"/>
      <c r="G1260" s="103"/>
      <c r="H1260" s="149"/>
      <c r="I1260" s="104"/>
      <c r="J1260" s="104"/>
      <c r="K1260" s="70" t="s">
        <v>1813</v>
      </c>
      <c r="L1260" s="145"/>
      <c r="M1260" s="145"/>
      <c r="N1260" s="145"/>
      <c r="O1260" s="100"/>
      <c r="P1260" s="100"/>
      <c r="Q1260" s="101"/>
      <c r="R1260" s="93" t="s">
        <v>20</v>
      </c>
      <c r="S1260" s="93"/>
      <c r="T1260" s="93"/>
      <c r="U1260" s="94"/>
    </row>
    <row r="1261" spans="1:21" x14ac:dyDescent="0.4">
      <c r="A1261" s="86">
        <f t="shared" si="19"/>
        <v>1257</v>
      </c>
      <c r="B1261" s="92"/>
      <c r="C1261" s="190"/>
      <c r="D1261" s="164"/>
      <c r="E1261" s="103"/>
      <c r="F1261" s="103"/>
      <c r="G1261" s="103"/>
      <c r="H1261" s="149"/>
      <c r="I1261" s="104"/>
      <c r="J1261" s="104"/>
      <c r="K1261" s="104"/>
      <c r="L1261" s="145" t="s">
        <v>2916</v>
      </c>
      <c r="M1261" s="145"/>
      <c r="N1261" s="145"/>
      <c r="O1261" s="100"/>
      <c r="P1261" s="100"/>
      <c r="Q1261" s="101"/>
      <c r="R1261" s="93" t="s">
        <v>2982</v>
      </c>
      <c r="S1261" s="93"/>
      <c r="T1261" s="93"/>
      <c r="U1261" s="94"/>
    </row>
    <row r="1262" spans="1:21" x14ac:dyDescent="0.4">
      <c r="A1262" s="86">
        <f t="shared" si="19"/>
        <v>1258</v>
      </c>
      <c r="B1262" s="92"/>
      <c r="C1262" s="190"/>
      <c r="D1262" s="164"/>
      <c r="E1262" s="103"/>
      <c r="F1262" s="103"/>
      <c r="G1262" s="103"/>
      <c r="H1262" s="149"/>
      <c r="I1262" s="104"/>
      <c r="J1262" s="104"/>
      <c r="K1262" s="108"/>
      <c r="L1262" s="145" t="s">
        <v>1831</v>
      </c>
      <c r="M1262" s="145"/>
      <c r="N1262" s="145"/>
      <c r="O1262" s="100"/>
      <c r="P1262" s="100"/>
      <c r="Q1262" s="101"/>
      <c r="R1262" s="93" t="s">
        <v>36</v>
      </c>
      <c r="S1262" s="93"/>
      <c r="T1262" s="93"/>
      <c r="U1262" s="94"/>
    </row>
    <row r="1263" spans="1:21" x14ac:dyDescent="0.4">
      <c r="A1263" s="86">
        <f t="shared" si="19"/>
        <v>1259</v>
      </c>
      <c r="B1263" s="92"/>
      <c r="C1263" s="190"/>
      <c r="D1263" s="164"/>
      <c r="E1263" s="103"/>
      <c r="F1263" s="103"/>
      <c r="G1263" s="103"/>
      <c r="H1263" s="149"/>
      <c r="I1263" s="104"/>
      <c r="J1263" s="109" t="s">
        <v>1832</v>
      </c>
      <c r="K1263" s="100"/>
      <c r="L1263" s="145"/>
      <c r="M1263" s="145"/>
      <c r="N1263" s="145"/>
      <c r="O1263" s="100"/>
      <c r="P1263" s="100"/>
      <c r="Q1263" s="101"/>
      <c r="R1263" s="93" t="s">
        <v>1239</v>
      </c>
      <c r="S1263" s="93"/>
      <c r="T1263" s="93"/>
      <c r="U1263" s="94"/>
    </row>
    <row r="1264" spans="1:21" x14ac:dyDescent="0.4">
      <c r="A1264" s="86">
        <f t="shared" si="19"/>
        <v>1260</v>
      </c>
      <c r="B1264" s="92"/>
      <c r="C1264" s="190"/>
      <c r="D1264" s="164"/>
      <c r="E1264" s="103"/>
      <c r="F1264" s="103"/>
      <c r="G1264" s="103"/>
      <c r="H1264" s="149"/>
      <c r="I1264" s="104"/>
      <c r="J1264" s="104"/>
      <c r="K1264" s="70" t="s">
        <v>1813</v>
      </c>
      <c r="L1264" s="145"/>
      <c r="M1264" s="145"/>
      <c r="N1264" s="145"/>
      <c r="O1264" s="100"/>
      <c r="P1264" s="100"/>
      <c r="Q1264" s="101"/>
      <c r="R1264" s="93" t="s">
        <v>36</v>
      </c>
      <c r="S1264" s="93"/>
      <c r="T1264" s="93"/>
      <c r="U1264" s="94"/>
    </row>
    <row r="1265" spans="1:21" x14ac:dyDescent="0.4">
      <c r="A1265" s="86">
        <f t="shared" si="19"/>
        <v>1261</v>
      </c>
      <c r="B1265" s="92"/>
      <c r="C1265" s="190"/>
      <c r="D1265" s="164"/>
      <c r="E1265" s="103"/>
      <c r="F1265" s="103"/>
      <c r="G1265" s="103"/>
      <c r="H1265" s="149"/>
      <c r="I1265" s="104"/>
      <c r="J1265" s="104"/>
      <c r="K1265" s="104"/>
      <c r="L1265" s="145" t="s">
        <v>2916</v>
      </c>
      <c r="M1265" s="145"/>
      <c r="N1265" s="145"/>
      <c r="O1265" s="100"/>
      <c r="P1265" s="100"/>
      <c r="Q1265" s="101"/>
      <c r="R1265" s="93" t="s">
        <v>2927</v>
      </c>
      <c r="S1265" s="93"/>
      <c r="T1265" s="93"/>
      <c r="U1265" s="94"/>
    </row>
    <row r="1266" spans="1:21" x14ac:dyDescent="0.4">
      <c r="A1266" s="86">
        <f t="shared" si="19"/>
        <v>1262</v>
      </c>
      <c r="B1266" s="92"/>
      <c r="C1266" s="190"/>
      <c r="D1266" s="164"/>
      <c r="E1266" s="103"/>
      <c r="F1266" s="103"/>
      <c r="G1266" s="103"/>
      <c r="H1266" s="149"/>
      <c r="I1266" s="104"/>
      <c r="J1266" s="104"/>
      <c r="K1266" s="104"/>
      <c r="L1266" s="145" t="s">
        <v>1833</v>
      </c>
      <c r="M1266" s="145"/>
      <c r="N1266" s="145"/>
      <c r="O1266" s="100"/>
      <c r="P1266" s="100"/>
      <c r="Q1266" s="101"/>
      <c r="R1266" s="93" t="s">
        <v>36</v>
      </c>
      <c r="S1266" s="93"/>
      <c r="T1266" s="93"/>
      <c r="U1266" s="94"/>
    </row>
    <row r="1267" spans="1:21" x14ac:dyDescent="0.4">
      <c r="A1267" s="86">
        <f t="shared" si="19"/>
        <v>1263</v>
      </c>
      <c r="B1267" s="92"/>
      <c r="C1267" s="190"/>
      <c r="D1267" s="164"/>
      <c r="E1267" s="103"/>
      <c r="F1267" s="103"/>
      <c r="G1267" s="103"/>
      <c r="H1267" s="149"/>
      <c r="I1267" s="104"/>
      <c r="J1267" s="104"/>
      <c r="K1267" s="108"/>
      <c r="L1267" s="145" t="s">
        <v>1815</v>
      </c>
      <c r="M1267" s="145"/>
      <c r="N1267" s="145"/>
      <c r="O1267" s="100"/>
      <c r="P1267" s="100"/>
      <c r="Q1267" s="101"/>
      <c r="R1267" s="93" t="s">
        <v>36</v>
      </c>
      <c r="S1267" s="93"/>
      <c r="T1267" s="93"/>
      <c r="U1267" s="94"/>
    </row>
    <row r="1268" spans="1:21" x14ac:dyDescent="0.4">
      <c r="A1268" s="86">
        <f t="shared" si="19"/>
        <v>1264</v>
      </c>
      <c r="B1268" s="92"/>
      <c r="C1268" s="190"/>
      <c r="D1268" s="164"/>
      <c r="E1268" s="103"/>
      <c r="F1268" s="103"/>
      <c r="G1268" s="103"/>
      <c r="H1268" s="149"/>
      <c r="I1268" s="104"/>
      <c r="J1268" s="109" t="s">
        <v>1834</v>
      </c>
      <c r="K1268" s="100"/>
      <c r="L1268" s="145"/>
      <c r="M1268" s="145"/>
      <c r="N1268" s="145"/>
      <c r="O1268" s="100"/>
      <c r="P1268" s="100"/>
      <c r="Q1268" s="101"/>
      <c r="R1268" s="93" t="s">
        <v>1239</v>
      </c>
      <c r="S1268" s="93"/>
      <c r="T1268" s="93"/>
      <c r="U1268" s="94"/>
    </row>
    <row r="1269" spans="1:21" x14ac:dyDescent="0.4">
      <c r="A1269" s="86">
        <f t="shared" si="19"/>
        <v>1265</v>
      </c>
      <c r="B1269" s="92"/>
      <c r="C1269" s="190"/>
      <c r="D1269" s="164"/>
      <c r="E1269" s="103"/>
      <c r="F1269" s="103"/>
      <c r="G1269" s="103"/>
      <c r="H1269" s="149"/>
      <c r="I1269" s="104"/>
      <c r="J1269" s="104"/>
      <c r="K1269" s="70" t="s">
        <v>1813</v>
      </c>
      <c r="L1269" s="145"/>
      <c r="M1269" s="145"/>
      <c r="N1269" s="145"/>
      <c r="O1269" s="100"/>
      <c r="P1269" s="100"/>
      <c r="Q1269" s="101"/>
      <c r="R1269" s="93" t="s">
        <v>36</v>
      </c>
      <c r="S1269" s="93"/>
      <c r="T1269" s="93"/>
      <c r="U1269" s="94"/>
    </row>
    <row r="1270" spans="1:21" x14ac:dyDescent="0.4">
      <c r="A1270" s="86">
        <f t="shared" si="19"/>
        <v>1266</v>
      </c>
      <c r="B1270" s="92"/>
      <c r="C1270" s="190"/>
      <c r="D1270" s="164"/>
      <c r="E1270" s="103"/>
      <c r="F1270" s="103"/>
      <c r="G1270" s="103"/>
      <c r="H1270" s="149"/>
      <c r="I1270" s="104"/>
      <c r="J1270" s="104"/>
      <c r="K1270" s="104"/>
      <c r="L1270" s="145" t="s">
        <v>2916</v>
      </c>
      <c r="M1270" s="145"/>
      <c r="N1270" s="145"/>
      <c r="O1270" s="100"/>
      <c r="P1270" s="100"/>
      <c r="Q1270" s="101"/>
      <c r="R1270" s="93" t="s">
        <v>2927</v>
      </c>
      <c r="S1270" s="93"/>
      <c r="T1270" s="93"/>
      <c r="U1270" s="94"/>
    </row>
    <row r="1271" spans="1:21" x14ac:dyDescent="0.4">
      <c r="A1271" s="86">
        <f t="shared" si="19"/>
        <v>1267</v>
      </c>
      <c r="B1271" s="92"/>
      <c r="C1271" s="190"/>
      <c r="D1271" s="164"/>
      <c r="E1271" s="103"/>
      <c r="F1271" s="103"/>
      <c r="G1271" s="103"/>
      <c r="H1271" s="149"/>
      <c r="I1271" s="104"/>
      <c r="J1271" s="104"/>
      <c r="K1271" s="108"/>
      <c r="L1271" s="145" t="s">
        <v>1815</v>
      </c>
      <c r="M1271" s="145"/>
      <c r="N1271" s="145"/>
      <c r="O1271" s="100"/>
      <c r="P1271" s="100"/>
      <c r="Q1271" s="101"/>
      <c r="R1271" s="93" t="s">
        <v>36</v>
      </c>
      <c r="S1271" s="93"/>
      <c r="T1271" s="93"/>
      <c r="U1271" s="94"/>
    </row>
    <row r="1272" spans="1:21" x14ac:dyDescent="0.4">
      <c r="A1272" s="86">
        <f t="shared" si="19"/>
        <v>1268</v>
      </c>
      <c r="B1272" s="92"/>
      <c r="C1272" s="190"/>
      <c r="D1272" s="164"/>
      <c r="E1272" s="103"/>
      <c r="F1272" s="103"/>
      <c r="G1272" s="103"/>
      <c r="H1272" s="149"/>
      <c r="I1272" s="104"/>
      <c r="J1272" s="109" t="s">
        <v>1835</v>
      </c>
      <c r="K1272" s="100"/>
      <c r="L1272" s="145"/>
      <c r="M1272" s="145"/>
      <c r="N1272" s="145"/>
      <c r="O1272" s="100"/>
      <c r="P1272" s="100"/>
      <c r="Q1272" s="101"/>
      <c r="R1272" s="93" t="s">
        <v>1239</v>
      </c>
      <c r="S1272" s="93"/>
      <c r="T1272" s="93"/>
      <c r="U1272" s="94"/>
    </row>
    <row r="1273" spans="1:21" x14ac:dyDescent="0.4">
      <c r="A1273" s="86">
        <f t="shared" si="19"/>
        <v>1269</v>
      </c>
      <c r="B1273" s="92"/>
      <c r="C1273" s="190"/>
      <c r="D1273" s="164"/>
      <c r="E1273" s="103"/>
      <c r="F1273" s="103"/>
      <c r="G1273" s="103"/>
      <c r="H1273" s="149"/>
      <c r="I1273" s="104"/>
      <c r="J1273" s="104"/>
      <c r="K1273" s="70" t="s">
        <v>1813</v>
      </c>
      <c r="L1273" s="145"/>
      <c r="M1273" s="145"/>
      <c r="N1273" s="145"/>
      <c r="O1273" s="100"/>
      <c r="P1273" s="100"/>
      <c r="Q1273" s="101"/>
      <c r="R1273" s="93" t="s">
        <v>36</v>
      </c>
      <c r="S1273" s="93"/>
      <c r="T1273" s="93"/>
      <c r="U1273" s="94"/>
    </row>
    <row r="1274" spans="1:21" x14ac:dyDescent="0.4">
      <c r="A1274" s="86">
        <f t="shared" si="19"/>
        <v>1270</v>
      </c>
      <c r="B1274" s="92"/>
      <c r="C1274" s="190"/>
      <c r="D1274" s="164"/>
      <c r="E1274" s="103"/>
      <c r="F1274" s="103"/>
      <c r="G1274" s="103"/>
      <c r="H1274" s="149"/>
      <c r="I1274" s="104"/>
      <c r="J1274" s="104"/>
      <c r="K1274" s="104"/>
      <c r="L1274" s="145" t="s">
        <v>2916</v>
      </c>
      <c r="M1274" s="145"/>
      <c r="N1274" s="145"/>
      <c r="O1274" s="100"/>
      <c r="P1274" s="100"/>
      <c r="Q1274" s="101"/>
      <c r="R1274" s="93" t="s">
        <v>2982</v>
      </c>
      <c r="S1274" s="93"/>
      <c r="T1274" s="93"/>
      <c r="U1274" s="94"/>
    </row>
    <row r="1275" spans="1:21" x14ac:dyDescent="0.4">
      <c r="A1275" s="86">
        <f t="shared" si="19"/>
        <v>1271</v>
      </c>
      <c r="B1275" s="92"/>
      <c r="C1275" s="190"/>
      <c r="D1275" s="164"/>
      <c r="E1275" s="103"/>
      <c r="F1275" s="103"/>
      <c r="G1275" s="103"/>
      <c r="H1275" s="149"/>
      <c r="I1275" s="104"/>
      <c r="J1275" s="104"/>
      <c r="K1275" s="108"/>
      <c r="L1275" s="145" t="s">
        <v>1836</v>
      </c>
      <c r="M1275" s="145"/>
      <c r="N1275" s="145"/>
      <c r="O1275" s="100"/>
      <c r="P1275" s="100"/>
      <c r="Q1275" s="101"/>
      <c r="R1275" s="93" t="s">
        <v>36</v>
      </c>
      <c r="S1275" s="93"/>
      <c r="T1275" s="93"/>
      <c r="U1275" s="94"/>
    </row>
    <row r="1276" spans="1:21" x14ac:dyDescent="0.4">
      <c r="A1276" s="86">
        <f t="shared" si="19"/>
        <v>1272</v>
      </c>
      <c r="B1276" s="92"/>
      <c r="C1276" s="190"/>
      <c r="D1276" s="164"/>
      <c r="E1276" s="103"/>
      <c r="F1276" s="103"/>
      <c r="G1276" s="103"/>
      <c r="H1276" s="149"/>
      <c r="I1276" s="104"/>
      <c r="J1276" s="109" t="s">
        <v>1837</v>
      </c>
      <c r="K1276" s="100"/>
      <c r="L1276" s="145"/>
      <c r="M1276" s="145"/>
      <c r="N1276" s="145"/>
      <c r="O1276" s="100"/>
      <c r="P1276" s="100"/>
      <c r="Q1276" s="101"/>
      <c r="R1276" s="93" t="s">
        <v>1239</v>
      </c>
      <c r="S1276" s="93"/>
      <c r="T1276" s="93"/>
      <c r="U1276" s="94"/>
    </row>
    <row r="1277" spans="1:21" x14ac:dyDescent="0.4">
      <c r="A1277" s="86">
        <f t="shared" si="19"/>
        <v>1273</v>
      </c>
      <c r="B1277" s="92"/>
      <c r="C1277" s="190"/>
      <c r="D1277" s="164"/>
      <c r="E1277" s="103"/>
      <c r="F1277" s="103"/>
      <c r="G1277" s="103"/>
      <c r="H1277" s="149"/>
      <c r="I1277" s="104"/>
      <c r="J1277" s="104"/>
      <c r="K1277" s="70" t="s">
        <v>1813</v>
      </c>
      <c r="L1277" s="145"/>
      <c r="M1277" s="145"/>
      <c r="N1277" s="145"/>
      <c r="O1277" s="100"/>
      <c r="P1277" s="100"/>
      <c r="Q1277" s="101"/>
      <c r="R1277" s="93" t="s">
        <v>36</v>
      </c>
      <c r="S1277" s="93"/>
      <c r="T1277" s="93"/>
      <c r="U1277" s="94"/>
    </row>
    <row r="1278" spans="1:21" x14ac:dyDescent="0.4">
      <c r="A1278" s="86">
        <f t="shared" si="19"/>
        <v>1274</v>
      </c>
      <c r="B1278" s="92"/>
      <c r="C1278" s="190"/>
      <c r="D1278" s="164"/>
      <c r="E1278" s="103"/>
      <c r="F1278" s="103"/>
      <c r="G1278" s="103"/>
      <c r="H1278" s="149"/>
      <c r="I1278" s="104"/>
      <c r="J1278" s="104"/>
      <c r="K1278" s="104"/>
      <c r="L1278" s="145" t="s">
        <v>2916</v>
      </c>
      <c r="M1278" s="145"/>
      <c r="N1278" s="145"/>
      <c r="O1278" s="100"/>
      <c r="P1278" s="100"/>
      <c r="Q1278" s="101"/>
      <c r="R1278" s="93" t="s">
        <v>2927</v>
      </c>
      <c r="S1278" s="93"/>
      <c r="T1278" s="93"/>
      <c r="U1278" s="94"/>
    </row>
    <row r="1279" spans="1:21" x14ac:dyDescent="0.4">
      <c r="A1279" s="86">
        <f t="shared" si="19"/>
        <v>1275</v>
      </c>
      <c r="B1279" s="92"/>
      <c r="C1279" s="190"/>
      <c r="D1279" s="164"/>
      <c r="E1279" s="103"/>
      <c r="F1279" s="103"/>
      <c r="G1279" s="103"/>
      <c r="H1279" s="149"/>
      <c r="I1279" s="104"/>
      <c r="J1279" s="104"/>
      <c r="K1279" s="108"/>
      <c r="L1279" s="145" t="s">
        <v>1815</v>
      </c>
      <c r="M1279" s="145"/>
      <c r="N1279" s="145"/>
      <c r="O1279" s="100"/>
      <c r="P1279" s="100"/>
      <c r="Q1279" s="101"/>
      <c r="R1279" s="93" t="s">
        <v>36</v>
      </c>
      <c r="S1279" s="93"/>
      <c r="T1279" s="93"/>
      <c r="U1279" s="94"/>
    </row>
    <row r="1280" spans="1:21" x14ac:dyDescent="0.4">
      <c r="A1280" s="86">
        <f t="shared" si="19"/>
        <v>1276</v>
      </c>
      <c r="B1280" s="92"/>
      <c r="C1280" s="190"/>
      <c r="D1280" s="164"/>
      <c r="E1280" s="103"/>
      <c r="F1280" s="103"/>
      <c r="G1280" s="103"/>
      <c r="H1280" s="149"/>
      <c r="I1280" s="104"/>
      <c r="J1280" s="109" t="s">
        <v>1838</v>
      </c>
      <c r="K1280" s="100"/>
      <c r="L1280" s="145"/>
      <c r="M1280" s="145"/>
      <c r="N1280" s="145"/>
      <c r="O1280" s="100"/>
      <c r="P1280" s="100"/>
      <c r="Q1280" s="101"/>
      <c r="R1280" s="93" t="s">
        <v>1239</v>
      </c>
      <c r="S1280" s="93"/>
      <c r="T1280" s="93"/>
      <c r="U1280" s="94"/>
    </row>
    <row r="1281" spans="1:21" x14ac:dyDescent="0.4">
      <c r="A1281" s="86">
        <f t="shared" si="19"/>
        <v>1277</v>
      </c>
      <c r="B1281" s="92"/>
      <c r="C1281" s="190"/>
      <c r="D1281" s="164"/>
      <c r="E1281" s="103"/>
      <c r="F1281" s="103"/>
      <c r="G1281" s="103"/>
      <c r="H1281" s="149"/>
      <c r="I1281" s="104"/>
      <c r="J1281" s="104"/>
      <c r="K1281" s="70" t="s">
        <v>1813</v>
      </c>
      <c r="L1281" s="145"/>
      <c r="M1281" s="145"/>
      <c r="N1281" s="145"/>
      <c r="O1281" s="100"/>
      <c r="P1281" s="100"/>
      <c r="Q1281" s="101"/>
      <c r="R1281" s="93" t="s">
        <v>36</v>
      </c>
      <c r="S1281" s="93"/>
      <c r="T1281" s="93"/>
      <c r="U1281" s="94"/>
    </row>
    <row r="1282" spans="1:21" x14ac:dyDescent="0.4">
      <c r="A1282" s="86">
        <f t="shared" si="19"/>
        <v>1278</v>
      </c>
      <c r="B1282" s="92"/>
      <c r="C1282" s="190"/>
      <c r="D1282" s="164"/>
      <c r="E1282" s="103"/>
      <c r="F1282" s="103"/>
      <c r="G1282" s="103"/>
      <c r="H1282" s="149"/>
      <c r="I1282" s="104"/>
      <c r="J1282" s="104"/>
      <c r="K1282" s="104"/>
      <c r="L1282" s="145" t="s">
        <v>2916</v>
      </c>
      <c r="M1282" s="145"/>
      <c r="N1282" s="145"/>
      <c r="O1282" s="100"/>
      <c r="P1282" s="100"/>
      <c r="Q1282" s="101"/>
      <c r="R1282" s="93" t="s">
        <v>2927</v>
      </c>
      <c r="S1282" s="93"/>
      <c r="T1282" s="93"/>
      <c r="U1282" s="94"/>
    </row>
    <row r="1283" spans="1:21" x14ac:dyDescent="0.4">
      <c r="A1283" s="86">
        <f t="shared" si="19"/>
        <v>1279</v>
      </c>
      <c r="B1283" s="92"/>
      <c r="C1283" s="190"/>
      <c r="D1283" s="164"/>
      <c r="E1283" s="103"/>
      <c r="F1283" s="103"/>
      <c r="G1283" s="103"/>
      <c r="H1283" s="149"/>
      <c r="I1283" s="104"/>
      <c r="J1283" s="104"/>
      <c r="K1283" s="108"/>
      <c r="L1283" s="145" t="s">
        <v>1815</v>
      </c>
      <c r="M1283" s="145"/>
      <c r="N1283" s="145"/>
      <c r="O1283" s="100"/>
      <c r="P1283" s="100"/>
      <c r="Q1283" s="101"/>
      <c r="R1283" s="93" t="s">
        <v>36</v>
      </c>
      <c r="S1283" s="93"/>
      <c r="T1283" s="93"/>
      <c r="U1283" s="94"/>
    </row>
    <row r="1284" spans="1:21" x14ac:dyDescent="0.4">
      <c r="A1284" s="86">
        <f t="shared" si="19"/>
        <v>1280</v>
      </c>
      <c r="B1284" s="92"/>
      <c r="C1284" s="190"/>
      <c r="D1284" s="164"/>
      <c r="E1284" s="103"/>
      <c r="F1284" s="103"/>
      <c r="G1284" s="103"/>
      <c r="H1284" s="149"/>
      <c r="I1284" s="104"/>
      <c r="J1284" s="109" t="s">
        <v>1839</v>
      </c>
      <c r="K1284" s="100"/>
      <c r="L1284" s="145"/>
      <c r="M1284" s="145"/>
      <c r="N1284" s="145"/>
      <c r="O1284" s="100"/>
      <c r="P1284" s="100"/>
      <c r="Q1284" s="101"/>
      <c r="R1284" s="93" t="s">
        <v>1239</v>
      </c>
      <c r="S1284" s="93"/>
      <c r="T1284" s="93"/>
      <c r="U1284" s="94"/>
    </row>
    <row r="1285" spans="1:21" x14ac:dyDescent="0.4">
      <c r="A1285" s="86">
        <f t="shared" si="19"/>
        <v>1281</v>
      </c>
      <c r="B1285" s="92"/>
      <c r="C1285" s="190"/>
      <c r="D1285" s="164"/>
      <c r="E1285" s="103"/>
      <c r="F1285" s="103"/>
      <c r="G1285" s="103"/>
      <c r="H1285" s="149"/>
      <c r="I1285" s="104"/>
      <c r="J1285" s="104"/>
      <c r="K1285" s="70" t="s">
        <v>1813</v>
      </c>
      <c r="L1285" s="145"/>
      <c r="M1285" s="145"/>
      <c r="N1285" s="145"/>
      <c r="O1285" s="100"/>
      <c r="P1285" s="100"/>
      <c r="Q1285" s="101"/>
      <c r="R1285" s="93" t="s">
        <v>36</v>
      </c>
      <c r="S1285" s="93"/>
      <c r="T1285" s="93"/>
      <c r="U1285" s="94"/>
    </row>
    <row r="1286" spans="1:21" x14ac:dyDescent="0.4">
      <c r="A1286" s="86">
        <f t="shared" si="19"/>
        <v>1282</v>
      </c>
      <c r="B1286" s="92"/>
      <c r="C1286" s="190"/>
      <c r="D1286" s="164"/>
      <c r="E1286" s="103"/>
      <c r="F1286" s="103"/>
      <c r="G1286" s="103"/>
      <c r="H1286" s="149"/>
      <c r="I1286" s="104"/>
      <c r="J1286" s="104"/>
      <c r="K1286" s="104"/>
      <c r="L1286" s="145" t="s">
        <v>2916</v>
      </c>
      <c r="M1286" s="145"/>
      <c r="N1286" s="145"/>
      <c r="O1286" s="100"/>
      <c r="P1286" s="100"/>
      <c r="Q1286" s="101"/>
      <c r="R1286" s="93" t="s">
        <v>2982</v>
      </c>
      <c r="S1286" s="93"/>
      <c r="T1286" s="93"/>
      <c r="U1286" s="94"/>
    </row>
    <row r="1287" spans="1:21" x14ac:dyDescent="0.4">
      <c r="A1287" s="86">
        <f t="shared" ref="A1287:A1348" si="20">A1286+1</f>
        <v>1283</v>
      </c>
      <c r="B1287" s="92"/>
      <c r="C1287" s="190"/>
      <c r="D1287" s="164"/>
      <c r="E1287" s="103"/>
      <c r="F1287" s="103"/>
      <c r="G1287" s="103"/>
      <c r="H1287" s="149"/>
      <c r="I1287" s="104"/>
      <c r="J1287" s="109" t="s">
        <v>1840</v>
      </c>
      <c r="K1287" s="100"/>
      <c r="L1287" s="145"/>
      <c r="M1287" s="145"/>
      <c r="N1287" s="145"/>
      <c r="O1287" s="100"/>
      <c r="P1287" s="100"/>
      <c r="Q1287" s="101"/>
      <c r="R1287" s="93" t="s">
        <v>1239</v>
      </c>
      <c r="S1287" s="93"/>
      <c r="T1287" s="93"/>
      <c r="U1287" s="94"/>
    </row>
    <row r="1288" spans="1:21" x14ac:dyDescent="0.4">
      <c r="A1288" s="86">
        <f t="shared" si="20"/>
        <v>1284</v>
      </c>
      <c r="B1288" s="92"/>
      <c r="C1288" s="190"/>
      <c r="D1288" s="164"/>
      <c r="E1288" s="103"/>
      <c r="F1288" s="103"/>
      <c r="G1288" s="103"/>
      <c r="H1288" s="149"/>
      <c r="I1288" s="104"/>
      <c r="J1288" s="104"/>
      <c r="K1288" s="70" t="s">
        <v>1813</v>
      </c>
      <c r="L1288" s="145"/>
      <c r="M1288" s="145"/>
      <c r="N1288" s="145"/>
      <c r="O1288" s="100"/>
      <c r="P1288" s="100"/>
      <c r="Q1288" s="101"/>
      <c r="R1288" s="93" t="s">
        <v>36</v>
      </c>
      <c r="S1288" s="93"/>
      <c r="T1288" s="93"/>
      <c r="U1288" s="94"/>
    </row>
    <row r="1289" spans="1:21" x14ac:dyDescent="0.4">
      <c r="A1289" s="86">
        <f t="shared" si="20"/>
        <v>1285</v>
      </c>
      <c r="B1289" s="92"/>
      <c r="C1289" s="190"/>
      <c r="D1289" s="164"/>
      <c r="E1289" s="103"/>
      <c r="F1289" s="103"/>
      <c r="G1289" s="103"/>
      <c r="H1289" s="149"/>
      <c r="I1289" s="104"/>
      <c r="J1289" s="104"/>
      <c r="K1289" s="104"/>
      <c r="L1289" s="145" t="s">
        <v>2916</v>
      </c>
      <c r="M1289" s="145"/>
      <c r="N1289" s="145"/>
      <c r="O1289" s="100"/>
      <c r="P1289" s="100"/>
      <c r="Q1289" s="101"/>
      <c r="R1289" s="93" t="s">
        <v>2927</v>
      </c>
      <c r="S1289" s="93"/>
      <c r="T1289" s="93"/>
      <c r="U1289" s="94"/>
    </row>
    <row r="1290" spans="1:21" x14ac:dyDescent="0.4">
      <c r="A1290" s="86">
        <f t="shared" si="20"/>
        <v>1286</v>
      </c>
      <c r="B1290" s="92"/>
      <c r="C1290" s="190"/>
      <c r="D1290" s="164"/>
      <c r="E1290" s="103"/>
      <c r="F1290" s="103"/>
      <c r="G1290" s="103"/>
      <c r="H1290" s="149"/>
      <c r="I1290" s="104"/>
      <c r="J1290" s="109" t="s">
        <v>1841</v>
      </c>
      <c r="K1290" s="100"/>
      <c r="L1290" s="145"/>
      <c r="M1290" s="145"/>
      <c r="N1290" s="145"/>
      <c r="O1290" s="100"/>
      <c r="P1290" s="100"/>
      <c r="Q1290" s="101"/>
      <c r="R1290" s="93" t="s">
        <v>1239</v>
      </c>
      <c r="S1290" s="93"/>
      <c r="T1290" s="93"/>
      <c r="U1290" s="94"/>
    </row>
    <row r="1291" spans="1:21" x14ac:dyDescent="0.4">
      <c r="A1291" s="86">
        <f t="shared" si="20"/>
        <v>1287</v>
      </c>
      <c r="B1291" s="92"/>
      <c r="C1291" s="190"/>
      <c r="D1291" s="164"/>
      <c r="E1291" s="103"/>
      <c r="F1291" s="103"/>
      <c r="G1291" s="103"/>
      <c r="H1291" s="149"/>
      <c r="I1291" s="104"/>
      <c r="J1291" s="104"/>
      <c r="K1291" s="70" t="s">
        <v>1813</v>
      </c>
      <c r="L1291" s="145"/>
      <c r="M1291" s="145"/>
      <c r="N1291" s="145"/>
      <c r="O1291" s="100"/>
      <c r="P1291" s="100"/>
      <c r="Q1291" s="101"/>
      <c r="R1291" s="93" t="s">
        <v>36</v>
      </c>
      <c r="S1291" s="93"/>
      <c r="T1291" s="93"/>
      <c r="U1291" s="94"/>
    </row>
    <row r="1292" spans="1:21" x14ac:dyDescent="0.4">
      <c r="A1292" s="86">
        <f t="shared" si="20"/>
        <v>1288</v>
      </c>
      <c r="B1292" s="92"/>
      <c r="C1292" s="190"/>
      <c r="D1292" s="164"/>
      <c r="E1292" s="103"/>
      <c r="F1292" s="103"/>
      <c r="G1292" s="103"/>
      <c r="H1292" s="149"/>
      <c r="I1292" s="104"/>
      <c r="J1292" s="104"/>
      <c r="K1292" s="104"/>
      <c r="L1292" s="145" t="s">
        <v>2916</v>
      </c>
      <c r="M1292" s="145"/>
      <c r="N1292" s="145"/>
      <c r="O1292" s="100"/>
      <c r="P1292" s="100"/>
      <c r="Q1292" s="101"/>
      <c r="R1292" s="93" t="s">
        <v>2982</v>
      </c>
      <c r="S1292" s="93"/>
      <c r="T1292" s="93"/>
      <c r="U1292" s="94"/>
    </row>
    <row r="1293" spans="1:21" x14ac:dyDescent="0.4">
      <c r="A1293" s="86">
        <f t="shared" si="20"/>
        <v>1289</v>
      </c>
      <c r="B1293" s="92"/>
      <c r="C1293" s="190"/>
      <c r="D1293" s="164"/>
      <c r="E1293" s="103"/>
      <c r="F1293" s="103"/>
      <c r="G1293" s="103"/>
      <c r="H1293" s="149"/>
      <c r="I1293" s="104"/>
      <c r="J1293" s="109" t="s">
        <v>1842</v>
      </c>
      <c r="K1293" s="100"/>
      <c r="L1293" s="145"/>
      <c r="M1293" s="145"/>
      <c r="N1293" s="145"/>
      <c r="O1293" s="100"/>
      <c r="P1293" s="100"/>
      <c r="Q1293" s="101"/>
      <c r="R1293" s="93" t="s">
        <v>1239</v>
      </c>
      <c r="S1293" s="93"/>
      <c r="T1293" s="93"/>
      <c r="U1293" s="94"/>
    </row>
    <row r="1294" spans="1:21" x14ac:dyDescent="0.4">
      <c r="A1294" s="86">
        <f t="shared" si="20"/>
        <v>1290</v>
      </c>
      <c r="B1294" s="92"/>
      <c r="C1294" s="190"/>
      <c r="D1294" s="164"/>
      <c r="E1294" s="103"/>
      <c r="F1294" s="103"/>
      <c r="G1294" s="103"/>
      <c r="H1294" s="149"/>
      <c r="I1294" s="104"/>
      <c r="J1294" s="104"/>
      <c r="K1294" s="70" t="s">
        <v>1813</v>
      </c>
      <c r="L1294" s="145"/>
      <c r="M1294" s="145"/>
      <c r="N1294" s="145"/>
      <c r="O1294" s="100"/>
      <c r="P1294" s="100"/>
      <c r="Q1294" s="101"/>
      <c r="R1294" s="93" t="s">
        <v>36</v>
      </c>
      <c r="S1294" s="93"/>
      <c r="T1294" s="93"/>
      <c r="U1294" s="94"/>
    </row>
    <row r="1295" spans="1:21" x14ac:dyDescent="0.4">
      <c r="A1295" s="86">
        <f t="shared" si="20"/>
        <v>1291</v>
      </c>
      <c r="B1295" s="92"/>
      <c r="C1295" s="190"/>
      <c r="D1295" s="164"/>
      <c r="E1295" s="103"/>
      <c r="F1295" s="103"/>
      <c r="G1295" s="103"/>
      <c r="H1295" s="149"/>
      <c r="I1295" s="104"/>
      <c r="J1295" s="104"/>
      <c r="K1295" s="104"/>
      <c r="L1295" s="145" t="s">
        <v>2916</v>
      </c>
      <c r="M1295" s="145"/>
      <c r="N1295" s="145"/>
      <c r="O1295" s="100"/>
      <c r="P1295" s="100"/>
      <c r="Q1295" s="101"/>
      <c r="R1295" s="93" t="s">
        <v>2927</v>
      </c>
      <c r="S1295" s="93"/>
      <c r="T1295" s="93"/>
      <c r="U1295" s="94"/>
    </row>
    <row r="1296" spans="1:21" x14ac:dyDescent="0.4">
      <c r="A1296" s="86">
        <f t="shared" si="20"/>
        <v>1292</v>
      </c>
      <c r="B1296" s="92"/>
      <c r="C1296" s="190"/>
      <c r="D1296" s="164"/>
      <c r="E1296" s="103"/>
      <c r="F1296" s="103"/>
      <c r="G1296" s="103"/>
      <c r="H1296" s="149"/>
      <c r="I1296" s="104"/>
      <c r="J1296" s="104"/>
      <c r="K1296" s="108"/>
      <c r="L1296" s="145" t="s">
        <v>1815</v>
      </c>
      <c r="M1296" s="145"/>
      <c r="N1296" s="145"/>
      <c r="O1296" s="100"/>
      <c r="P1296" s="100"/>
      <c r="Q1296" s="101"/>
      <c r="R1296" s="93" t="s">
        <v>36</v>
      </c>
      <c r="S1296" s="93"/>
      <c r="T1296" s="93"/>
      <c r="U1296" s="94"/>
    </row>
    <row r="1297" spans="1:21" x14ac:dyDescent="0.4">
      <c r="A1297" s="86">
        <f t="shared" si="20"/>
        <v>1293</v>
      </c>
      <c r="B1297" s="92"/>
      <c r="C1297" s="190"/>
      <c r="D1297" s="164"/>
      <c r="E1297" s="103"/>
      <c r="F1297" s="103"/>
      <c r="G1297" s="103"/>
      <c r="H1297" s="149"/>
      <c r="I1297" s="104"/>
      <c r="J1297" s="109" t="s">
        <v>1843</v>
      </c>
      <c r="K1297" s="100"/>
      <c r="L1297" s="145"/>
      <c r="M1297" s="145"/>
      <c r="N1297" s="145"/>
      <c r="O1297" s="100"/>
      <c r="P1297" s="100"/>
      <c r="Q1297" s="101"/>
      <c r="R1297" s="93" t="s">
        <v>1239</v>
      </c>
      <c r="S1297" s="93"/>
      <c r="T1297" s="93"/>
      <c r="U1297" s="94"/>
    </row>
    <row r="1298" spans="1:21" x14ac:dyDescent="0.4">
      <c r="A1298" s="86">
        <f t="shared" si="20"/>
        <v>1294</v>
      </c>
      <c r="B1298" s="92"/>
      <c r="C1298" s="190"/>
      <c r="D1298" s="164"/>
      <c r="E1298" s="103"/>
      <c r="F1298" s="103"/>
      <c r="G1298" s="103"/>
      <c r="H1298" s="149"/>
      <c r="I1298" s="104"/>
      <c r="J1298" s="104"/>
      <c r="K1298" s="70" t="s">
        <v>1813</v>
      </c>
      <c r="L1298" s="145"/>
      <c r="M1298" s="145"/>
      <c r="N1298" s="145"/>
      <c r="O1298" s="100"/>
      <c r="P1298" s="100"/>
      <c r="Q1298" s="101"/>
      <c r="R1298" s="93" t="s">
        <v>36</v>
      </c>
      <c r="S1298" s="93"/>
      <c r="T1298" s="93"/>
      <c r="U1298" s="94"/>
    </row>
    <row r="1299" spans="1:21" x14ac:dyDescent="0.4">
      <c r="A1299" s="86">
        <f t="shared" si="20"/>
        <v>1295</v>
      </c>
      <c r="B1299" s="92"/>
      <c r="C1299" s="190"/>
      <c r="D1299" s="164"/>
      <c r="E1299" s="103"/>
      <c r="F1299" s="103"/>
      <c r="G1299" s="103"/>
      <c r="H1299" s="149"/>
      <c r="I1299" s="104"/>
      <c r="J1299" s="104"/>
      <c r="K1299" s="104"/>
      <c r="L1299" s="145" t="s">
        <v>2916</v>
      </c>
      <c r="M1299" s="145"/>
      <c r="N1299" s="145"/>
      <c r="O1299" s="100"/>
      <c r="P1299" s="100"/>
      <c r="Q1299" s="101"/>
      <c r="R1299" s="93" t="s">
        <v>2927</v>
      </c>
      <c r="S1299" s="93"/>
      <c r="T1299" s="93"/>
      <c r="U1299" s="94"/>
    </row>
    <row r="1300" spans="1:21" x14ac:dyDescent="0.4">
      <c r="A1300" s="86">
        <f t="shared" si="20"/>
        <v>1296</v>
      </c>
      <c r="B1300" s="92"/>
      <c r="C1300" s="190"/>
      <c r="D1300" s="164"/>
      <c r="E1300" s="103"/>
      <c r="F1300" s="107"/>
      <c r="G1300" s="107"/>
      <c r="H1300" s="150"/>
      <c r="I1300" s="108"/>
      <c r="J1300" s="108"/>
      <c r="K1300" s="108"/>
      <c r="L1300" s="145" t="s">
        <v>1815</v>
      </c>
      <c r="M1300" s="145"/>
      <c r="N1300" s="145"/>
      <c r="O1300" s="100"/>
      <c r="P1300" s="100"/>
      <c r="Q1300" s="101"/>
      <c r="R1300" s="93" t="s">
        <v>36</v>
      </c>
      <c r="S1300" s="93"/>
      <c r="T1300" s="93"/>
      <c r="U1300" s="94"/>
    </row>
    <row r="1301" spans="1:21" x14ac:dyDescent="0.4">
      <c r="A1301" s="86">
        <f t="shared" si="20"/>
        <v>1297</v>
      </c>
      <c r="B1301" s="92"/>
      <c r="C1301" s="190"/>
      <c r="D1301" s="164"/>
      <c r="E1301" s="103"/>
      <c r="F1301" s="92" t="s">
        <v>1810</v>
      </c>
      <c r="G1301" s="89"/>
      <c r="H1301" s="151"/>
      <c r="I1301" s="89"/>
      <c r="J1301" s="89"/>
      <c r="K1301" s="97"/>
      <c r="L1301" s="97"/>
      <c r="M1301" s="97"/>
      <c r="N1301" s="97"/>
      <c r="O1301" s="89"/>
      <c r="P1301" s="89"/>
      <c r="Q1301" s="90"/>
      <c r="R1301" s="98"/>
      <c r="S1301" s="98"/>
      <c r="T1301" s="98"/>
      <c r="U1301" s="91"/>
    </row>
    <row r="1302" spans="1:21" x14ac:dyDescent="0.4">
      <c r="A1302" s="86">
        <f t="shared" si="20"/>
        <v>1298</v>
      </c>
      <c r="B1302" s="92"/>
      <c r="C1302" s="190"/>
      <c r="D1302" s="164"/>
      <c r="E1302" s="103"/>
      <c r="F1302" s="103"/>
      <c r="G1302" s="92" t="s">
        <v>1811</v>
      </c>
      <c r="H1302" s="151"/>
      <c r="I1302" s="89"/>
      <c r="J1302" s="89"/>
      <c r="K1302" s="97"/>
      <c r="L1302" s="97"/>
      <c r="M1302" s="97"/>
      <c r="N1302" s="97"/>
      <c r="O1302" s="89"/>
      <c r="P1302" s="89"/>
      <c r="Q1302" s="90"/>
      <c r="R1302" s="98"/>
      <c r="S1302" s="98"/>
      <c r="T1302" s="98"/>
      <c r="U1302" s="91"/>
    </row>
    <row r="1303" spans="1:21" x14ac:dyDescent="0.4">
      <c r="A1303" s="86">
        <f t="shared" si="20"/>
        <v>1299</v>
      </c>
      <c r="B1303" s="92"/>
      <c r="C1303" s="190"/>
      <c r="D1303" s="164"/>
      <c r="E1303" s="103"/>
      <c r="F1303" s="103"/>
      <c r="G1303" s="103"/>
      <c r="H1303" s="154" t="s">
        <v>1854</v>
      </c>
      <c r="I1303" s="89"/>
      <c r="J1303" s="89"/>
      <c r="K1303" s="97"/>
      <c r="L1303" s="97"/>
      <c r="M1303" s="97"/>
      <c r="N1303" s="97"/>
      <c r="O1303" s="89"/>
      <c r="P1303" s="89"/>
      <c r="Q1303" s="90"/>
      <c r="R1303" s="98"/>
      <c r="S1303" s="98"/>
      <c r="T1303" s="98"/>
      <c r="U1303" s="91"/>
    </row>
    <row r="1304" spans="1:21" x14ac:dyDescent="0.4">
      <c r="A1304" s="86">
        <f t="shared" si="20"/>
        <v>1300</v>
      </c>
      <c r="B1304" s="92"/>
      <c r="C1304" s="190"/>
      <c r="D1304" s="164"/>
      <c r="E1304" s="103"/>
      <c r="F1304" s="103"/>
      <c r="G1304" s="103"/>
      <c r="H1304" s="149"/>
      <c r="I1304" s="145" t="s">
        <v>2916</v>
      </c>
      <c r="J1304" s="100"/>
      <c r="K1304" s="145"/>
      <c r="L1304" s="145"/>
      <c r="M1304" s="145"/>
      <c r="N1304" s="145"/>
      <c r="O1304" s="100"/>
      <c r="P1304" s="100"/>
      <c r="Q1304" s="101"/>
      <c r="R1304" s="93" t="s">
        <v>2927</v>
      </c>
      <c r="S1304" s="93"/>
      <c r="T1304" s="93"/>
      <c r="U1304" s="94"/>
    </row>
    <row r="1305" spans="1:21" x14ac:dyDescent="0.4">
      <c r="A1305" s="86">
        <f t="shared" si="20"/>
        <v>1301</v>
      </c>
      <c r="B1305" s="105"/>
      <c r="C1305" s="189"/>
      <c r="D1305" s="186" t="s">
        <v>2985</v>
      </c>
      <c r="E1305" s="187"/>
      <c r="F1305" s="187"/>
      <c r="G1305" s="160"/>
      <c r="H1305" s="160"/>
      <c r="I1305" s="160"/>
      <c r="J1305" s="160"/>
      <c r="K1305" s="160"/>
      <c r="L1305" s="160"/>
      <c r="M1305" s="160"/>
      <c r="N1305" s="160"/>
      <c r="O1305" s="160"/>
      <c r="P1305" s="160"/>
      <c r="Q1305" s="161"/>
      <c r="R1305" s="162"/>
      <c r="S1305" s="162"/>
      <c r="T1305" s="162"/>
      <c r="U1305" s="163"/>
    </row>
    <row r="1306" spans="1:21" x14ac:dyDescent="0.4">
      <c r="A1306" s="86">
        <f t="shared" si="20"/>
        <v>1302</v>
      </c>
      <c r="B1306" s="92"/>
      <c r="C1306" s="190"/>
      <c r="D1306" s="164"/>
      <c r="E1306" s="87" t="s">
        <v>2986</v>
      </c>
      <c r="F1306" s="89"/>
      <c r="G1306" s="97"/>
      <c r="H1306" s="147"/>
      <c r="I1306" s="97"/>
      <c r="J1306" s="97"/>
      <c r="K1306" s="97"/>
      <c r="L1306" s="97"/>
      <c r="M1306" s="97"/>
      <c r="N1306" s="97"/>
      <c r="O1306" s="89"/>
      <c r="P1306" s="89"/>
      <c r="Q1306" s="90"/>
      <c r="R1306" s="98"/>
      <c r="S1306" s="98"/>
      <c r="T1306" s="98"/>
      <c r="U1306" s="91"/>
    </row>
    <row r="1307" spans="1:21" x14ac:dyDescent="0.4">
      <c r="A1307" s="86">
        <f t="shared" si="20"/>
        <v>1303</v>
      </c>
      <c r="B1307" s="92"/>
      <c r="C1307" s="190"/>
      <c r="D1307" s="164"/>
      <c r="E1307" s="103"/>
      <c r="F1307" s="87" t="s">
        <v>2996</v>
      </c>
      <c r="G1307" s="89"/>
      <c r="H1307" s="97"/>
      <c r="I1307" s="89"/>
      <c r="J1307" s="147"/>
      <c r="K1307" s="97"/>
      <c r="L1307" s="97"/>
      <c r="M1307" s="97"/>
      <c r="N1307" s="97"/>
      <c r="O1307" s="89"/>
      <c r="P1307" s="89"/>
      <c r="Q1307" s="90"/>
      <c r="R1307" s="98"/>
      <c r="S1307" s="98"/>
      <c r="T1307" s="98"/>
      <c r="U1307" s="91"/>
    </row>
    <row r="1308" spans="1:21" x14ac:dyDescent="0.4">
      <c r="A1308" s="86">
        <f t="shared" si="20"/>
        <v>1304</v>
      </c>
      <c r="B1308" s="92"/>
      <c r="C1308" s="190"/>
      <c r="D1308" s="164"/>
      <c r="E1308" s="103"/>
      <c r="F1308" s="103"/>
      <c r="G1308" s="87" t="s">
        <v>2997</v>
      </c>
      <c r="H1308" s="97"/>
      <c r="I1308" s="89"/>
      <c r="J1308" s="147"/>
      <c r="K1308" s="97"/>
      <c r="L1308" s="97"/>
      <c r="M1308" s="97"/>
      <c r="N1308" s="97"/>
      <c r="O1308" s="89"/>
      <c r="P1308" s="89"/>
      <c r="Q1308" s="90"/>
      <c r="R1308" s="98"/>
      <c r="S1308" s="98"/>
      <c r="T1308" s="98"/>
      <c r="U1308" s="91"/>
    </row>
    <row r="1309" spans="1:21" x14ac:dyDescent="0.4">
      <c r="A1309" s="86">
        <f t="shared" si="20"/>
        <v>1305</v>
      </c>
      <c r="B1309" s="92"/>
      <c r="C1309" s="190"/>
      <c r="D1309" s="164"/>
      <c r="E1309" s="103"/>
      <c r="F1309" s="103"/>
      <c r="G1309" s="103"/>
      <c r="H1309" s="145" t="s">
        <v>2916</v>
      </c>
      <c r="I1309" s="100"/>
      <c r="J1309" s="145"/>
      <c r="K1309" s="145"/>
      <c r="L1309" s="145"/>
      <c r="M1309" s="145"/>
      <c r="N1309" s="145"/>
      <c r="O1309" s="100"/>
      <c r="P1309" s="100"/>
      <c r="Q1309" s="101"/>
      <c r="R1309" s="93" t="s">
        <v>2927</v>
      </c>
      <c r="S1309" s="93"/>
      <c r="T1309" s="93" t="s">
        <v>10</v>
      </c>
      <c r="U1309" s="94"/>
    </row>
    <row r="1310" spans="1:21" x14ac:dyDescent="0.4">
      <c r="A1310" s="86">
        <f t="shared" si="20"/>
        <v>1306</v>
      </c>
      <c r="B1310" s="92"/>
      <c r="C1310" s="190"/>
      <c r="D1310" s="164"/>
      <c r="E1310" s="103"/>
      <c r="F1310" s="103"/>
      <c r="G1310" s="87" t="s">
        <v>2998</v>
      </c>
      <c r="H1310" s="97"/>
      <c r="I1310" s="89"/>
      <c r="J1310" s="147"/>
      <c r="K1310" s="97"/>
      <c r="L1310" s="97"/>
      <c r="M1310" s="97"/>
      <c r="N1310" s="97"/>
      <c r="O1310" s="89"/>
      <c r="P1310" s="89"/>
      <c r="Q1310" s="90"/>
      <c r="R1310" s="98"/>
      <c r="S1310" s="98"/>
      <c r="T1310" s="98"/>
      <c r="U1310" s="91"/>
    </row>
    <row r="1311" spans="1:21" x14ac:dyDescent="0.4">
      <c r="A1311" s="86">
        <f t="shared" si="20"/>
        <v>1307</v>
      </c>
      <c r="B1311" s="92"/>
      <c r="C1311" s="190"/>
      <c r="D1311" s="164"/>
      <c r="E1311" s="103"/>
      <c r="F1311" s="103"/>
      <c r="G1311" s="103"/>
      <c r="H1311" s="145" t="s">
        <v>2916</v>
      </c>
      <c r="I1311" s="100"/>
      <c r="J1311" s="145"/>
      <c r="K1311" s="145"/>
      <c r="L1311" s="145"/>
      <c r="M1311" s="145"/>
      <c r="N1311" s="145"/>
      <c r="O1311" s="100"/>
      <c r="P1311" s="100"/>
      <c r="Q1311" s="101"/>
      <c r="R1311" s="93" t="s">
        <v>2927</v>
      </c>
      <c r="S1311" s="93"/>
      <c r="T1311" s="93" t="s">
        <v>10</v>
      </c>
      <c r="U1311" s="94"/>
    </row>
    <row r="1312" spans="1:21" x14ac:dyDescent="0.4">
      <c r="A1312" s="86">
        <f t="shared" si="20"/>
        <v>1308</v>
      </c>
      <c r="B1312" s="92"/>
      <c r="C1312" s="190"/>
      <c r="D1312" s="164"/>
      <c r="E1312" s="103"/>
      <c r="F1312" s="103"/>
      <c r="G1312" s="87" t="s">
        <v>2999</v>
      </c>
      <c r="H1312" s="97"/>
      <c r="I1312" s="89"/>
      <c r="J1312" s="147"/>
      <c r="K1312" s="97"/>
      <c r="L1312" s="97"/>
      <c r="M1312" s="97"/>
      <c r="N1312" s="97"/>
      <c r="O1312" s="89"/>
      <c r="P1312" s="89"/>
      <c r="Q1312" s="90"/>
      <c r="R1312" s="98"/>
      <c r="S1312" s="98"/>
      <c r="T1312" s="98"/>
      <c r="U1312" s="91"/>
    </row>
    <row r="1313" spans="1:21" x14ac:dyDescent="0.4">
      <c r="A1313" s="86">
        <f t="shared" si="20"/>
        <v>1309</v>
      </c>
      <c r="B1313" s="92"/>
      <c r="C1313" s="190"/>
      <c r="D1313" s="164"/>
      <c r="E1313" s="103"/>
      <c r="F1313" s="103"/>
      <c r="G1313" s="103"/>
      <c r="H1313" s="145" t="s">
        <v>2916</v>
      </c>
      <c r="I1313" s="100"/>
      <c r="J1313" s="145"/>
      <c r="K1313" s="145"/>
      <c r="L1313" s="145"/>
      <c r="M1313" s="145"/>
      <c r="N1313" s="145"/>
      <c r="O1313" s="100"/>
      <c r="P1313" s="100"/>
      <c r="Q1313" s="101"/>
      <c r="R1313" s="93" t="s">
        <v>2927</v>
      </c>
      <c r="S1313" s="93"/>
      <c r="T1313" s="93" t="s">
        <v>10</v>
      </c>
      <c r="U1313" s="94"/>
    </row>
    <row r="1314" spans="1:21" x14ac:dyDescent="0.4">
      <c r="A1314" s="86">
        <f t="shared" si="20"/>
        <v>1310</v>
      </c>
      <c r="B1314" s="92"/>
      <c r="C1314" s="190"/>
      <c r="D1314" s="164"/>
      <c r="E1314" s="103"/>
      <c r="F1314" s="103"/>
      <c r="G1314" s="87" t="s">
        <v>3000</v>
      </c>
      <c r="H1314" s="97"/>
      <c r="I1314" s="89"/>
      <c r="J1314" s="147"/>
      <c r="K1314" s="97"/>
      <c r="L1314" s="97"/>
      <c r="M1314" s="97"/>
      <c r="N1314" s="97"/>
      <c r="O1314" s="89"/>
      <c r="P1314" s="89"/>
      <c r="Q1314" s="90"/>
      <c r="R1314" s="98"/>
      <c r="S1314" s="98"/>
      <c r="T1314" s="98"/>
      <c r="U1314" s="91"/>
    </row>
    <row r="1315" spans="1:21" x14ac:dyDescent="0.4">
      <c r="A1315" s="86">
        <f t="shared" si="20"/>
        <v>1311</v>
      </c>
      <c r="B1315" s="92"/>
      <c r="C1315" s="190"/>
      <c r="D1315" s="164"/>
      <c r="E1315" s="103"/>
      <c r="F1315" s="103"/>
      <c r="G1315" s="103"/>
      <c r="H1315" s="145" t="s">
        <v>2916</v>
      </c>
      <c r="I1315" s="100"/>
      <c r="J1315" s="145"/>
      <c r="K1315" s="145"/>
      <c r="L1315" s="145"/>
      <c r="M1315" s="145"/>
      <c r="N1315" s="145"/>
      <c r="O1315" s="100"/>
      <c r="P1315" s="100"/>
      <c r="Q1315" s="101"/>
      <c r="R1315" s="93" t="s">
        <v>2927</v>
      </c>
      <c r="S1315" s="93"/>
      <c r="T1315" s="93" t="s">
        <v>10</v>
      </c>
      <c r="U1315" s="94"/>
    </row>
    <row r="1316" spans="1:21" x14ac:dyDescent="0.4">
      <c r="A1316" s="86">
        <f t="shared" si="20"/>
        <v>1312</v>
      </c>
      <c r="B1316" s="92"/>
      <c r="C1316" s="190"/>
      <c r="D1316" s="164"/>
      <c r="E1316" s="103"/>
      <c r="F1316" s="103"/>
      <c r="G1316" s="87" t="s">
        <v>3001</v>
      </c>
      <c r="H1316" s="97"/>
      <c r="I1316" s="89"/>
      <c r="J1316" s="147"/>
      <c r="K1316" s="97"/>
      <c r="L1316" s="97"/>
      <c r="M1316" s="97"/>
      <c r="N1316" s="97"/>
      <c r="O1316" s="89"/>
      <c r="P1316" s="89"/>
      <c r="Q1316" s="90"/>
      <c r="R1316" s="98"/>
      <c r="S1316" s="98"/>
      <c r="T1316" s="98"/>
      <c r="U1316" s="91"/>
    </row>
    <row r="1317" spans="1:21" x14ac:dyDescent="0.4">
      <c r="A1317" s="86">
        <f t="shared" si="20"/>
        <v>1313</v>
      </c>
      <c r="B1317" s="92"/>
      <c r="C1317" s="190"/>
      <c r="D1317" s="164"/>
      <c r="E1317" s="103"/>
      <c r="F1317" s="103"/>
      <c r="G1317" s="103"/>
      <c r="H1317" s="145" t="s">
        <v>2916</v>
      </c>
      <c r="I1317" s="100"/>
      <c r="J1317" s="146"/>
      <c r="K1317" s="145"/>
      <c r="L1317" s="145"/>
      <c r="M1317" s="145"/>
      <c r="N1317" s="145"/>
      <c r="O1317" s="100"/>
      <c r="P1317" s="100"/>
      <c r="Q1317" s="101"/>
      <c r="R1317" s="93" t="s">
        <v>3005</v>
      </c>
      <c r="S1317" s="93"/>
      <c r="T1317" s="93" t="s">
        <v>9</v>
      </c>
      <c r="U1317" s="94"/>
    </row>
    <row r="1318" spans="1:21" x14ac:dyDescent="0.4">
      <c r="A1318" s="86">
        <f t="shared" si="20"/>
        <v>1314</v>
      </c>
      <c r="B1318" s="92"/>
      <c r="C1318" s="190"/>
      <c r="D1318" s="164"/>
      <c r="E1318" s="103"/>
      <c r="F1318" s="92" t="s">
        <v>1752</v>
      </c>
      <c r="G1318" s="89"/>
      <c r="H1318" s="89"/>
      <c r="I1318" s="97"/>
      <c r="J1318" s="147"/>
      <c r="K1318" s="97"/>
      <c r="L1318" s="97"/>
      <c r="M1318" s="97"/>
      <c r="N1318" s="97"/>
      <c r="O1318" s="89"/>
      <c r="P1318" s="89"/>
      <c r="Q1318" s="90"/>
      <c r="R1318" s="98"/>
      <c r="S1318" s="98"/>
      <c r="T1318" s="98"/>
      <c r="U1318" s="91"/>
    </row>
    <row r="1319" spans="1:21" x14ac:dyDescent="0.4">
      <c r="A1319" s="86">
        <f t="shared" si="20"/>
        <v>1315</v>
      </c>
      <c r="B1319" s="92"/>
      <c r="C1319" s="190"/>
      <c r="D1319" s="164"/>
      <c r="E1319" s="103"/>
      <c r="F1319" s="92"/>
      <c r="G1319" s="92" t="s">
        <v>110</v>
      </c>
      <c r="H1319" s="89"/>
      <c r="I1319" s="97"/>
      <c r="J1319" s="147"/>
      <c r="K1319" s="97"/>
      <c r="L1319" s="97"/>
      <c r="M1319" s="97"/>
      <c r="N1319" s="97"/>
      <c r="O1319" s="89"/>
      <c r="P1319" s="89"/>
      <c r="Q1319" s="90"/>
      <c r="R1319" s="98"/>
      <c r="S1319" s="98"/>
      <c r="T1319" s="98"/>
      <c r="U1319" s="91"/>
    </row>
    <row r="1320" spans="1:21" x14ac:dyDescent="0.4">
      <c r="A1320" s="86">
        <f t="shared" si="20"/>
        <v>1316</v>
      </c>
      <c r="B1320" s="92"/>
      <c r="C1320" s="190"/>
      <c r="D1320" s="164"/>
      <c r="E1320" s="103"/>
      <c r="F1320" s="92"/>
      <c r="G1320" s="103"/>
      <c r="H1320" s="87" t="s">
        <v>2987</v>
      </c>
      <c r="I1320" s="97"/>
      <c r="J1320" s="147"/>
      <c r="K1320" s="97"/>
      <c r="L1320" s="97"/>
      <c r="M1320" s="97"/>
      <c r="N1320" s="97"/>
      <c r="O1320" s="89"/>
      <c r="P1320" s="89"/>
      <c r="Q1320" s="90"/>
      <c r="R1320" s="98"/>
      <c r="S1320" s="98"/>
      <c r="T1320" s="98"/>
      <c r="U1320" s="91"/>
    </row>
    <row r="1321" spans="1:21" x14ac:dyDescent="0.4">
      <c r="A1321" s="86">
        <f t="shared" si="20"/>
        <v>1317</v>
      </c>
      <c r="B1321" s="92"/>
      <c r="C1321" s="190"/>
      <c r="D1321" s="164"/>
      <c r="E1321" s="103"/>
      <c r="F1321" s="92"/>
      <c r="G1321" s="103"/>
      <c r="H1321" s="103"/>
      <c r="I1321" s="87" t="s">
        <v>2988</v>
      </c>
      <c r="J1321" s="147"/>
      <c r="K1321" s="97"/>
      <c r="L1321" s="97"/>
      <c r="M1321" s="97"/>
      <c r="N1321" s="97"/>
      <c r="O1321" s="89"/>
      <c r="P1321" s="89"/>
      <c r="Q1321" s="90"/>
      <c r="R1321" s="98"/>
      <c r="S1321" s="98"/>
      <c r="T1321" s="98"/>
      <c r="U1321" s="91"/>
    </row>
    <row r="1322" spans="1:21" x14ac:dyDescent="0.4">
      <c r="A1322" s="86">
        <f t="shared" si="20"/>
        <v>1318</v>
      </c>
      <c r="B1322" s="92"/>
      <c r="C1322" s="190"/>
      <c r="D1322" s="164"/>
      <c r="E1322" s="103"/>
      <c r="F1322" s="92"/>
      <c r="G1322" s="103"/>
      <c r="H1322" s="103"/>
      <c r="I1322" s="103"/>
      <c r="J1322" s="145" t="s">
        <v>2916</v>
      </c>
      <c r="K1322" s="145"/>
      <c r="L1322" s="145"/>
      <c r="M1322" s="145"/>
      <c r="N1322" s="145"/>
      <c r="O1322" s="100"/>
      <c r="P1322" s="100"/>
      <c r="Q1322" s="101"/>
      <c r="R1322" s="93" t="s">
        <v>2927</v>
      </c>
      <c r="S1322" s="93"/>
      <c r="T1322" s="93" t="s">
        <v>10</v>
      </c>
      <c r="U1322" s="94"/>
    </row>
    <row r="1323" spans="1:21" x14ac:dyDescent="0.4">
      <c r="A1323" s="86">
        <f t="shared" si="20"/>
        <v>1319</v>
      </c>
      <c r="B1323" s="92"/>
      <c r="C1323" s="190"/>
      <c r="D1323" s="164"/>
      <c r="E1323" s="103"/>
      <c r="F1323" s="92"/>
      <c r="G1323" s="103"/>
      <c r="H1323" s="103"/>
      <c r="I1323" s="87" t="s">
        <v>2989</v>
      </c>
      <c r="J1323" s="147"/>
      <c r="K1323" s="97"/>
      <c r="L1323" s="97"/>
      <c r="M1323" s="97"/>
      <c r="N1323" s="97"/>
      <c r="O1323" s="89"/>
      <c r="P1323" s="89"/>
      <c r="Q1323" s="90"/>
      <c r="R1323" s="98"/>
      <c r="S1323" s="98"/>
      <c r="T1323" s="98"/>
      <c r="U1323" s="91"/>
    </row>
    <row r="1324" spans="1:21" x14ac:dyDescent="0.4">
      <c r="A1324" s="86">
        <f t="shared" si="20"/>
        <v>1320</v>
      </c>
      <c r="B1324" s="92"/>
      <c r="C1324" s="190"/>
      <c r="D1324" s="164"/>
      <c r="E1324" s="103"/>
      <c r="F1324" s="92"/>
      <c r="G1324" s="103"/>
      <c r="H1324" s="103"/>
      <c r="I1324" s="103"/>
      <c r="J1324" s="145" t="s">
        <v>2916</v>
      </c>
      <c r="K1324" s="145"/>
      <c r="L1324" s="145"/>
      <c r="M1324" s="145"/>
      <c r="N1324" s="145"/>
      <c r="O1324" s="100"/>
      <c r="P1324" s="100"/>
      <c r="Q1324" s="101"/>
      <c r="R1324" s="93" t="s">
        <v>2982</v>
      </c>
      <c r="S1324" s="93"/>
      <c r="T1324" s="93" t="s">
        <v>9</v>
      </c>
      <c r="U1324" s="94"/>
    </row>
    <row r="1325" spans="1:21" x14ac:dyDescent="0.4">
      <c r="A1325" s="86">
        <f t="shared" si="20"/>
        <v>1321</v>
      </c>
      <c r="B1325" s="92"/>
      <c r="C1325" s="190"/>
      <c r="D1325" s="164"/>
      <c r="E1325" s="103"/>
      <c r="F1325" s="92"/>
      <c r="G1325" s="103"/>
      <c r="H1325" s="103"/>
      <c r="I1325" s="87" t="s">
        <v>2990</v>
      </c>
      <c r="J1325" s="147"/>
      <c r="K1325" s="97"/>
      <c r="L1325" s="97"/>
      <c r="M1325" s="97"/>
      <c r="N1325" s="97"/>
      <c r="O1325" s="89"/>
      <c r="P1325" s="89"/>
      <c r="Q1325" s="90"/>
      <c r="R1325" s="98"/>
      <c r="S1325" s="98"/>
      <c r="T1325" s="98"/>
      <c r="U1325" s="91"/>
    </row>
    <row r="1326" spans="1:21" x14ac:dyDescent="0.4">
      <c r="A1326" s="86">
        <f t="shared" si="20"/>
        <v>1322</v>
      </c>
      <c r="B1326" s="92"/>
      <c r="C1326" s="190"/>
      <c r="D1326" s="164"/>
      <c r="E1326" s="103"/>
      <c r="F1326" s="92"/>
      <c r="G1326" s="103"/>
      <c r="H1326" s="103"/>
      <c r="I1326" s="103"/>
      <c r="J1326" s="70" t="s">
        <v>2916</v>
      </c>
      <c r="O1326" s="100"/>
      <c r="P1326" s="100"/>
      <c r="Q1326" s="101"/>
      <c r="R1326" s="93" t="s">
        <v>2982</v>
      </c>
      <c r="S1326" s="93"/>
      <c r="T1326" s="93" t="s">
        <v>9</v>
      </c>
      <c r="U1326" s="94"/>
    </row>
    <row r="1327" spans="1:21" x14ac:dyDescent="0.4">
      <c r="A1327" s="86">
        <f t="shared" si="20"/>
        <v>1323</v>
      </c>
      <c r="B1327" s="92"/>
      <c r="C1327" s="190"/>
      <c r="D1327" s="164"/>
      <c r="E1327" s="103"/>
      <c r="F1327" s="92"/>
      <c r="G1327" s="87" t="s">
        <v>2991</v>
      </c>
      <c r="H1327" s="89"/>
      <c r="I1327" s="89"/>
      <c r="J1327" s="151"/>
      <c r="K1327" s="89"/>
      <c r="L1327" s="89"/>
      <c r="M1327" s="89"/>
      <c r="N1327" s="89"/>
      <c r="O1327" s="89"/>
      <c r="P1327" s="89"/>
      <c r="Q1327" s="90"/>
      <c r="R1327" s="98"/>
      <c r="S1327" s="98"/>
      <c r="T1327" s="98"/>
      <c r="U1327" s="91"/>
    </row>
    <row r="1328" spans="1:21" x14ac:dyDescent="0.4">
      <c r="A1328" s="86">
        <f t="shared" si="20"/>
        <v>1324</v>
      </c>
      <c r="B1328" s="92"/>
      <c r="C1328" s="190"/>
      <c r="D1328" s="164"/>
      <c r="E1328" s="103"/>
      <c r="F1328" s="92"/>
      <c r="G1328" s="103"/>
      <c r="H1328" s="87" t="s">
        <v>2992</v>
      </c>
      <c r="I1328" s="97"/>
      <c r="J1328" s="147"/>
      <c r="K1328" s="97"/>
      <c r="L1328" s="97"/>
      <c r="M1328" s="97"/>
      <c r="N1328" s="97"/>
      <c r="O1328" s="89"/>
      <c r="P1328" s="89"/>
      <c r="Q1328" s="90"/>
      <c r="R1328" s="98"/>
      <c r="S1328" s="98"/>
      <c r="T1328" s="98"/>
      <c r="U1328" s="91"/>
    </row>
    <row r="1329" spans="1:21" x14ac:dyDescent="0.4">
      <c r="A1329" s="86">
        <f t="shared" si="20"/>
        <v>1325</v>
      </c>
      <c r="B1329" s="92"/>
      <c r="C1329" s="190"/>
      <c r="D1329" s="164"/>
      <c r="E1329" s="103"/>
      <c r="F1329" s="92"/>
      <c r="G1329" s="103"/>
      <c r="H1329" s="103"/>
      <c r="I1329" s="145" t="s">
        <v>2916</v>
      </c>
      <c r="J1329" s="145"/>
      <c r="K1329" s="145"/>
      <c r="L1329" s="145"/>
      <c r="M1329" s="145"/>
      <c r="N1329" s="145"/>
      <c r="O1329" s="100"/>
      <c r="P1329" s="100"/>
      <c r="Q1329" s="101"/>
      <c r="R1329" s="93" t="s">
        <v>2982</v>
      </c>
      <c r="S1329" s="93"/>
      <c r="T1329" s="93" t="s">
        <v>9</v>
      </c>
      <c r="U1329" s="94"/>
    </row>
    <row r="1330" spans="1:21" x14ac:dyDescent="0.4">
      <c r="A1330" s="86">
        <f t="shared" si="20"/>
        <v>1326</v>
      </c>
      <c r="B1330" s="92"/>
      <c r="C1330" s="190"/>
      <c r="D1330" s="164"/>
      <c r="E1330" s="103"/>
      <c r="F1330" s="92"/>
      <c r="G1330" s="87" t="s">
        <v>2993</v>
      </c>
      <c r="H1330" s="89"/>
      <c r="I1330" s="97"/>
      <c r="J1330" s="147"/>
      <c r="K1330" s="97"/>
      <c r="L1330" s="97"/>
      <c r="M1330" s="97"/>
      <c r="N1330" s="97"/>
      <c r="O1330" s="89"/>
      <c r="P1330" s="89"/>
      <c r="Q1330" s="90"/>
      <c r="R1330" s="98"/>
      <c r="S1330" s="98"/>
      <c r="T1330" s="98"/>
      <c r="U1330" s="91"/>
    </row>
    <row r="1331" spans="1:21" x14ac:dyDescent="0.4">
      <c r="A1331" s="86">
        <f t="shared" si="20"/>
        <v>1327</v>
      </c>
      <c r="B1331" s="92"/>
      <c r="C1331" s="190"/>
      <c r="D1331" s="164"/>
      <c r="E1331" s="103"/>
      <c r="F1331" s="92"/>
      <c r="G1331" s="103"/>
      <c r="H1331" s="103" t="s">
        <v>2994</v>
      </c>
      <c r="I1331" s="102"/>
      <c r="J1331" s="147"/>
      <c r="K1331" s="97"/>
      <c r="L1331" s="97"/>
      <c r="M1331" s="97"/>
      <c r="N1331" s="97"/>
      <c r="O1331" s="89"/>
      <c r="P1331" s="89"/>
      <c r="Q1331" s="90"/>
      <c r="R1331" s="98"/>
      <c r="S1331" s="98"/>
      <c r="T1331" s="98"/>
      <c r="U1331" s="91"/>
    </row>
    <row r="1332" spans="1:21" x14ac:dyDescent="0.4">
      <c r="A1332" s="86">
        <f t="shared" si="20"/>
        <v>1328</v>
      </c>
      <c r="B1332" s="92"/>
      <c r="C1332" s="190"/>
      <c r="D1332" s="164"/>
      <c r="E1332" s="103"/>
      <c r="F1332" s="92"/>
      <c r="G1332" s="103"/>
      <c r="H1332" s="103"/>
      <c r="I1332" s="87" t="s">
        <v>2995</v>
      </c>
      <c r="J1332" s="147"/>
      <c r="K1332" s="97"/>
      <c r="L1332" s="97"/>
      <c r="M1332" s="97"/>
      <c r="N1332" s="97"/>
      <c r="O1332" s="89"/>
      <c r="P1332" s="89"/>
      <c r="Q1332" s="90"/>
      <c r="R1332" s="98"/>
      <c r="S1332" s="98"/>
      <c r="T1332" s="98"/>
      <c r="U1332" s="91"/>
    </row>
    <row r="1333" spans="1:21" x14ac:dyDescent="0.4">
      <c r="A1333" s="86">
        <f t="shared" si="20"/>
        <v>1329</v>
      </c>
      <c r="B1333" s="92"/>
      <c r="C1333" s="190"/>
      <c r="D1333" s="164"/>
      <c r="E1333" s="103"/>
      <c r="F1333" s="92"/>
      <c r="G1333" s="103"/>
      <c r="H1333" s="103"/>
      <c r="I1333" s="107"/>
      <c r="J1333" s="145" t="s">
        <v>2916</v>
      </c>
      <c r="K1333" s="145"/>
      <c r="L1333" s="145"/>
      <c r="M1333" s="145"/>
      <c r="N1333" s="145"/>
      <c r="O1333" s="100"/>
      <c r="P1333" s="100"/>
      <c r="Q1333" s="101"/>
      <c r="R1333" s="93" t="s">
        <v>2982</v>
      </c>
      <c r="S1333" s="93"/>
      <c r="T1333" s="93" t="s">
        <v>9</v>
      </c>
      <c r="U1333" s="94"/>
    </row>
    <row r="1334" spans="1:21" x14ac:dyDescent="0.4">
      <c r="A1334" s="86">
        <f t="shared" si="20"/>
        <v>1330</v>
      </c>
      <c r="B1334" s="92"/>
      <c r="C1334" s="190"/>
      <c r="D1334" s="164"/>
      <c r="E1334" s="103"/>
      <c r="F1334" s="92"/>
      <c r="G1334" s="87" t="s">
        <v>3002</v>
      </c>
      <c r="H1334" s="89"/>
      <c r="I1334" s="97"/>
      <c r="J1334" s="147"/>
      <c r="K1334" s="97"/>
      <c r="L1334" s="97"/>
      <c r="M1334" s="97"/>
      <c r="N1334" s="97"/>
      <c r="O1334" s="89"/>
      <c r="P1334" s="89"/>
      <c r="Q1334" s="90"/>
      <c r="R1334" s="98"/>
      <c r="S1334" s="98"/>
      <c r="T1334" s="98"/>
      <c r="U1334" s="91"/>
    </row>
    <row r="1335" spans="1:21" x14ac:dyDescent="0.4">
      <c r="A1335" s="86">
        <f t="shared" si="20"/>
        <v>1331</v>
      </c>
      <c r="B1335" s="92"/>
      <c r="C1335" s="190"/>
      <c r="D1335" s="164"/>
      <c r="E1335" s="103"/>
      <c r="F1335" s="92"/>
      <c r="G1335" s="103"/>
      <c r="H1335" s="99" t="s">
        <v>3003</v>
      </c>
      <c r="I1335" s="145"/>
      <c r="J1335" s="146"/>
      <c r="K1335" s="145"/>
      <c r="L1335" s="145"/>
      <c r="M1335" s="145"/>
      <c r="N1335" s="145"/>
      <c r="O1335" s="100"/>
      <c r="P1335" s="100"/>
      <c r="Q1335" s="101"/>
      <c r="R1335" s="93" t="s">
        <v>20</v>
      </c>
      <c r="S1335" s="93"/>
      <c r="T1335" s="93" t="s">
        <v>20</v>
      </c>
      <c r="U1335" s="94"/>
    </row>
    <row r="1336" spans="1:21" x14ac:dyDescent="0.4">
      <c r="A1336" s="86">
        <f t="shared" si="20"/>
        <v>1332</v>
      </c>
      <c r="B1336" s="92"/>
      <c r="C1336" s="190"/>
      <c r="D1336" s="164"/>
      <c r="E1336" s="103"/>
      <c r="F1336" s="92"/>
      <c r="G1336" s="107"/>
      <c r="H1336" s="99" t="s">
        <v>3004</v>
      </c>
      <c r="I1336" s="145"/>
      <c r="J1336" s="146"/>
      <c r="K1336" s="145"/>
      <c r="L1336" s="145"/>
      <c r="M1336" s="145"/>
      <c r="N1336" s="145"/>
      <c r="O1336" s="100"/>
      <c r="P1336" s="100"/>
      <c r="Q1336" s="101"/>
      <c r="R1336" s="93" t="s">
        <v>36</v>
      </c>
      <c r="S1336" s="93"/>
      <c r="T1336" s="93" t="s">
        <v>36</v>
      </c>
      <c r="U1336" s="94"/>
    </row>
    <row r="1337" spans="1:21" x14ac:dyDescent="0.4">
      <c r="A1337" s="86">
        <f t="shared" si="20"/>
        <v>1333</v>
      </c>
      <c r="B1337" s="105"/>
      <c r="C1337" s="189"/>
      <c r="D1337" s="186" t="s">
        <v>3006</v>
      </c>
      <c r="E1337" s="187"/>
      <c r="F1337" s="187"/>
      <c r="G1337" s="160"/>
      <c r="H1337" s="160"/>
      <c r="I1337" s="160"/>
      <c r="J1337" s="160"/>
      <c r="K1337" s="160"/>
      <c r="L1337" s="160"/>
      <c r="M1337" s="160"/>
      <c r="N1337" s="160"/>
      <c r="O1337" s="160"/>
      <c r="P1337" s="160"/>
      <c r="Q1337" s="161"/>
      <c r="R1337" s="162"/>
      <c r="S1337" s="162"/>
      <c r="T1337" s="162"/>
      <c r="U1337" s="163"/>
    </row>
    <row r="1338" spans="1:21" x14ac:dyDescent="0.4">
      <c r="A1338" s="86">
        <f t="shared" si="20"/>
        <v>1334</v>
      </c>
      <c r="B1338" s="92"/>
      <c r="C1338" s="190"/>
      <c r="D1338" s="164"/>
      <c r="E1338" s="87" t="s">
        <v>3007</v>
      </c>
      <c r="F1338" s="89"/>
      <c r="G1338" s="97"/>
      <c r="H1338" s="147"/>
      <c r="I1338" s="97"/>
      <c r="J1338" s="97"/>
      <c r="K1338" s="97"/>
      <c r="L1338" s="97"/>
      <c r="M1338" s="97"/>
      <c r="N1338" s="97"/>
      <c r="O1338" s="89"/>
      <c r="P1338" s="89"/>
      <c r="Q1338" s="90"/>
      <c r="R1338" s="98"/>
      <c r="S1338" s="98"/>
      <c r="T1338" s="98"/>
      <c r="U1338" s="91"/>
    </row>
    <row r="1339" spans="1:21" x14ac:dyDescent="0.4">
      <c r="A1339" s="86">
        <f t="shared" si="20"/>
        <v>1335</v>
      </c>
      <c r="B1339" s="92"/>
      <c r="C1339" s="190"/>
      <c r="D1339" s="164"/>
      <c r="E1339" s="103"/>
      <c r="F1339" s="109" t="s">
        <v>3008</v>
      </c>
      <c r="G1339" s="112"/>
      <c r="I1339" s="112"/>
      <c r="J1339" s="195"/>
      <c r="O1339" s="112"/>
      <c r="P1339" s="112"/>
      <c r="Q1339" s="183"/>
      <c r="R1339" s="93" t="s">
        <v>2982</v>
      </c>
      <c r="S1339" s="93"/>
      <c r="T1339" s="93" t="s">
        <v>9</v>
      </c>
      <c r="U1339" s="94"/>
    </row>
    <row r="1340" spans="1:21" x14ac:dyDescent="0.4">
      <c r="A1340" s="86">
        <f t="shared" si="20"/>
        <v>1336</v>
      </c>
      <c r="B1340" s="92"/>
      <c r="C1340" s="190"/>
      <c r="D1340" s="164"/>
      <c r="E1340" s="103"/>
      <c r="F1340" s="99" t="s">
        <v>3009</v>
      </c>
      <c r="G1340" s="100"/>
      <c r="H1340" s="100"/>
      <c r="I1340" s="100"/>
      <c r="J1340" s="100"/>
      <c r="K1340" s="100"/>
      <c r="L1340" s="100"/>
      <c r="M1340" s="100"/>
      <c r="N1340" s="100"/>
      <c r="O1340" s="100"/>
      <c r="P1340" s="100"/>
      <c r="Q1340" s="101"/>
      <c r="R1340" s="93" t="s">
        <v>2982</v>
      </c>
      <c r="S1340" s="93"/>
      <c r="T1340" s="93" t="s">
        <v>9</v>
      </c>
      <c r="U1340" s="94"/>
    </row>
    <row r="1341" spans="1:21" x14ac:dyDescent="0.4">
      <c r="A1341" s="86">
        <f t="shared" si="20"/>
        <v>1337</v>
      </c>
      <c r="B1341" s="105"/>
      <c r="C1341" s="189"/>
      <c r="D1341" s="186" t="s">
        <v>1753</v>
      </c>
      <c r="E1341" s="187"/>
      <c r="F1341" s="187"/>
      <c r="G1341" s="160"/>
      <c r="H1341" s="160"/>
      <c r="I1341" s="160"/>
      <c r="J1341" s="160"/>
      <c r="K1341" s="160"/>
      <c r="L1341" s="160"/>
      <c r="M1341" s="160"/>
      <c r="N1341" s="160"/>
      <c r="O1341" s="160"/>
      <c r="P1341" s="160"/>
      <c r="Q1341" s="161"/>
      <c r="R1341" s="162"/>
      <c r="S1341" s="162"/>
      <c r="T1341" s="162"/>
      <c r="U1341" s="163"/>
    </row>
    <row r="1342" spans="1:21" x14ac:dyDescent="0.4">
      <c r="A1342" s="86">
        <f t="shared" si="20"/>
        <v>1338</v>
      </c>
      <c r="B1342" s="92"/>
      <c r="C1342" s="190"/>
      <c r="D1342" s="164"/>
      <c r="E1342" s="87" t="s">
        <v>3010</v>
      </c>
      <c r="F1342" s="89"/>
      <c r="G1342" s="97"/>
      <c r="H1342" s="147"/>
      <c r="I1342" s="97"/>
      <c r="J1342" s="97"/>
      <c r="K1342" s="97"/>
      <c r="L1342" s="97"/>
      <c r="M1342" s="97"/>
      <c r="N1342" s="97"/>
      <c r="O1342" s="89"/>
      <c r="P1342" s="89"/>
      <c r="Q1342" s="90"/>
      <c r="R1342" s="98"/>
      <c r="S1342" s="98"/>
      <c r="T1342" s="98"/>
      <c r="U1342" s="91"/>
    </row>
    <row r="1343" spans="1:21" x14ac:dyDescent="0.4">
      <c r="A1343" s="86">
        <f t="shared" si="20"/>
        <v>1339</v>
      </c>
      <c r="B1343" s="92"/>
      <c r="C1343" s="190"/>
      <c r="D1343" s="164"/>
      <c r="E1343" s="103"/>
      <c r="F1343" s="87" t="s">
        <v>3011</v>
      </c>
      <c r="G1343" s="88"/>
      <c r="H1343" s="105"/>
      <c r="I1343" s="88"/>
      <c r="J1343" s="153"/>
      <c r="K1343" s="105"/>
      <c r="L1343" s="105"/>
      <c r="M1343" s="105"/>
      <c r="N1343" s="105"/>
      <c r="O1343" s="88"/>
      <c r="P1343" s="88"/>
      <c r="Q1343" s="95"/>
      <c r="R1343" s="98"/>
      <c r="S1343" s="93"/>
      <c r="T1343" s="98"/>
      <c r="U1343" s="91"/>
    </row>
    <row r="1344" spans="1:21" x14ac:dyDescent="0.4">
      <c r="A1344" s="86">
        <f t="shared" si="20"/>
        <v>1340</v>
      </c>
      <c r="B1344" s="92"/>
      <c r="C1344" s="190"/>
      <c r="D1344" s="164"/>
      <c r="E1344" s="103"/>
      <c r="F1344" s="103"/>
      <c r="G1344" s="100" t="s">
        <v>3012</v>
      </c>
      <c r="H1344" s="100"/>
      <c r="I1344" s="100"/>
      <c r="J1344" s="100"/>
      <c r="K1344" s="100"/>
      <c r="L1344" s="100"/>
      <c r="M1344" s="100"/>
      <c r="N1344" s="100"/>
      <c r="O1344" s="100"/>
      <c r="P1344" s="100"/>
      <c r="Q1344" s="101"/>
      <c r="R1344" s="93"/>
      <c r="S1344" s="93"/>
      <c r="T1344" s="93"/>
      <c r="U1344" s="94"/>
    </row>
    <row r="1345" spans="1:21" x14ac:dyDescent="0.4">
      <c r="A1345" s="86">
        <f t="shared" si="20"/>
        <v>1341</v>
      </c>
      <c r="B1345" s="92"/>
      <c r="C1345" s="190"/>
      <c r="D1345" s="164"/>
      <c r="E1345" s="103"/>
      <c r="F1345" s="92"/>
      <c r="G1345" s="99" t="s">
        <v>3013</v>
      </c>
      <c r="H1345" s="100"/>
      <c r="I1345" s="100"/>
      <c r="J1345" s="100"/>
      <c r="K1345" s="100"/>
      <c r="L1345" s="100"/>
      <c r="M1345" s="100"/>
      <c r="N1345" s="100"/>
      <c r="O1345" s="100"/>
      <c r="P1345" s="100"/>
      <c r="Q1345" s="101"/>
      <c r="R1345" s="93"/>
      <c r="S1345" s="93"/>
      <c r="T1345" s="93"/>
      <c r="U1345" s="94"/>
    </row>
    <row r="1346" spans="1:21" x14ac:dyDescent="0.4">
      <c r="A1346" s="86">
        <f t="shared" si="20"/>
        <v>1342</v>
      </c>
      <c r="B1346" s="92"/>
      <c r="C1346" s="190"/>
      <c r="D1346" s="164"/>
      <c r="E1346" s="103"/>
      <c r="F1346" s="87" t="s">
        <v>3014</v>
      </c>
      <c r="G1346" s="88"/>
      <c r="H1346" s="105"/>
      <c r="I1346" s="88"/>
      <c r="J1346" s="153"/>
      <c r="K1346" s="105"/>
      <c r="L1346" s="105"/>
      <c r="M1346" s="105"/>
      <c r="N1346" s="105"/>
      <c r="O1346" s="88"/>
      <c r="P1346" s="88"/>
      <c r="Q1346" s="95"/>
      <c r="R1346" s="98"/>
      <c r="S1346" s="93"/>
      <c r="T1346" s="98"/>
      <c r="U1346" s="91"/>
    </row>
    <row r="1347" spans="1:21" x14ac:dyDescent="0.4">
      <c r="A1347" s="86">
        <f t="shared" si="20"/>
        <v>1343</v>
      </c>
      <c r="B1347" s="92"/>
      <c r="C1347" s="190"/>
      <c r="D1347" s="164"/>
      <c r="E1347" s="103"/>
      <c r="F1347" s="103"/>
      <c r="G1347" s="100" t="s">
        <v>1753</v>
      </c>
      <c r="H1347" s="100"/>
      <c r="I1347" s="100"/>
      <c r="J1347" s="100"/>
      <c r="K1347" s="100"/>
      <c r="L1347" s="100"/>
      <c r="M1347" s="100"/>
      <c r="N1347" s="100"/>
      <c r="O1347" s="100"/>
      <c r="P1347" s="100"/>
      <c r="Q1347" s="101"/>
      <c r="R1347" s="93"/>
      <c r="S1347" s="93"/>
      <c r="T1347" s="93"/>
      <c r="U1347" s="94"/>
    </row>
    <row r="1348" spans="1:21" x14ac:dyDescent="0.4">
      <c r="A1348" s="86">
        <f t="shared" si="20"/>
        <v>1344</v>
      </c>
      <c r="B1348" s="105"/>
      <c r="C1348" s="189"/>
      <c r="D1348" s="186" t="s">
        <v>25</v>
      </c>
      <c r="E1348" s="187"/>
      <c r="F1348" s="187"/>
      <c r="G1348" s="160"/>
      <c r="H1348" s="160"/>
      <c r="I1348" s="160"/>
      <c r="J1348" s="160"/>
      <c r="K1348" s="160"/>
      <c r="L1348" s="160"/>
      <c r="M1348" s="160"/>
      <c r="N1348" s="160"/>
      <c r="O1348" s="160"/>
      <c r="P1348" s="160"/>
      <c r="Q1348" s="161"/>
      <c r="R1348" s="162"/>
      <c r="S1348" s="162"/>
      <c r="T1348" s="162"/>
      <c r="U1348" s="163"/>
    </row>
    <row r="1349" spans="1:21" x14ac:dyDescent="0.4">
      <c r="A1349" s="86">
        <f>A1348+1</f>
        <v>1345</v>
      </c>
      <c r="B1349" s="92"/>
      <c r="C1349" s="190"/>
      <c r="D1349" s="164"/>
      <c r="E1349" s="87" t="s">
        <v>3015</v>
      </c>
      <c r="F1349" s="89"/>
      <c r="G1349" s="97"/>
      <c r="H1349" s="147"/>
      <c r="I1349" s="97"/>
      <c r="J1349" s="97"/>
      <c r="K1349" s="97"/>
      <c r="L1349" s="97"/>
      <c r="M1349" s="97"/>
      <c r="N1349" s="97"/>
      <c r="O1349" s="89"/>
      <c r="P1349" s="89"/>
      <c r="Q1349" s="90"/>
      <c r="R1349" s="98"/>
      <c r="S1349" s="98"/>
      <c r="T1349" s="98"/>
      <c r="U1349" s="91"/>
    </row>
    <row r="1350" spans="1:21" x14ac:dyDescent="0.4">
      <c r="A1350" s="86">
        <f>A1349+1</f>
        <v>1346</v>
      </c>
      <c r="B1350" s="92"/>
      <c r="C1350" s="190"/>
      <c r="D1350" s="164"/>
      <c r="E1350" s="103"/>
      <c r="F1350" s="109" t="s">
        <v>23</v>
      </c>
      <c r="G1350" s="112"/>
      <c r="I1350" s="112"/>
      <c r="J1350" s="195"/>
      <c r="O1350" s="112"/>
      <c r="P1350" s="112"/>
      <c r="Q1350" s="183"/>
      <c r="R1350" s="184"/>
      <c r="S1350" s="184"/>
      <c r="T1350" s="184"/>
      <c r="U1350" s="185"/>
    </row>
    <row r="1351" spans="1:21" x14ac:dyDescent="0.4">
      <c r="A1351" s="86">
        <f t="shared" ref="A1351:A1352" si="21">A1350+1</f>
        <v>1347</v>
      </c>
      <c r="B1351" s="92"/>
      <c r="C1351" s="190"/>
      <c r="D1351" s="164"/>
      <c r="E1351" s="103"/>
      <c r="F1351" s="99" t="s">
        <v>3015</v>
      </c>
      <c r="G1351" s="100"/>
      <c r="H1351" s="100"/>
      <c r="I1351" s="100"/>
      <c r="J1351" s="100"/>
      <c r="K1351" s="100"/>
      <c r="L1351" s="100"/>
      <c r="M1351" s="100"/>
      <c r="N1351" s="100"/>
      <c r="O1351" s="100"/>
      <c r="P1351" s="100"/>
      <c r="Q1351" s="100"/>
      <c r="R1351" s="184"/>
      <c r="S1351" s="184"/>
      <c r="T1351" s="184"/>
      <c r="U1351" s="185"/>
    </row>
    <row r="1352" spans="1:21" x14ac:dyDescent="0.4">
      <c r="A1352" s="86">
        <f t="shared" si="21"/>
        <v>1348</v>
      </c>
      <c r="B1352" s="92"/>
      <c r="C1352" s="190"/>
      <c r="D1352" s="164"/>
      <c r="E1352" s="103"/>
      <c r="F1352" s="99" t="s">
        <v>25</v>
      </c>
      <c r="G1352" s="100"/>
      <c r="H1352" s="100"/>
      <c r="I1352" s="100"/>
      <c r="J1352" s="100"/>
      <c r="K1352" s="100"/>
      <c r="L1352" s="100"/>
      <c r="M1352" s="100"/>
      <c r="N1352" s="100"/>
      <c r="O1352" s="100"/>
      <c r="P1352" s="100"/>
      <c r="Q1352" s="100"/>
      <c r="R1352" s="184"/>
      <c r="S1352" s="184"/>
      <c r="T1352" s="184"/>
      <c r="U1352" s="185"/>
    </row>
    <row r="1353" spans="1:21" x14ac:dyDescent="0.4">
      <c r="A1353" s="86">
        <f>A1352+1</f>
        <v>1349</v>
      </c>
      <c r="B1353" s="102"/>
      <c r="C1353" s="192"/>
      <c r="D1353" s="193"/>
      <c r="E1353" s="107"/>
      <c r="F1353" s="99" t="s">
        <v>3016</v>
      </c>
      <c r="G1353" s="100"/>
      <c r="H1353" s="100"/>
      <c r="I1353" s="100"/>
      <c r="J1353" s="100"/>
      <c r="K1353" s="100"/>
      <c r="L1353" s="100"/>
      <c r="M1353" s="100"/>
      <c r="N1353" s="100"/>
      <c r="O1353" s="100"/>
      <c r="P1353" s="100"/>
      <c r="Q1353" s="100"/>
      <c r="R1353" s="93"/>
      <c r="S1353" s="93"/>
      <c r="T1353" s="93"/>
      <c r="U1353" s="94"/>
    </row>
  </sheetData>
  <phoneticPr fontId="1"/>
  <conditionalFormatting sqref="S6:S11">
    <cfRule type="expression" dxfId="17" priority="4">
      <formula>$R6&lt;&gt;$S6</formula>
    </cfRule>
  </conditionalFormatting>
  <conditionalFormatting sqref="T5:T281 T283:T286 T288:T1353">
    <cfRule type="expression" dxfId="16" priority="5">
      <formula>$R5&lt;&gt;$T5</formula>
    </cfRule>
  </conditionalFormatting>
  <dataValidations count="8">
    <dataValidation type="list" allowBlank="1" showInputMessage="1" showErrorMessage="1" sqref="T323 T328 T332 T336 T340 T407 T349 T353 T356 T360 T364 T369 T373 T378 T345 T386 T390 T382 T397 T394 T403 T400 T412 T417 T421 T425 T429 T496 T438 T442 T445 T449 T453 T458 T462 T467 T434 T475 T479 T471 T486 T483 T492 T489 T501 T506 T510 T514 T518 T585 T527 T531 T534 T538 T542 T547 T551 T556 T523 T564 T568 T560 T575 T572 T581 T578 T590 T595 T599 T603 T607 T674 T616 T620 T623 T627 T631 T636 T640 T645 T612 T653 T657 T649 T664 T661 T670 T667 T679 T684 T688 T692 T696 T763 T705 T709 T712 T716 T720 T725 T729 T734 T701 T742 T746 T738 T753 T750 T759 T756 T768:T769 T774 T778 T782 T786 T854 T795 T799 T802 T806 T810 T815 T819 T824 T791 T833 T837 T828:T829 T844 T841 T850 T847 T859 T864 T868 T872 T876 T943 T885 T889 T892 T896 T900 T905 T909 T914 T881 T922 T926 T918 T933 T930 T939 T936 T948 T953 T957 T961 T965 T1032 T974 T978 T981 T985 T989 T994 T998 T1003 T970 T1011 T1015 T1007 T1022 T1019 T1028 T1025 T1037 T1042 T1046 T1050 T1054 T1121 T1063 T1067 T1070 T1074 T1078 T1083 T1087 T1092 T1059 T1100 T1104 T1096 T1111 T1108 T1117 T1114 T1126 T1131 T1135 T1139 T1143 T1210 T1152 T1156 T1159 T1163 T1167 T1172 T1176 T1181 T1148 T1189 T1193 T1185 T1200 T1197 T1206 T1203 T1215 T1220 T1224 T1228 T1232 T1299 T1241 T1245 T1248 T1252 T1256 T1261 T1265 T1270 T1237 T1278 T1282 T1274 T1289 T1286 T1295 T1292 T21:T22 T28:T29 T34:T37 T57:T58 T62 T65:T66 T68:T69 T76 T115 R115 R76 R68:R69 R65:R66 R62 R57:R58 R34:R37 R28:R29 R21:R22 R214 R216 R829 R769 T223:T225 R223:R225 T251 T245:T248 T1317 T122:T123 R122:R123 T216 T214 T193:T194 T187:T188 T180:T182 T170 T168 T147:T148 T141:T142 R141:R142 R147:R148 R168 R170 R180:R182 R187:R188 R193:R194 T266 T1304:T1305 R266 T1322 R1305 T1324 T1326 T1329 T1309 T1311 T1313 T1315 T1333 T1337 R1337 T1348 T1339:T1341 R1341 R1348 R245:R248 R251 R256 T256" xr:uid="{1572BEB2-4CB3-4ADD-B48A-6DA5E6120A02}">
      <formula1>work_ラジオボタン</formula1>
    </dataValidation>
    <dataValidation type="list" allowBlank="1" showInputMessage="1" showErrorMessage="1" sqref="T60 T77 T79 T82:T83 R93 T111 T19 T1300 T1294 T283:T285 T288:T290 T295 T299 T308:T309 T303 T324:T325 T329 T333 T337 T341:T342 T346 T350 T357 T361 T365:T366 T370 T374:T375 T379 T383 T387 T391 T404 T406 T322 T327 T331 T335 T339 T344 T348 T352 T355 T359 T363 T368 T372 T377 T381 T385 T389 T393 T396 T399 T402 T408 T413:T414 T418 T422 T426 T430:T431 T435 T439 T446 T450 T454:T455 T459 T463:T464 T468 T472 T476 T480 T493 T495 T411 T416 T420 T424 T428 T433 T437 T441 T444 T448 T452 T457 T461 T466 T470 T474 T478 T482 T485 T488 T491 T497 T502:T503 T507 T511 T515 T519:T520 T524 T528 T535 T539 T543:T544 T548 T552:T553 T557 T561 T565 T569 T582 T584 T500 T505 T509 T513 T517 T522 T526 T530 T533 T537 T541 T546 T550 T555 T559 T563 T567 T571 T574 T577 T580 T586 T591:T592 T596 T600 T604 T608:T609 T613 T617 T624 T628 T632:T633 T637 T641:T642 T646 T650 T654 T658 T671 T673 T589 T594 T598 T602 T606 T611 T615 T619 T622 T626 T630 T635 T639 T644 T648 T652 T656 T660 T663 T666 T669 T675 T680:T681 T685 T689 T693 T697:T698 T702 T706 T713 T717 T721:T722 T726 T730:T731 T735 T739 T743 T747 T760 T762 T678 T683 T687 T691 T695 T700 T704 T708 T711 T715 T719 T724 T728 T733 T737 T741 T745 T749 T752 T755 T758 T764 T770:T771 T775 T779 T783 T787:T788 T792 T796 T803 T807 T811:T812 T816 T820:T821 T825 T830 T834 T838 T851 T853 T767 T773 T777 T781 T785 T790 T794 T798 T801 T805 T809 T814 T818 T823 T827 T832 T836 T840 T843 T846 T849 T855 T860:T861 T865 T869 T873 T877:T878 T882 T886 T893 T897 T901:T902 T906 T910:T911 T915 T919 T923 T927 T940 T942 T858 T863 T867 T871 T875 T880 T884 T888 T891 T895 T899 T904 T908 T913 T917 T921 T925 T929 T932 T935 T938 T944 T949:T950 T954 T958 T962 T966:T967 T971 T975 T982 T986 T990:T991 T995 T999:T1000 T1004 T1008 T1012 T1016 T1029 T1031 T947 T952 T956 T960 T964 T969 T973 T977 T980 T984 T988 T993 T997 T1002 T1006 T1010 T1014 T1018 T1021 T1024 T1027 T1033 T1038:T1039 T1043 T1047 T1051 T1055:T1056 T1060 T1064 T1071 T1075 T1079:T1080 T1084 T1088:T1089 T1093 T1097 T1101 T1105 T1118 T1120 T1036 T1041 T1045 T1049 T1053 T1058 T1062 T1066 T1069 T1073 T1077 T1082 T1086 T1091 T1095 T1099 T1103 T1107 T1110 T1113 T1116 T1122 T1127:T1128 T1132 T1136 T1140 T1144:T1145 T1149 T1153 T1160 T1164 T1168:T1169 T1173 T1177:T1178 T1182 T1186 T1190 T1194 T1207 T1209 T1125 T1130 T1134 T1138 T1142 T1147 T1151 T1155 T1158 T1162 T1166 T1171 T1175 T1180 T1184 T1188 T1192 T1196 T1199 T1202 T1205 T1211 T1216:T1217 T1221 T1225 T1229 T1233:T1234 T1238 T1242 T1249 T1253 T1257:T1258 T1262 T1266:T1267 T1271 T1275 T1279 T1283 T1296 T1298 T1214 T1219 T1223 T1227 T1231 T1236 T1240 T1244 T1247 T1251 T1255 T1260 T1264 T1269 T1273 T1277 T1281 T1285 T1288 T1291 R1291 R1288 R1285 R1281 R1277 R1273 R1269 R1264 R1260 R1255 R1251 R1247 R1244 R1240 R1236 R1231 R1227 R1223 R1219 R1214 R1298 R1296 R1283 R1279 R1275 R1271 R1266:R1267 R1262 R1257:R1258 R1253 R1249 R1242 R1238 R1233:R1234 R1229 R1225 R1221 R1216:R1217 R1211 R1205 R1202 R1199 R1196 R1192 R1188 R1184 R1180 R1175 R1171 R1166 R1162 R1158 R1155 R1151 R1147 R1142 R1138 R1134 R1130 R1125 R1209 R1207 R1194 R1190 R1186 R1182 R1177:R1178 R1173 R1168:R1169 R1164 R1160 R1153 R1149 R1144:R1145 R1140 R1136 R1132 R1127:R1128 R1122 R1116 R1113 R1110 R1107 R1103 R1099 R1095 R1091 R1086 R1082 R1077 R1073 R1069 R1066 R1062 R1058 R1053 R1049 R1045 R1041 R1036 R1120 R1118 R1105 R1101 R1097 R1093 R1088:R1089 R1084 R1079:R1080 R1075 R1071 R1064 R1060 R1055:R1056 R1051 R1047 R1043 R1038:R1039 R1033 R1027 R1024 R1021 R1018 R1014 R1010 R1006 R1002 R997 R993 R988 R984 R980 R977 R973 R969 R964 R960 R956 R952 R947 R1031 R1029 R1016 R1012 R1008 R1004 R999:R1000 R995 R990:R991 R986 R982 R975 R971 R966:R967 R962 R958 R954 R949:R950 R944 R938 R935 R932 R929 R925 R921 R917 R913 R908 R904 R899 R895 R891 R888 R884 R880 R875 R871 R867 R863 R858 R942 R940 R927 R923 R919 R915 R910:R911 R906 R901:R902 R897 R893 R886 R882 R877:R878 R873 R869 R865 R860:R861 R855 R849 R846 R843 R840 R836 R832 R827 R823 R818 R814 R809 R805 R801 R798 R794 R790 R785 R781 R777 R773 R767 R853 R851 R838 R834 R830 R825 R820:R821 R816 R811:R812 R807 R803 R796 R792 R787:R788 R783 R779 R775 R770:R771 R764 R758 R755 R752 R749 R745 R741 R737 R733 R728 R724 R719 R715 R711 R708 R704 R700 R695 R691 R687 R683 R678 R762 R760 R747 R743 R739 R735 R730:R731 R726 R721:R722 R717 R713 R706 R702 R697:R698 R693 R689 R685 R680:R681 R675 R669 R666 R663 R660 R656 R652 R648 R644 R639 R635 R630 R626 R622 R619 R615 R611 R606 R602 R598 R594 R589 R673 R671 R658 R654 R650 R646 R641:R642 R637 R632:R633 R628 R624 R617 R613 R608:R609 R604 R600 R596 R591:R592 R586 R580 R577 R574 R571 R567 R563 R559 R555 R550 R546 R541 R537 R533 R530 R526 R522 R517 R513 R509 R505 R500 R584 R582 R569 R565 R561 R557 R552:R553 R548 R543:R544 R539 R535 R528 R524 R519:R520 R515 R511 R507 R502:R503 R497 R491 R488 R485 R482 R478 R474 R470 R466 R461 R457 R452 R448 R444 R441 R437 R433 R428 R424 R420 R416 R411 R495 R493 R480 R476 R472 R468 R463:R464 R459 R454:R455 R450 R446 R439 R435 R430:R431 R426 R422 R418 R413:R414 R408 R402 R399 R396 R393 R389 R385 R381 R377 R372 R368 R363 R359 R355 R352 R348 R344 R339 R335 R331 R327 R322 R406 R404 R391 R387 R383 R379 R374:R375 R370 R365:R366 R361 R357 R350 R346 R341:R342 R337 R333 R329 R324:R325 R303 R308:R309 R299 R295 R288:R290 R283:R285 R1294 R1300 R19 R111 T38:T54 R82:R83 R79 R77 R60 R38:R54 R86:R89 T86:T89 T93 T124 R124 R119 T215 T209 T207 T183:T186 T173:T174 T169 T163 T161 T136:T139 T178 R178 R136:R139 R161 R163 R169 R173:R174 R183:R186 R207 R209 R215 R219:R222 T219:T222 T262 T259 T257 T254 T252 T1335:T1336 R1335:R1336 R252 R254 R257 R259 R262 R264 T264" xr:uid="{0FF5414E-AC11-4D73-B839-1BD23BF0466C}">
      <formula1>work_チェックボックス</formula1>
    </dataValidation>
    <dataValidation type="list" allowBlank="1" showInputMessage="1" showErrorMessage="1" sqref="R84 T84" xr:uid="{923D02A1-AA7A-4B8C-ACB8-B1D500F8412D}">
      <formula1>"なし,最小メモリダンプ_256KB,カーネルメモリダンプ,完全メモリダンプ,自動メモリダンプ,アクティブメモリダンプ"</formula1>
    </dataValidation>
    <dataValidation type="list" allowBlank="1" showInputMessage="1" showErrorMessage="1" sqref="R134 T134" xr:uid="{F0C8D304-CB3F-4715-9479-6EE9AF7D4C0C}">
      <formula1>"有効,無効"</formula1>
    </dataValidation>
    <dataValidation type="list" allowBlank="1" showInputMessage="1" showErrorMessage="1" sqref="R229 T229 R235:R237 R239:R241 R244 R270:R273 R276 R282 R287 T287 T282 R293 R297 R301 R306:R307 R323 R328 R332 R336 R340 R345 R349 R356 R360 R364 R369 R373 R378 R382 R386 R390 R394 R397 R400 R403 R407 R353 R412 R417 R421 R425 R429 R434 R438 R442 R449 R445 R453 R458 R462 R467 R471 R475 R479 R483 R486 R489 R492 R496 R506 R510 R534 R514 R518 R523 R527 R538 R531 R551 R542 R547 R581 R556 R560 R568 R564 R572 R575 R578 R585 R590 R599 R595 R603 R930 R607 R612 R616 R620 R623 R627 R631 R636 R640 R645 R649 R653 R657 R661 R664 R667 R670 R674 R679 R684 R688 R692 R696 R701 R705 R709 R712 R716 R720 R725 R729 R734 R738 R742 R746 R750 R753 R756 R759 R763 R768 R774 R778 R782 R786 R791 R795 R799 R802 R806 R810 R815 R819 R824 R828 R833 R837 R841 R844 R847 R850 R854 R859 R864 R868 R872 R876 R881 R885 R889 R892 R896 R900 R905 R909 R914 R918 R922 R926 R933 R936 R939 R943 R948 R953 R957 R961 R965 R970 R974 R978 R981 R985 R989 R994 R998 R1003 R1007 R1011 R1015 R1019 R1022 R1025 R1028 R1032 R1037 R1042 R1046 R1050 R1054 R1059 R1063 R1067 R1070 R1074 R1078 R1083 R1087 R1092 R1096 R1100 R1104 R1108 R1111 R1114 R1117 R1121 R1126 R1131 R1135 R1139 R1143 R1148 R1152 R1156 R1159 R1163 R1167 R1172 R1176 R1181 R1185 R1189 R1193 R1197 R1200 R1203 R1206 R1210 R1215 R1220 R1224 R1228 R1232 R1237 R1241 R1245 R1248 R1252 R1256 R1261 R1265 R1270 R1274 R1278 R1282 R1286 R1289 R1292 R1295 R1299 R501 R1304 R1322 R1324 R1326 R1329 R1311 R1313 R1315 R1309 R1333 R1339:R1340" xr:uid="{8F662F4D-61D8-48E2-B127-891C712AFEA3}">
      <formula1>"オン,オフ"</formula1>
    </dataValidation>
    <dataValidation type="list" allowBlank="1" showInputMessage="1" showErrorMessage="1" sqref="T1354:T1415 S1:S1048576" xr:uid="{2719D1C5-F244-4E15-A38D-0EAAE1D3B1C5}">
      <formula1>"-,変更"</formula1>
    </dataValidation>
    <dataValidation type="list" allowBlank="1" showInputMessage="1" showErrorMessage="1" sqref="R312:R318" xr:uid="{CE161462-7785-4B3A-BE61-D71BECC46F85}">
      <formula1>"既定でオンにする,既定でオフにする,既定値を使用する (オン)"</formula1>
    </dataValidation>
    <dataValidation type="list" allowBlank="1" showInputMessage="1" showErrorMessage="1" sqref="R1317" xr:uid="{CC5D4433-DFBE-42FA-879B-421BCE9E5F72}">
      <formula1>"自動 (推奨),常時,1日1回,週に1回,常にオフ"</formula1>
    </dataValidation>
  </dataValidations>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BF89D7-7EE8-3B42-AB18-9C0DC7C1F633}">
  <dimension ref="A1:T51"/>
  <sheetViews>
    <sheetView zoomScale="90" zoomScaleNormal="90" workbookViewId="0">
      <pane ySplit="4" topLeftCell="A65" activePane="bottomLeft" state="frozen"/>
      <selection pane="bottomLeft" activeCell="A5" sqref="A5"/>
    </sheetView>
  </sheetViews>
  <sheetFormatPr defaultColWidth="11.5546875" defaultRowHeight="19.5" x14ac:dyDescent="0.4"/>
  <cols>
    <col min="1" max="15" width="4.6640625" customWidth="1"/>
    <col min="16" max="16" width="60.6640625" customWidth="1"/>
    <col min="17" max="17" width="30.6640625" customWidth="1"/>
    <col min="18" max="18" width="8.6640625" bestFit="1" customWidth="1"/>
    <col min="19" max="20" width="30.6640625" customWidth="1"/>
  </cols>
  <sheetData>
    <row r="1" spans="1:20" x14ac:dyDescent="0.4">
      <c r="A1" s="1" t="str">
        <f ca="1">RIGHT(CELL("filename",A1),LEN(CELL("filename",A1))-FIND("]",CELL("filename",A1)))</f>
        <v>3.1.ネットワーク</v>
      </c>
    </row>
    <row r="3" spans="1:20" x14ac:dyDescent="0.4">
      <c r="A3" s="5" t="s">
        <v>3</v>
      </c>
      <c r="B3" s="5" t="s">
        <v>4</v>
      </c>
      <c r="C3" s="6"/>
      <c r="D3" s="6"/>
      <c r="E3" s="6"/>
      <c r="F3" s="6"/>
      <c r="G3" s="6"/>
      <c r="H3" s="6"/>
      <c r="I3" s="6"/>
      <c r="J3" s="6"/>
      <c r="K3" s="6"/>
      <c r="L3" s="6"/>
      <c r="M3" s="6"/>
      <c r="N3" s="6"/>
      <c r="O3" s="6"/>
      <c r="P3" s="6"/>
      <c r="Q3" s="50" t="s">
        <v>14</v>
      </c>
      <c r="R3" s="83" t="s">
        <v>2915</v>
      </c>
      <c r="S3" s="83"/>
      <c r="T3" s="50" t="s">
        <v>5</v>
      </c>
    </row>
    <row r="4" spans="1:20" ht="20.25" thickBot="1" x14ac:dyDescent="0.45">
      <c r="A4" s="204"/>
      <c r="B4" s="119"/>
      <c r="C4" s="205"/>
      <c r="D4" s="205"/>
      <c r="E4" s="205"/>
      <c r="F4" s="205"/>
      <c r="G4" s="205"/>
      <c r="H4" s="205"/>
      <c r="I4" s="205"/>
      <c r="J4" s="205"/>
      <c r="K4" s="205"/>
      <c r="L4" s="205"/>
      <c r="M4" s="205"/>
      <c r="N4" s="205"/>
      <c r="O4" s="205"/>
      <c r="P4" s="205"/>
      <c r="Q4" s="123"/>
      <c r="R4" s="123" t="s">
        <v>2913</v>
      </c>
      <c r="S4" s="123" t="s">
        <v>2912</v>
      </c>
      <c r="T4" s="123"/>
    </row>
    <row r="5" spans="1:20" ht="20.25" thickTop="1" x14ac:dyDescent="0.4">
      <c r="A5" s="202">
        <v>1</v>
      </c>
      <c r="B5" s="38" t="s">
        <v>1643</v>
      </c>
      <c r="C5" s="203"/>
      <c r="D5" s="203"/>
      <c r="E5" s="203"/>
      <c r="F5" s="203"/>
      <c r="G5" s="203"/>
      <c r="H5" s="203"/>
      <c r="I5" s="203"/>
      <c r="J5" s="203"/>
      <c r="K5" s="203"/>
      <c r="L5" s="203"/>
      <c r="M5" s="203"/>
      <c r="N5" s="203"/>
      <c r="O5" s="203"/>
      <c r="P5" s="203"/>
      <c r="Q5" s="117"/>
      <c r="R5" s="117"/>
      <c r="S5" s="117"/>
      <c r="T5" s="117"/>
    </row>
    <row r="6" spans="1:20" x14ac:dyDescent="0.4">
      <c r="A6" s="55">
        <f>A5+1</f>
        <v>2</v>
      </c>
      <c r="B6" s="16"/>
      <c r="C6" s="15" t="s">
        <v>1697</v>
      </c>
      <c r="D6" s="9"/>
      <c r="E6" s="9"/>
      <c r="F6" s="9"/>
      <c r="G6" s="9"/>
      <c r="H6" s="9"/>
      <c r="I6" s="9"/>
      <c r="J6" s="9"/>
      <c r="K6" s="9"/>
      <c r="L6" s="9"/>
      <c r="M6" s="9"/>
      <c r="N6" s="9"/>
      <c r="O6" s="9"/>
      <c r="P6" s="9"/>
      <c r="Q6" s="47"/>
      <c r="R6" s="47"/>
      <c r="S6" s="47"/>
      <c r="T6" s="48"/>
    </row>
    <row r="7" spans="1:20" x14ac:dyDescent="0.4">
      <c r="A7" s="55">
        <f t="shared" ref="A7:A13" si="0">A6+1</f>
        <v>3</v>
      </c>
      <c r="B7" s="16"/>
      <c r="C7" s="16"/>
      <c r="D7" s="21" t="s">
        <v>1698</v>
      </c>
      <c r="E7" s="9"/>
      <c r="F7" s="9"/>
      <c r="G7" s="9"/>
      <c r="H7" s="9"/>
      <c r="I7" s="9"/>
      <c r="J7" s="9"/>
      <c r="K7" s="9"/>
      <c r="L7" s="9"/>
      <c r="M7" s="9"/>
      <c r="N7" s="9"/>
      <c r="O7" s="9"/>
      <c r="P7" s="9"/>
      <c r="Q7" s="47"/>
      <c r="R7" s="47"/>
      <c r="S7" s="47"/>
      <c r="T7" s="48"/>
    </row>
    <row r="8" spans="1:20" x14ac:dyDescent="0.4">
      <c r="A8" s="55">
        <f t="shared" si="0"/>
        <v>4</v>
      </c>
      <c r="B8" s="16"/>
      <c r="C8" s="16"/>
      <c r="D8" s="16"/>
      <c r="E8" s="15" t="s">
        <v>1699</v>
      </c>
      <c r="F8" s="9"/>
      <c r="G8" s="9"/>
      <c r="H8" s="9"/>
      <c r="I8" s="9"/>
      <c r="J8" s="9"/>
      <c r="K8" s="9"/>
      <c r="L8" s="9"/>
      <c r="M8" s="9"/>
      <c r="N8" s="9"/>
      <c r="O8" s="9"/>
      <c r="P8" s="9"/>
      <c r="Q8" s="47"/>
      <c r="R8" s="47"/>
      <c r="S8" s="47"/>
      <c r="T8" s="48"/>
    </row>
    <row r="9" spans="1:20" x14ac:dyDescent="0.4">
      <c r="A9" s="55">
        <f t="shared" si="0"/>
        <v>5</v>
      </c>
      <c r="B9" s="16"/>
      <c r="C9" s="16"/>
      <c r="D9" s="16"/>
      <c r="E9" s="16"/>
      <c r="F9" s="26" t="s">
        <v>1700</v>
      </c>
      <c r="G9" s="13"/>
      <c r="H9" s="13"/>
      <c r="I9" s="13"/>
      <c r="J9" s="13"/>
      <c r="K9" s="13"/>
      <c r="L9" s="13"/>
      <c r="M9" s="13"/>
      <c r="N9" s="13"/>
      <c r="O9" s="13"/>
      <c r="P9" s="13"/>
      <c r="Q9" s="46" t="s">
        <v>10</v>
      </c>
      <c r="R9" s="46"/>
      <c r="S9" s="46" t="s">
        <v>10</v>
      </c>
      <c r="T9" s="46"/>
    </row>
    <row r="10" spans="1:20" x14ac:dyDescent="0.4">
      <c r="A10" s="55">
        <f t="shared" si="0"/>
        <v>6</v>
      </c>
      <c r="B10" s="16"/>
      <c r="C10" s="16"/>
      <c r="D10" s="16"/>
      <c r="E10" s="16"/>
      <c r="F10" s="20"/>
      <c r="G10" s="13" t="s">
        <v>1701</v>
      </c>
      <c r="H10" s="13"/>
      <c r="I10" s="13"/>
      <c r="J10" s="13"/>
      <c r="K10" s="13"/>
      <c r="L10" s="13"/>
      <c r="M10" s="13"/>
      <c r="N10" s="13"/>
      <c r="O10" s="13"/>
      <c r="P10" s="13"/>
      <c r="Q10" s="46" t="s">
        <v>20</v>
      </c>
      <c r="R10" s="46"/>
      <c r="S10" s="46" t="s">
        <v>20</v>
      </c>
      <c r="T10" s="46"/>
    </row>
    <row r="11" spans="1:20" x14ac:dyDescent="0.4">
      <c r="A11" s="55">
        <f t="shared" si="0"/>
        <v>7</v>
      </c>
      <c r="B11" s="16"/>
      <c r="C11" s="16"/>
      <c r="D11" s="16"/>
      <c r="E11" s="17"/>
      <c r="F11" s="13" t="s">
        <v>1702</v>
      </c>
      <c r="G11" s="13"/>
      <c r="H11" s="13"/>
      <c r="I11" s="13"/>
      <c r="J11" s="13"/>
      <c r="K11" s="13"/>
      <c r="L11" s="13"/>
      <c r="M11" s="13"/>
      <c r="N11" s="13"/>
      <c r="O11" s="13"/>
      <c r="P11" s="13"/>
      <c r="Q11" s="46" t="s">
        <v>1232</v>
      </c>
      <c r="R11" s="46"/>
      <c r="S11" s="46" t="s">
        <v>1232</v>
      </c>
      <c r="T11" s="46"/>
    </row>
    <row r="12" spans="1:20" x14ac:dyDescent="0.4">
      <c r="A12" s="55">
        <f t="shared" si="0"/>
        <v>8</v>
      </c>
      <c r="B12" s="16"/>
      <c r="C12" s="16"/>
      <c r="D12" s="16"/>
      <c r="E12" s="15" t="s">
        <v>1703</v>
      </c>
      <c r="F12" s="9"/>
      <c r="G12" s="9"/>
      <c r="H12" s="9"/>
      <c r="I12" s="9"/>
      <c r="J12" s="9"/>
      <c r="K12" s="9"/>
      <c r="L12" s="9"/>
      <c r="M12" s="9"/>
      <c r="N12" s="9"/>
      <c r="O12" s="9"/>
      <c r="P12" s="9"/>
      <c r="Q12" s="47"/>
      <c r="R12" s="47"/>
      <c r="S12" s="47"/>
      <c r="T12" s="48"/>
    </row>
    <row r="13" spans="1:20" x14ac:dyDescent="0.4">
      <c r="A13" s="55">
        <f t="shared" si="0"/>
        <v>9</v>
      </c>
      <c r="B13" s="16"/>
      <c r="C13" s="16"/>
      <c r="D13" s="16"/>
      <c r="E13" s="16"/>
      <c r="F13" s="13" t="s">
        <v>1704</v>
      </c>
      <c r="G13" s="13"/>
      <c r="H13" s="13"/>
      <c r="I13" s="13"/>
      <c r="J13" s="13"/>
      <c r="K13" s="13"/>
      <c r="L13" s="13"/>
      <c r="M13" s="13"/>
      <c r="N13" s="13"/>
      <c r="O13" s="13"/>
      <c r="P13" s="13"/>
      <c r="Q13" s="46" t="s">
        <v>10</v>
      </c>
      <c r="R13" s="46"/>
      <c r="S13" s="46" t="s">
        <v>10</v>
      </c>
      <c r="T13" s="46"/>
    </row>
    <row r="14" spans="1:20" x14ac:dyDescent="0.4">
      <c r="A14" s="55">
        <f t="shared" ref="A14:A45" si="1">A13+1</f>
        <v>10</v>
      </c>
      <c r="B14" s="16"/>
      <c r="C14" s="16"/>
      <c r="D14" s="17"/>
      <c r="E14" s="17"/>
      <c r="F14" s="13" t="s">
        <v>1705</v>
      </c>
      <c r="G14" s="13"/>
      <c r="H14" s="13"/>
      <c r="I14" s="13"/>
      <c r="J14" s="13"/>
      <c r="K14" s="13"/>
      <c r="L14" s="13"/>
      <c r="M14" s="13"/>
      <c r="N14" s="13"/>
      <c r="O14" s="13"/>
      <c r="P14" s="13"/>
      <c r="Q14" s="46" t="s">
        <v>1232</v>
      </c>
      <c r="R14" s="46"/>
      <c r="S14" s="46" t="s">
        <v>1232</v>
      </c>
      <c r="T14" s="46"/>
    </row>
    <row r="15" spans="1:20" x14ac:dyDescent="0.4">
      <c r="A15" s="55">
        <f t="shared" si="1"/>
        <v>11</v>
      </c>
      <c r="B15" s="16"/>
      <c r="C15" s="16"/>
      <c r="D15" s="15" t="s">
        <v>1706</v>
      </c>
      <c r="E15" s="9"/>
      <c r="F15" s="9"/>
      <c r="G15" s="9"/>
      <c r="H15" s="9"/>
      <c r="I15" s="9"/>
      <c r="J15" s="9"/>
      <c r="K15" s="9"/>
      <c r="L15" s="9"/>
      <c r="M15" s="9"/>
      <c r="N15" s="9"/>
      <c r="O15" s="9"/>
      <c r="P15" s="9"/>
      <c r="Q15" s="47"/>
      <c r="R15" s="47"/>
      <c r="S15" s="47"/>
      <c r="T15" s="48"/>
    </row>
    <row r="16" spans="1:20" x14ac:dyDescent="0.4">
      <c r="A16" s="55">
        <f t="shared" si="1"/>
        <v>12</v>
      </c>
      <c r="B16" s="16"/>
      <c r="C16" s="16"/>
      <c r="D16" s="16"/>
      <c r="E16" s="15" t="s">
        <v>1699</v>
      </c>
      <c r="F16" s="9"/>
      <c r="G16" s="9"/>
      <c r="H16" s="9"/>
      <c r="I16" s="9"/>
      <c r="J16" s="9"/>
      <c r="K16" s="9"/>
      <c r="L16" s="9"/>
      <c r="M16" s="9"/>
      <c r="N16" s="9"/>
      <c r="O16" s="9"/>
      <c r="P16" s="9"/>
      <c r="Q16" s="47"/>
      <c r="R16" s="47"/>
      <c r="S16" s="47"/>
      <c r="T16" s="48"/>
    </row>
    <row r="17" spans="1:20" x14ac:dyDescent="0.4">
      <c r="A17" s="55">
        <f t="shared" si="1"/>
        <v>13</v>
      </c>
      <c r="B17" s="16"/>
      <c r="C17" s="16"/>
      <c r="D17" s="16"/>
      <c r="E17" s="16"/>
      <c r="F17" s="26" t="s">
        <v>1700</v>
      </c>
      <c r="G17" s="13"/>
      <c r="H17" s="13"/>
      <c r="I17" s="13"/>
      <c r="J17" s="13"/>
      <c r="K17" s="13"/>
      <c r="L17" s="13"/>
      <c r="M17" s="13"/>
      <c r="N17" s="13"/>
      <c r="O17" s="13"/>
      <c r="P17" s="13"/>
      <c r="Q17" s="46" t="s">
        <v>10</v>
      </c>
      <c r="R17" s="46"/>
      <c r="S17" s="46" t="s">
        <v>10</v>
      </c>
      <c r="T17" s="46"/>
    </row>
    <row r="18" spans="1:20" x14ac:dyDescent="0.4">
      <c r="A18" s="55">
        <f t="shared" si="1"/>
        <v>14</v>
      </c>
      <c r="B18" s="16"/>
      <c r="C18" s="16"/>
      <c r="D18" s="16"/>
      <c r="E18" s="17"/>
      <c r="F18" s="13" t="s">
        <v>1702</v>
      </c>
      <c r="G18" s="13"/>
      <c r="H18" s="13"/>
      <c r="I18" s="13"/>
      <c r="J18" s="13"/>
      <c r="K18" s="13"/>
      <c r="L18" s="13"/>
      <c r="M18" s="13"/>
      <c r="N18" s="13"/>
      <c r="O18" s="13"/>
      <c r="P18" s="13"/>
      <c r="Q18" s="46" t="s">
        <v>1232</v>
      </c>
      <c r="R18" s="46"/>
      <c r="S18" s="46" t="s">
        <v>1232</v>
      </c>
      <c r="T18" s="46"/>
    </row>
    <row r="19" spans="1:20" x14ac:dyDescent="0.4">
      <c r="A19" s="55">
        <f t="shared" si="1"/>
        <v>15</v>
      </c>
      <c r="B19" s="16"/>
      <c r="C19" s="16"/>
      <c r="D19" s="16"/>
      <c r="E19" s="15" t="s">
        <v>1703</v>
      </c>
      <c r="F19" s="9"/>
      <c r="G19" s="9"/>
      <c r="H19" s="9"/>
      <c r="I19" s="9"/>
      <c r="J19" s="9"/>
      <c r="K19" s="9"/>
      <c r="L19" s="9"/>
      <c r="M19" s="9"/>
      <c r="N19" s="9"/>
      <c r="O19" s="9"/>
      <c r="P19" s="9"/>
      <c r="Q19" s="47"/>
      <c r="R19" s="47"/>
      <c r="S19" s="47"/>
      <c r="T19" s="48"/>
    </row>
    <row r="20" spans="1:20" x14ac:dyDescent="0.4">
      <c r="A20" s="55">
        <f t="shared" si="1"/>
        <v>16</v>
      </c>
      <c r="B20" s="16"/>
      <c r="C20" s="16"/>
      <c r="D20" s="16"/>
      <c r="E20" s="16"/>
      <c r="F20" s="13" t="s">
        <v>1704</v>
      </c>
      <c r="G20" s="13"/>
      <c r="H20" s="13"/>
      <c r="I20" s="13"/>
      <c r="J20" s="13"/>
      <c r="K20" s="13"/>
      <c r="L20" s="13"/>
      <c r="M20" s="13"/>
      <c r="N20" s="13"/>
      <c r="O20" s="13"/>
      <c r="P20" s="13"/>
      <c r="Q20" s="46" t="s">
        <v>10</v>
      </c>
      <c r="R20" s="46"/>
      <c r="S20" s="46" t="s">
        <v>10</v>
      </c>
      <c r="T20" s="46"/>
    </row>
    <row r="21" spans="1:20" x14ac:dyDescent="0.4">
      <c r="A21" s="55">
        <f t="shared" si="1"/>
        <v>17</v>
      </c>
      <c r="B21" s="16"/>
      <c r="C21" s="16"/>
      <c r="D21" s="17"/>
      <c r="E21" s="17"/>
      <c r="F21" s="13" t="s">
        <v>1705</v>
      </c>
      <c r="G21" s="13"/>
      <c r="H21" s="13"/>
      <c r="I21" s="13"/>
      <c r="J21" s="13"/>
      <c r="K21" s="13"/>
      <c r="L21" s="13"/>
      <c r="M21" s="13"/>
      <c r="N21" s="13"/>
      <c r="O21" s="13"/>
      <c r="P21" s="13"/>
      <c r="Q21" s="46" t="s">
        <v>1232</v>
      </c>
      <c r="R21" s="46"/>
      <c r="S21" s="46" t="s">
        <v>1232</v>
      </c>
      <c r="T21" s="46"/>
    </row>
    <row r="22" spans="1:20" x14ac:dyDescent="0.4">
      <c r="A22" s="55">
        <f t="shared" si="1"/>
        <v>18</v>
      </c>
      <c r="B22" s="16"/>
      <c r="C22" s="16"/>
      <c r="D22" s="16"/>
      <c r="E22" s="15" t="s">
        <v>1707</v>
      </c>
      <c r="F22" s="9"/>
      <c r="G22" s="9"/>
      <c r="H22" s="9"/>
      <c r="I22" s="9"/>
      <c r="J22" s="9"/>
      <c r="K22" s="9"/>
      <c r="L22" s="9"/>
      <c r="M22" s="9"/>
      <c r="N22" s="9"/>
      <c r="O22" s="9"/>
      <c r="P22" s="9"/>
      <c r="Q22" s="47"/>
      <c r="R22" s="47"/>
      <c r="S22" s="47"/>
      <c r="T22" s="48"/>
    </row>
    <row r="23" spans="1:20" x14ac:dyDescent="0.4">
      <c r="A23" s="55">
        <f t="shared" si="1"/>
        <v>19</v>
      </c>
      <c r="B23" s="16"/>
      <c r="C23" s="16"/>
      <c r="D23" s="16"/>
      <c r="E23" s="16"/>
      <c r="F23" s="15" t="s">
        <v>1708</v>
      </c>
      <c r="G23" s="9"/>
      <c r="H23" s="9"/>
      <c r="I23" s="9"/>
      <c r="J23" s="9"/>
      <c r="K23" s="9"/>
      <c r="L23" s="9"/>
      <c r="M23" s="9"/>
      <c r="N23" s="9"/>
      <c r="O23" s="9"/>
      <c r="P23" s="9"/>
      <c r="Q23" s="47"/>
      <c r="R23" s="47"/>
      <c r="S23" s="47"/>
      <c r="T23" s="48"/>
    </row>
    <row r="24" spans="1:20" x14ac:dyDescent="0.4">
      <c r="A24" s="55">
        <f t="shared" si="1"/>
        <v>20</v>
      </c>
      <c r="B24" s="16"/>
      <c r="C24" s="16"/>
      <c r="D24" s="16"/>
      <c r="E24" s="16"/>
      <c r="F24" s="16"/>
      <c r="G24" s="13" t="s">
        <v>1709</v>
      </c>
      <c r="H24" s="13"/>
      <c r="I24" s="13"/>
      <c r="J24" s="13"/>
      <c r="K24" s="13"/>
      <c r="L24" s="13"/>
      <c r="M24" s="13"/>
      <c r="N24" s="13"/>
      <c r="O24" s="13"/>
      <c r="P24" s="13"/>
      <c r="Q24" s="46" t="s">
        <v>10</v>
      </c>
      <c r="R24" s="46"/>
      <c r="S24" s="46" t="s">
        <v>10</v>
      </c>
      <c r="T24" s="46"/>
    </row>
    <row r="25" spans="1:20" x14ac:dyDescent="0.4">
      <c r="A25" s="55">
        <f t="shared" si="1"/>
        <v>21</v>
      </c>
      <c r="B25" s="16"/>
      <c r="C25" s="16"/>
      <c r="D25" s="16"/>
      <c r="E25" s="16"/>
      <c r="F25" s="17"/>
      <c r="G25" s="13" t="s">
        <v>1710</v>
      </c>
      <c r="H25" s="13"/>
      <c r="I25" s="13"/>
      <c r="J25" s="13"/>
      <c r="K25" s="13"/>
      <c r="L25" s="13"/>
      <c r="M25" s="13"/>
      <c r="N25" s="13"/>
      <c r="O25" s="13"/>
      <c r="P25" s="13"/>
      <c r="Q25" s="46" t="s">
        <v>1232</v>
      </c>
      <c r="R25" s="46"/>
      <c r="S25" s="46" t="s">
        <v>1232</v>
      </c>
      <c r="T25" s="46"/>
    </row>
    <row r="26" spans="1:20" x14ac:dyDescent="0.4">
      <c r="A26" s="55">
        <f t="shared" si="1"/>
        <v>22</v>
      </c>
      <c r="B26" s="16"/>
      <c r="C26" s="16"/>
      <c r="D26" s="16"/>
      <c r="E26" s="16"/>
      <c r="F26" s="15" t="s">
        <v>1711</v>
      </c>
      <c r="G26" s="9"/>
      <c r="H26" s="9"/>
      <c r="I26" s="9"/>
      <c r="J26" s="9"/>
      <c r="K26" s="9"/>
      <c r="L26" s="9"/>
      <c r="M26" s="9"/>
      <c r="N26" s="9"/>
      <c r="O26" s="9"/>
      <c r="P26" s="9"/>
      <c r="Q26" s="47"/>
      <c r="R26" s="47"/>
      <c r="S26" s="47"/>
      <c r="T26" s="48"/>
    </row>
    <row r="27" spans="1:20" x14ac:dyDescent="0.4">
      <c r="A27" s="55">
        <f t="shared" si="1"/>
        <v>23</v>
      </c>
      <c r="B27" s="16"/>
      <c r="C27" s="16"/>
      <c r="D27" s="16"/>
      <c r="E27" s="16"/>
      <c r="F27" s="17"/>
      <c r="G27" s="13"/>
      <c r="H27" s="13"/>
      <c r="I27" s="13"/>
      <c r="J27" s="13"/>
      <c r="K27" s="13"/>
      <c r="L27" s="13"/>
      <c r="M27" s="13"/>
      <c r="N27" s="13"/>
      <c r="O27" s="13"/>
      <c r="P27" s="13"/>
      <c r="Q27" s="46" t="s">
        <v>1240</v>
      </c>
      <c r="R27" s="46"/>
      <c r="S27" s="46" t="s">
        <v>1240</v>
      </c>
      <c r="T27" s="46"/>
    </row>
    <row r="28" spans="1:20" x14ac:dyDescent="0.4">
      <c r="A28" s="55">
        <f t="shared" si="1"/>
        <v>24</v>
      </c>
      <c r="B28" s="16"/>
      <c r="C28" s="16"/>
      <c r="D28" s="16"/>
      <c r="E28" s="16"/>
      <c r="F28" s="15" t="s">
        <v>1712</v>
      </c>
      <c r="G28" s="9"/>
      <c r="H28" s="9"/>
      <c r="I28" s="9"/>
      <c r="J28" s="9"/>
      <c r="K28" s="9"/>
      <c r="L28" s="9"/>
      <c r="M28" s="9"/>
      <c r="N28" s="9"/>
      <c r="O28" s="9"/>
      <c r="P28" s="9"/>
      <c r="Q28" s="47"/>
      <c r="R28" s="47"/>
      <c r="S28" s="47"/>
      <c r="T28" s="48"/>
    </row>
    <row r="29" spans="1:20" x14ac:dyDescent="0.4">
      <c r="A29" s="55">
        <f t="shared" si="1"/>
        <v>25</v>
      </c>
      <c r="B29" s="16"/>
      <c r="C29" s="16"/>
      <c r="D29" s="16"/>
      <c r="E29" s="16"/>
      <c r="F29" s="16"/>
      <c r="G29" s="13" t="s">
        <v>1713</v>
      </c>
      <c r="H29" s="13"/>
      <c r="I29" s="13"/>
      <c r="J29" s="13"/>
      <c r="K29" s="13"/>
      <c r="L29" s="13"/>
      <c r="M29" s="13"/>
      <c r="N29" s="13"/>
      <c r="O29" s="13"/>
      <c r="P29" s="13"/>
      <c r="Q29" s="46" t="s">
        <v>1232</v>
      </c>
      <c r="R29" s="46"/>
      <c r="S29" s="46" t="s">
        <v>1232</v>
      </c>
      <c r="T29" s="46"/>
    </row>
    <row r="30" spans="1:20" x14ac:dyDescent="0.4">
      <c r="A30" s="55">
        <f t="shared" si="1"/>
        <v>26</v>
      </c>
      <c r="B30" s="16"/>
      <c r="C30" s="17"/>
      <c r="D30" s="17"/>
      <c r="E30" s="17"/>
      <c r="F30" s="17"/>
      <c r="G30" s="13" t="s">
        <v>1714</v>
      </c>
      <c r="H30" s="13"/>
      <c r="I30" s="13"/>
      <c r="J30" s="13"/>
      <c r="K30" s="13"/>
      <c r="L30" s="13"/>
      <c r="M30" s="13"/>
      <c r="N30" s="13"/>
      <c r="O30" s="13"/>
      <c r="P30" s="13"/>
      <c r="Q30" s="46" t="s">
        <v>10</v>
      </c>
      <c r="R30" s="46"/>
      <c r="S30" s="46" t="s">
        <v>10</v>
      </c>
      <c r="T30" s="46"/>
    </row>
    <row r="31" spans="1:20" x14ac:dyDescent="0.4">
      <c r="A31" s="55">
        <f t="shared" si="1"/>
        <v>27</v>
      </c>
      <c r="B31" s="16"/>
      <c r="C31" s="21" t="s">
        <v>1715</v>
      </c>
      <c r="D31" s="9"/>
      <c r="E31" s="9"/>
      <c r="F31" s="9"/>
      <c r="G31" s="9"/>
      <c r="H31" s="9"/>
      <c r="I31" s="9"/>
      <c r="J31" s="9"/>
      <c r="K31" s="9"/>
      <c r="L31" s="9"/>
      <c r="M31" s="9"/>
      <c r="N31" s="9"/>
      <c r="O31" s="9"/>
      <c r="P31" s="9"/>
      <c r="Q31" s="47"/>
      <c r="R31" s="47"/>
      <c r="S31" s="47"/>
      <c r="T31" s="48"/>
    </row>
    <row r="32" spans="1:20" x14ac:dyDescent="0.4">
      <c r="A32" s="55">
        <f t="shared" si="1"/>
        <v>28</v>
      </c>
      <c r="B32" s="16"/>
      <c r="C32" s="17"/>
      <c r="D32" s="12" t="s">
        <v>3017</v>
      </c>
      <c r="E32" s="13"/>
      <c r="F32" s="13"/>
      <c r="G32" s="13"/>
      <c r="H32" s="13"/>
      <c r="I32" s="13"/>
      <c r="J32" s="13"/>
      <c r="K32" s="13"/>
      <c r="L32" s="13"/>
      <c r="M32" s="13"/>
      <c r="N32" s="13"/>
      <c r="O32" s="13"/>
      <c r="P32" s="13"/>
      <c r="Q32" s="46" t="s">
        <v>1240</v>
      </c>
      <c r="R32" s="46"/>
      <c r="S32" s="46" t="s">
        <v>1240</v>
      </c>
      <c r="T32" s="46"/>
    </row>
    <row r="33" spans="1:20" x14ac:dyDescent="0.4">
      <c r="A33" s="55">
        <f t="shared" si="1"/>
        <v>29</v>
      </c>
      <c r="B33" s="16"/>
      <c r="C33" s="15" t="s">
        <v>1601</v>
      </c>
      <c r="D33" s="9"/>
      <c r="E33" s="9"/>
      <c r="F33" s="9"/>
      <c r="G33" s="9"/>
      <c r="H33" s="9"/>
      <c r="I33" s="9"/>
      <c r="J33" s="9"/>
      <c r="K33" s="9"/>
      <c r="L33" s="9"/>
      <c r="M33" s="9"/>
      <c r="N33" s="9"/>
      <c r="O33" s="9"/>
      <c r="P33" s="9"/>
      <c r="Q33" s="48"/>
      <c r="R33" s="48"/>
      <c r="S33" s="48"/>
      <c r="T33" s="48"/>
    </row>
    <row r="34" spans="1:20" x14ac:dyDescent="0.4">
      <c r="A34" s="55">
        <f t="shared" si="1"/>
        <v>30</v>
      </c>
      <c r="B34" s="16"/>
      <c r="C34" s="16"/>
      <c r="D34" s="12" t="s">
        <v>3018</v>
      </c>
      <c r="E34" s="13"/>
      <c r="F34" s="13"/>
      <c r="G34" s="13"/>
      <c r="H34" s="13"/>
      <c r="I34" s="13"/>
      <c r="J34" s="13"/>
      <c r="K34" s="13"/>
      <c r="L34" s="13"/>
      <c r="M34" s="13"/>
      <c r="N34" s="13"/>
      <c r="O34" s="13"/>
      <c r="P34" s="13"/>
      <c r="Q34" s="46" t="s">
        <v>1240</v>
      </c>
      <c r="R34" s="46"/>
      <c r="S34" s="46" t="s">
        <v>1240</v>
      </c>
      <c r="T34" s="46"/>
    </row>
    <row r="35" spans="1:20" x14ac:dyDescent="0.4">
      <c r="A35" s="55">
        <f t="shared" si="1"/>
        <v>31</v>
      </c>
      <c r="B35" s="16"/>
      <c r="C35" s="16"/>
      <c r="D35" s="21" t="s">
        <v>1716</v>
      </c>
      <c r="E35" s="9"/>
      <c r="F35" s="9"/>
      <c r="G35" s="9"/>
      <c r="H35" s="9"/>
      <c r="I35" s="9"/>
      <c r="J35" s="9"/>
      <c r="K35" s="9"/>
      <c r="L35" s="9"/>
      <c r="M35" s="9"/>
      <c r="N35" s="9"/>
      <c r="O35" s="9"/>
      <c r="P35" s="9"/>
      <c r="Q35" s="48"/>
      <c r="R35" s="48"/>
      <c r="S35" s="48"/>
      <c r="T35" s="48"/>
    </row>
    <row r="36" spans="1:20" x14ac:dyDescent="0.4">
      <c r="A36" s="55">
        <f t="shared" si="1"/>
        <v>32</v>
      </c>
      <c r="B36" s="16"/>
      <c r="C36" s="16"/>
      <c r="D36" s="16"/>
      <c r="E36" s="13" t="s">
        <v>1717</v>
      </c>
      <c r="F36" s="13"/>
      <c r="G36" s="13"/>
      <c r="H36" s="13"/>
      <c r="I36" s="13"/>
      <c r="J36" s="13"/>
      <c r="K36" s="13"/>
      <c r="L36" s="13"/>
      <c r="M36" s="13"/>
      <c r="N36" s="13"/>
      <c r="O36" s="13"/>
      <c r="P36" s="13"/>
      <c r="Q36" s="46" t="s">
        <v>20</v>
      </c>
      <c r="R36" s="46"/>
      <c r="S36" s="46" t="s">
        <v>20</v>
      </c>
      <c r="T36" s="46"/>
    </row>
    <row r="37" spans="1:20" x14ac:dyDescent="0.4">
      <c r="A37" s="55">
        <f t="shared" si="1"/>
        <v>33</v>
      </c>
      <c r="B37" s="16"/>
      <c r="C37" s="17"/>
      <c r="D37" s="17"/>
      <c r="E37" s="13" t="s">
        <v>1718</v>
      </c>
      <c r="F37" s="13"/>
      <c r="G37" s="13"/>
      <c r="H37" s="13"/>
      <c r="I37" s="13"/>
      <c r="J37" s="13"/>
      <c r="K37" s="13"/>
      <c r="L37" s="13"/>
      <c r="M37" s="13"/>
      <c r="N37" s="13"/>
      <c r="O37" s="13"/>
      <c r="P37" s="13"/>
      <c r="Q37" s="46" t="s">
        <v>20</v>
      </c>
      <c r="R37" s="46"/>
      <c r="S37" s="46" t="s">
        <v>20</v>
      </c>
      <c r="T37" s="46"/>
    </row>
    <row r="38" spans="1:20" x14ac:dyDescent="0.4">
      <c r="A38" s="55">
        <f t="shared" si="1"/>
        <v>34</v>
      </c>
      <c r="B38" s="16"/>
      <c r="C38" s="15" t="s">
        <v>1719</v>
      </c>
      <c r="D38" s="9"/>
      <c r="E38" s="9"/>
      <c r="F38" s="9"/>
      <c r="G38" s="9"/>
      <c r="H38" s="9"/>
      <c r="I38" s="9"/>
      <c r="J38" s="9"/>
      <c r="K38" s="9"/>
      <c r="L38" s="9"/>
      <c r="M38" s="9"/>
      <c r="N38" s="9"/>
      <c r="O38" s="9"/>
      <c r="P38" s="9"/>
      <c r="Q38" s="48"/>
      <c r="R38" s="48"/>
      <c r="S38" s="48"/>
      <c r="T38" s="48"/>
    </row>
    <row r="39" spans="1:20" x14ac:dyDescent="0.4">
      <c r="A39" s="55">
        <f t="shared" si="1"/>
        <v>35</v>
      </c>
      <c r="B39" s="16"/>
      <c r="C39" s="16"/>
      <c r="D39" s="21" t="s">
        <v>1720</v>
      </c>
      <c r="E39" s="9"/>
      <c r="F39" s="9"/>
      <c r="G39" s="9"/>
      <c r="H39" s="9"/>
      <c r="I39" s="9"/>
      <c r="J39" s="9"/>
      <c r="K39" s="9"/>
      <c r="L39" s="9"/>
      <c r="M39" s="9"/>
      <c r="N39" s="9"/>
      <c r="O39" s="9"/>
      <c r="P39" s="9"/>
      <c r="Q39" s="48"/>
      <c r="R39" s="48"/>
      <c r="S39" s="48"/>
      <c r="T39" s="48"/>
    </row>
    <row r="40" spans="1:20" x14ac:dyDescent="0.4">
      <c r="A40" s="55">
        <f t="shared" si="1"/>
        <v>36</v>
      </c>
      <c r="B40" s="16"/>
      <c r="C40" s="16"/>
      <c r="D40" s="16"/>
      <c r="E40" s="27" t="s">
        <v>1721</v>
      </c>
      <c r="F40" s="9"/>
      <c r="G40" s="9"/>
      <c r="H40" s="9"/>
      <c r="I40" s="9"/>
      <c r="J40" s="9"/>
      <c r="K40" s="9"/>
      <c r="L40" s="9"/>
      <c r="M40" s="9"/>
      <c r="N40" s="9"/>
      <c r="O40" s="9"/>
      <c r="P40" s="9"/>
      <c r="Q40" s="48"/>
      <c r="R40" s="48"/>
      <c r="S40" s="48"/>
      <c r="T40" s="48"/>
    </row>
    <row r="41" spans="1:20" x14ac:dyDescent="0.4">
      <c r="A41" s="55">
        <f t="shared" si="1"/>
        <v>37</v>
      </c>
      <c r="B41" s="16"/>
      <c r="C41" s="16"/>
      <c r="D41" s="16"/>
      <c r="E41" s="16"/>
      <c r="F41" s="26" t="s">
        <v>2916</v>
      </c>
      <c r="G41" s="13"/>
      <c r="H41" s="13"/>
      <c r="I41" s="13"/>
      <c r="J41" s="13"/>
      <c r="K41" s="13"/>
      <c r="L41" s="13"/>
      <c r="M41" s="13"/>
      <c r="N41" s="13"/>
      <c r="O41" s="13"/>
      <c r="P41" s="13"/>
      <c r="Q41" s="93" t="s">
        <v>2982</v>
      </c>
      <c r="R41" s="93"/>
      <c r="S41" s="46" t="s">
        <v>1232</v>
      </c>
      <c r="T41" s="46"/>
    </row>
    <row r="42" spans="1:20" x14ac:dyDescent="0.4">
      <c r="A42" s="55">
        <f t="shared" si="1"/>
        <v>38</v>
      </c>
      <c r="B42" s="16"/>
      <c r="C42" s="16"/>
      <c r="D42" s="21"/>
      <c r="E42" s="15" t="s">
        <v>1722</v>
      </c>
      <c r="F42" s="9"/>
      <c r="G42" s="9"/>
      <c r="H42" s="9"/>
      <c r="I42" s="9"/>
      <c r="J42" s="9"/>
      <c r="K42" s="9"/>
      <c r="L42" s="9"/>
      <c r="M42" s="9"/>
      <c r="N42" s="9"/>
      <c r="O42" s="9"/>
      <c r="P42" s="9"/>
      <c r="Q42" s="48"/>
      <c r="R42" s="48"/>
      <c r="S42" s="48"/>
      <c r="T42" s="48"/>
    </row>
    <row r="43" spans="1:20" x14ac:dyDescent="0.4">
      <c r="A43" s="55">
        <f t="shared" si="1"/>
        <v>39</v>
      </c>
      <c r="B43" s="16"/>
      <c r="C43" s="16"/>
      <c r="D43" s="21"/>
      <c r="E43" s="16"/>
      <c r="F43" s="26" t="s">
        <v>2916</v>
      </c>
      <c r="G43" s="13"/>
      <c r="H43" s="13"/>
      <c r="I43" s="13"/>
      <c r="J43" s="13"/>
      <c r="K43" s="13"/>
      <c r="L43" s="13"/>
      <c r="M43" s="13"/>
      <c r="N43" s="13"/>
      <c r="O43" s="13"/>
      <c r="P43" s="13"/>
      <c r="Q43" s="93" t="s">
        <v>2927</v>
      </c>
      <c r="R43" s="93"/>
      <c r="S43" s="46" t="s">
        <v>10</v>
      </c>
      <c r="T43" s="46"/>
    </row>
    <row r="44" spans="1:20" x14ac:dyDescent="0.4">
      <c r="A44" s="55">
        <f t="shared" si="1"/>
        <v>40</v>
      </c>
      <c r="B44" s="16"/>
      <c r="C44" s="16"/>
      <c r="D44" s="21"/>
      <c r="E44" s="16"/>
      <c r="F44" s="20"/>
      <c r="G44" s="13" t="s">
        <v>1723</v>
      </c>
      <c r="H44" s="13"/>
      <c r="I44" s="13"/>
      <c r="J44" s="13"/>
      <c r="K44" s="13"/>
      <c r="L44" s="13"/>
      <c r="M44" s="13"/>
      <c r="N44" s="13"/>
      <c r="O44" s="13"/>
      <c r="P44" s="13"/>
      <c r="Q44" s="46" t="s">
        <v>1240</v>
      </c>
      <c r="R44" s="46"/>
      <c r="S44" s="46" t="s">
        <v>1240</v>
      </c>
      <c r="T44" s="46"/>
    </row>
    <row r="45" spans="1:20" x14ac:dyDescent="0.4">
      <c r="A45" s="55">
        <f t="shared" si="1"/>
        <v>41</v>
      </c>
      <c r="B45" s="16"/>
      <c r="C45" s="16"/>
      <c r="D45" s="21" t="s">
        <v>1724</v>
      </c>
      <c r="E45" s="9"/>
      <c r="F45" s="9"/>
      <c r="G45" s="9"/>
      <c r="H45" s="9"/>
      <c r="I45" s="9"/>
      <c r="J45" s="9"/>
      <c r="K45" s="9"/>
      <c r="L45" s="9"/>
      <c r="M45" s="9"/>
      <c r="N45" s="9"/>
      <c r="O45" s="9"/>
      <c r="P45" s="9"/>
      <c r="Q45" s="48"/>
      <c r="R45" s="48"/>
      <c r="S45" s="48"/>
      <c r="T45" s="48"/>
    </row>
    <row r="46" spans="1:20" x14ac:dyDescent="0.4">
      <c r="A46" s="55">
        <f t="shared" ref="A46:A51" si="2">A45+1</f>
        <v>42</v>
      </c>
      <c r="B46" s="16"/>
      <c r="C46" s="16"/>
      <c r="D46" s="21"/>
      <c r="E46" s="15" t="s">
        <v>1725</v>
      </c>
      <c r="F46" s="9"/>
      <c r="G46" s="9"/>
      <c r="H46" s="9"/>
      <c r="I46" s="9"/>
      <c r="J46" s="9"/>
      <c r="K46" s="9"/>
      <c r="L46" s="9"/>
      <c r="M46" s="9"/>
      <c r="N46" s="9"/>
      <c r="O46" s="9"/>
      <c r="P46" s="9"/>
      <c r="Q46" s="48"/>
      <c r="R46" s="48"/>
      <c r="S46" s="48"/>
      <c r="T46" s="48"/>
    </row>
    <row r="47" spans="1:20" x14ac:dyDescent="0.4">
      <c r="A47" s="55">
        <f t="shared" si="2"/>
        <v>43</v>
      </c>
      <c r="B47" s="16"/>
      <c r="C47" s="16"/>
      <c r="D47" s="21"/>
      <c r="E47" s="16"/>
      <c r="F47" s="26" t="s">
        <v>2916</v>
      </c>
      <c r="G47" s="13"/>
      <c r="H47" s="13"/>
      <c r="I47" s="13"/>
      <c r="J47" s="13"/>
      <c r="K47" s="13"/>
      <c r="L47" s="13"/>
      <c r="M47" s="13"/>
      <c r="N47" s="13"/>
      <c r="O47" s="13"/>
      <c r="P47" s="13"/>
      <c r="Q47" s="93" t="s">
        <v>2927</v>
      </c>
      <c r="R47" s="93"/>
      <c r="S47" s="46" t="s">
        <v>10</v>
      </c>
      <c r="T47" s="46"/>
    </row>
    <row r="48" spans="1:20" x14ac:dyDescent="0.4">
      <c r="A48" s="55">
        <f t="shared" si="2"/>
        <v>44</v>
      </c>
      <c r="B48" s="16"/>
      <c r="C48" s="16"/>
      <c r="D48" s="21"/>
      <c r="E48" s="16"/>
      <c r="F48" s="19"/>
      <c r="G48" s="13" t="s">
        <v>1726</v>
      </c>
      <c r="H48" s="13"/>
      <c r="I48" s="13"/>
      <c r="J48" s="13"/>
      <c r="K48" s="13"/>
      <c r="L48" s="13"/>
      <c r="M48" s="13"/>
      <c r="N48" s="13"/>
      <c r="O48" s="13"/>
      <c r="P48" s="13"/>
      <c r="Q48" s="46" t="s">
        <v>1240</v>
      </c>
      <c r="R48" s="46"/>
      <c r="S48" s="46" t="s">
        <v>1240</v>
      </c>
      <c r="T48" s="46"/>
    </row>
    <row r="49" spans="1:20" x14ac:dyDescent="0.4">
      <c r="A49" s="55">
        <f t="shared" si="2"/>
        <v>45</v>
      </c>
      <c r="B49" s="16"/>
      <c r="C49" s="16"/>
      <c r="D49" s="21"/>
      <c r="E49" s="16"/>
      <c r="F49" s="19"/>
      <c r="G49" s="13" t="s">
        <v>1727</v>
      </c>
      <c r="H49" s="13"/>
      <c r="I49" s="13"/>
      <c r="J49" s="13"/>
      <c r="K49" s="13"/>
      <c r="L49" s="13"/>
      <c r="M49" s="13"/>
      <c r="N49" s="13"/>
      <c r="O49" s="13"/>
      <c r="P49" s="13"/>
      <c r="Q49" s="46" t="s">
        <v>1240</v>
      </c>
      <c r="R49" s="46"/>
      <c r="S49" s="46" t="s">
        <v>1240</v>
      </c>
      <c r="T49" s="46"/>
    </row>
    <row r="50" spans="1:20" x14ac:dyDescent="0.4">
      <c r="A50" s="55">
        <f t="shared" si="2"/>
        <v>46</v>
      </c>
      <c r="B50" s="16"/>
      <c r="C50" s="16"/>
      <c r="D50" s="21"/>
      <c r="E50" s="16"/>
      <c r="F50" s="19"/>
      <c r="G50" s="13" t="s">
        <v>1728</v>
      </c>
      <c r="H50" s="13"/>
      <c r="I50" s="13"/>
      <c r="J50" s="13"/>
      <c r="K50" s="13"/>
      <c r="L50" s="13"/>
      <c r="M50" s="13"/>
      <c r="N50" s="13"/>
      <c r="O50" s="13"/>
      <c r="P50" s="13"/>
      <c r="Q50" s="46" t="s">
        <v>1240</v>
      </c>
      <c r="R50" s="46"/>
      <c r="S50" s="46" t="s">
        <v>1240</v>
      </c>
      <c r="T50" s="46"/>
    </row>
    <row r="51" spans="1:20" x14ac:dyDescent="0.4">
      <c r="A51" s="55">
        <f t="shared" si="2"/>
        <v>47</v>
      </c>
      <c r="B51" s="17"/>
      <c r="C51" s="17"/>
      <c r="D51" s="24"/>
      <c r="E51" s="17"/>
      <c r="F51" s="20"/>
      <c r="G51" s="13" t="s">
        <v>1729</v>
      </c>
      <c r="H51" s="13"/>
      <c r="I51" s="13"/>
      <c r="J51" s="13"/>
      <c r="K51" s="13"/>
      <c r="L51" s="13"/>
      <c r="M51" s="13"/>
      <c r="N51" s="13"/>
      <c r="O51" s="13"/>
      <c r="P51" s="13"/>
      <c r="Q51" s="46" t="s">
        <v>36</v>
      </c>
      <c r="R51" s="46"/>
      <c r="S51" s="46" t="s">
        <v>36</v>
      </c>
      <c r="T51" s="46"/>
    </row>
  </sheetData>
  <phoneticPr fontId="1"/>
  <conditionalFormatting sqref="S5:S51">
    <cfRule type="expression" dxfId="15" priority="1">
      <formula>$Q5&lt;&gt;$S5</formula>
    </cfRule>
  </conditionalFormatting>
  <dataValidations count="4">
    <dataValidation type="list" allowBlank="1" showInputMessage="1" showErrorMessage="1" sqref="S36:S37 S51 Q51 Q36:Q37 Q10 S10" xr:uid="{DF603A2F-0371-5A4E-8F87-BE0FFAFD958C}">
      <formula1>work_チェックボックス</formula1>
    </dataValidation>
    <dataValidation type="list" allowBlank="1" showInputMessage="1" showErrorMessage="1" sqref="S11 S13:S14 S17:S18 S20:S21 S24:S25 S29:S30 S47 S43 S41 Q29:Q30 Q24:Q25 Q20:Q21 Q17:Q18 Q13:Q14 Q11 Q9 S9" xr:uid="{C81F2410-931E-C54E-B5D4-4E7A47F524DD}">
      <formula1>work_ラジオボタン</formula1>
    </dataValidation>
    <dataValidation type="list" allowBlank="1" showInputMessage="1" showErrorMessage="1" sqref="Q43 Q47 Q41" xr:uid="{328AB381-2482-4AE7-BBE5-E7AEA5C033AB}">
      <formula1>"オン,オフ"</formula1>
    </dataValidation>
    <dataValidation type="list" allowBlank="1" showInputMessage="1" showErrorMessage="1" sqref="R5:R51" xr:uid="{E655E5BB-D2C3-43AA-BEEF-18DA4ADDB472}">
      <formula1>"-,変更"</formula1>
    </dataValidation>
  </dataValidations>
  <pageMargins left="0.7" right="0.7" top="0.75" bottom="0.75" header="0.3" footer="0.3"/>
  <pageSetup paperSize="9" orientation="portrait" horizontalDpi="0" verticalDpi="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11DCA4-C44C-8144-A628-56DB0E421252}">
  <dimension ref="A1:G15"/>
  <sheetViews>
    <sheetView zoomScale="90" zoomScaleNormal="90" workbookViewId="0">
      <selection activeCell="F17" sqref="F17"/>
    </sheetView>
  </sheetViews>
  <sheetFormatPr defaultColWidth="11.5546875" defaultRowHeight="19.5" x14ac:dyDescent="0.4"/>
  <cols>
    <col min="1" max="1" width="4.6640625" customWidth="1"/>
    <col min="2" max="2" width="14.33203125" bestFit="1" customWidth="1"/>
    <col min="3" max="3" width="16.33203125" bestFit="1" customWidth="1"/>
    <col min="4" max="4" width="15.33203125" bestFit="1" customWidth="1"/>
    <col min="5" max="5" width="28.6640625" customWidth="1"/>
    <col min="6" max="6" width="61.5546875" bestFit="1" customWidth="1"/>
    <col min="7" max="7" width="43.44140625" customWidth="1"/>
  </cols>
  <sheetData>
    <row r="1" spans="1:7" x14ac:dyDescent="0.4">
      <c r="A1" s="1" t="str">
        <f ca="1">RIGHT(CELL("filename",A1),LEN(CELL("filename",A1))-FIND("]",CELL("filename",A1)))</f>
        <v>3.1.2.ルーティング</v>
      </c>
    </row>
    <row r="2" spans="1:7" x14ac:dyDescent="0.4">
      <c r="A2" s="1"/>
      <c r="B2" t="s">
        <v>1884</v>
      </c>
    </row>
    <row r="4" spans="1:7" x14ac:dyDescent="0.4">
      <c r="A4" t="s">
        <v>1730</v>
      </c>
    </row>
    <row r="5" spans="1:7" x14ac:dyDescent="0.4">
      <c r="A5" s="4" t="s">
        <v>3</v>
      </c>
      <c r="B5" s="4" t="s">
        <v>1731</v>
      </c>
      <c r="C5" s="4" t="s">
        <v>3026</v>
      </c>
      <c r="D5" s="4" t="s">
        <v>3027</v>
      </c>
      <c r="E5" s="4" t="s">
        <v>1732</v>
      </c>
      <c r="F5" s="206" t="s">
        <v>3019</v>
      </c>
      <c r="G5" s="4" t="s">
        <v>5</v>
      </c>
    </row>
    <row r="6" spans="1:7" ht="39" x14ac:dyDescent="0.4">
      <c r="A6" s="216">
        <v>0</v>
      </c>
      <c r="B6" s="216"/>
      <c r="C6" s="216" t="s">
        <v>3028</v>
      </c>
      <c r="D6" s="216" t="s">
        <v>3029</v>
      </c>
      <c r="E6" s="216" t="s">
        <v>3030</v>
      </c>
      <c r="F6" s="216" t="str">
        <f>_xlfn.CONCAT("route add ",C6," mask ",D6," ",E6," [-p]")</f>
        <v>route add xxx.xxx.xxx.xxx mask 255.255.255.255 xxx.xxx.xxx.yyy [-p]</v>
      </c>
      <c r="G6" s="217" t="s">
        <v>3031</v>
      </c>
    </row>
    <row r="7" spans="1:7" x14ac:dyDescent="0.4">
      <c r="A7" s="3">
        <f>A6+1</f>
        <v>1</v>
      </c>
      <c r="B7" s="3"/>
      <c r="C7" s="3"/>
      <c r="D7" s="3"/>
      <c r="E7" s="3"/>
      <c r="F7" s="3"/>
      <c r="G7" s="3"/>
    </row>
    <row r="8" spans="1:7" x14ac:dyDescent="0.4">
      <c r="A8" s="3">
        <f t="shared" ref="A8:A15" si="0">A7+1</f>
        <v>2</v>
      </c>
      <c r="B8" s="3"/>
      <c r="C8" s="3"/>
      <c r="D8" s="3"/>
      <c r="E8" s="3"/>
      <c r="F8" s="3"/>
      <c r="G8" s="3"/>
    </row>
    <row r="9" spans="1:7" x14ac:dyDescent="0.4">
      <c r="A9" s="3">
        <f t="shared" si="0"/>
        <v>3</v>
      </c>
      <c r="B9" s="3"/>
      <c r="C9" s="3"/>
      <c r="D9" s="3"/>
      <c r="E9" s="3"/>
      <c r="F9" s="3"/>
      <c r="G9" s="3"/>
    </row>
    <row r="10" spans="1:7" x14ac:dyDescent="0.4">
      <c r="A10" s="3">
        <f t="shared" si="0"/>
        <v>4</v>
      </c>
      <c r="B10" s="3"/>
      <c r="C10" s="3"/>
      <c r="D10" s="3"/>
      <c r="E10" s="3"/>
      <c r="F10" s="3"/>
      <c r="G10" s="3"/>
    </row>
    <row r="11" spans="1:7" x14ac:dyDescent="0.4">
      <c r="A11" s="3">
        <f t="shared" si="0"/>
        <v>5</v>
      </c>
      <c r="B11" s="3"/>
      <c r="C11" s="3"/>
      <c r="D11" s="3"/>
      <c r="E11" s="3"/>
      <c r="F11" s="3"/>
      <c r="G11" s="3"/>
    </row>
    <row r="12" spans="1:7" x14ac:dyDescent="0.4">
      <c r="A12" s="3">
        <f t="shared" si="0"/>
        <v>6</v>
      </c>
      <c r="B12" s="3"/>
      <c r="C12" s="3"/>
      <c r="D12" s="3"/>
      <c r="E12" s="3"/>
      <c r="F12" s="3"/>
      <c r="G12" s="3"/>
    </row>
    <row r="13" spans="1:7" x14ac:dyDescent="0.4">
      <c r="A13" s="3">
        <f t="shared" si="0"/>
        <v>7</v>
      </c>
      <c r="B13" s="3"/>
      <c r="C13" s="3"/>
      <c r="D13" s="3"/>
      <c r="E13" s="3"/>
      <c r="F13" s="3"/>
      <c r="G13" s="3"/>
    </row>
    <row r="14" spans="1:7" x14ac:dyDescent="0.4">
      <c r="A14" s="3">
        <f t="shared" si="0"/>
        <v>8</v>
      </c>
      <c r="B14" s="3"/>
      <c r="C14" s="3"/>
      <c r="D14" s="3"/>
      <c r="E14" s="3"/>
      <c r="F14" s="3"/>
      <c r="G14" s="3"/>
    </row>
    <row r="15" spans="1:7" x14ac:dyDescent="0.4">
      <c r="A15" s="3">
        <f t="shared" si="0"/>
        <v>9</v>
      </c>
      <c r="B15" s="3"/>
      <c r="C15" s="3"/>
      <c r="D15" s="3"/>
      <c r="E15" s="3"/>
      <c r="F15" s="3"/>
      <c r="G15" s="3"/>
    </row>
  </sheetData>
  <phoneticPr fontId="1"/>
  <pageMargins left="0.7" right="0.7" top="0.75" bottom="0.75" header="0.3" footer="0.3"/>
  <pageSetup paperSize="9" orientation="portrait" horizontalDpi="0" verticalDpi="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C2B68-3294-B242-9849-83C2C155AF5F}">
  <dimension ref="A1:Q54"/>
  <sheetViews>
    <sheetView zoomScale="90" zoomScaleNormal="90" workbookViewId="0">
      <pane ySplit="4" topLeftCell="A29" activePane="bottomLeft" state="frozen"/>
      <selection pane="bottomLeft" activeCell="A5" sqref="A5"/>
    </sheetView>
  </sheetViews>
  <sheetFormatPr defaultColWidth="11.5546875" defaultRowHeight="19.5" x14ac:dyDescent="0.4"/>
  <cols>
    <col min="1" max="12" width="4.6640625" customWidth="1"/>
    <col min="13" max="13" width="60.6640625" customWidth="1"/>
    <col min="14" max="14" width="30.88671875" bestFit="1" customWidth="1"/>
    <col min="15" max="15" width="8.6640625" bestFit="1" customWidth="1"/>
    <col min="16" max="16" width="30.88671875" bestFit="1" customWidth="1"/>
    <col min="17" max="17" width="30.6640625" customWidth="1"/>
  </cols>
  <sheetData>
    <row r="1" spans="1:17" x14ac:dyDescent="0.4">
      <c r="A1" s="1" t="str">
        <f ca="1">RIGHT(CELL("filename",A1),LEN(CELL("filename",A1))-FIND("]",CELL("filename",A1)))</f>
        <v>3.2.Windows Defenderファイアウォール</v>
      </c>
    </row>
    <row r="3" spans="1:17" x14ac:dyDescent="0.4">
      <c r="A3" s="62" t="s">
        <v>3</v>
      </c>
      <c r="B3" s="61" t="s">
        <v>4</v>
      </c>
      <c r="C3" s="82"/>
      <c r="D3" s="82"/>
      <c r="E3" s="82"/>
      <c r="F3" s="82"/>
      <c r="G3" s="82"/>
      <c r="H3" s="82"/>
      <c r="I3" s="82"/>
      <c r="J3" s="82"/>
      <c r="K3" s="82"/>
      <c r="L3" s="82"/>
      <c r="M3" s="113"/>
      <c r="N3" s="114" t="s">
        <v>14</v>
      </c>
      <c r="O3" s="165" t="s">
        <v>2915</v>
      </c>
      <c r="P3" s="166"/>
      <c r="Q3" s="62" t="s">
        <v>5</v>
      </c>
    </row>
    <row r="4" spans="1:17" ht="20.25" thickBot="1" x14ac:dyDescent="0.45">
      <c r="A4" s="118"/>
      <c r="B4" s="119"/>
      <c r="C4" s="120"/>
      <c r="D4" s="120"/>
      <c r="E4" s="120"/>
      <c r="F4" s="120"/>
      <c r="G4" s="120"/>
      <c r="H4" s="120"/>
      <c r="I4" s="120"/>
      <c r="J4" s="120"/>
      <c r="K4" s="120"/>
      <c r="L4" s="120"/>
      <c r="M4" s="121"/>
      <c r="N4" s="122"/>
      <c r="O4" s="126" t="s">
        <v>2913</v>
      </c>
      <c r="P4" s="127" t="s">
        <v>2912</v>
      </c>
      <c r="Q4" s="118"/>
    </row>
    <row r="5" spans="1:17" ht="20.25" thickTop="1" x14ac:dyDescent="0.4">
      <c r="A5" s="20">
        <v>1</v>
      </c>
      <c r="B5" s="21" t="s">
        <v>1766</v>
      </c>
      <c r="C5" s="33"/>
      <c r="D5" s="33"/>
      <c r="E5" s="33"/>
      <c r="F5" s="33"/>
      <c r="G5" s="33"/>
      <c r="H5" s="33"/>
      <c r="I5" s="33"/>
      <c r="J5" s="33"/>
      <c r="K5" s="33"/>
      <c r="L5" s="33"/>
      <c r="M5" s="33"/>
      <c r="N5" s="167"/>
      <c r="O5" s="167"/>
      <c r="P5" s="167"/>
      <c r="Q5" s="29"/>
    </row>
    <row r="6" spans="1:17" x14ac:dyDescent="0.4">
      <c r="A6" s="3">
        <f t="shared" ref="A6:A42" si="0">A5+1</f>
        <v>2</v>
      </c>
      <c r="B6" s="21"/>
      <c r="C6" s="168" t="s">
        <v>1788</v>
      </c>
      <c r="D6" s="171"/>
      <c r="E6" s="171"/>
      <c r="F6" s="171"/>
      <c r="G6" s="171"/>
      <c r="H6" s="171"/>
      <c r="I6" s="171"/>
      <c r="J6" s="171"/>
      <c r="K6" s="171"/>
      <c r="L6" s="171"/>
      <c r="M6" s="172"/>
      <c r="N6" s="173"/>
      <c r="O6" s="173"/>
      <c r="P6" s="173"/>
      <c r="Q6" s="173"/>
    </row>
    <row r="7" spans="1:17" x14ac:dyDescent="0.4">
      <c r="A7" s="3">
        <f t="shared" si="0"/>
        <v>3</v>
      </c>
      <c r="B7" s="21"/>
      <c r="C7" s="169"/>
      <c r="D7" s="174" t="s">
        <v>2919</v>
      </c>
      <c r="E7" s="179"/>
      <c r="F7" s="179"/>
      <c r="G7" s="179"/>
      <c r="H7" s="179"/>
      <c r="I7" s="179"/>
      <c r="J7" s="179"/>
      <c r="K7" s="179"/>
      <c r="L7" s="179"/>
      <c r="M7" s="180"/>
      <c r="N7" s="11" t="s">
        <v>2921</v>
      </c>
      <c r="O7" s="11"/>
      <c r="P7" s="8"/>
      <c r="Q7" s="3"/>
    </row>
    <row r="8" spans="1:17" x14ac:dyDescent="0.4">
      <c r="A8" s="3">
        <f t="shared" si="0"/>
        <v>4</v>
      </c>
      <c r="B8" s="21"/>
      <c r="C8" s="169"/>
      <c r="D8" s="174" t="s">
        <v>1789</v>
      </c>
      <c r="E8" s="179"/>
      <c r="F8" s="179"/>
      <c r="G8" s="179"/>
      <c r="H8" s="179"/>
      <c r="I8" s="179"/>
      <c r="J8" s="179"/>
      <c r="K8" s="179"/>
      <c r="L8" s="179"/>
      <c r="M8" s="179"/>
      <c r="N8" s="179"/>
      <c r="O8" s="179"/>
      <c r="P8" s="179"/>
      <c r="Q8" s="180"/>
    </row>
    <row r="9" spans="1:17" x14ac:dyDescent="0.4">
      <c r="A9" s="3">
        <f t="shared" si="0"/>
        <v>5</v>
      </c>
      <c r="B9" s="21"/>
      <c r="C9" s="169"/>
      <c r="D9" s="175"/>
      <c r="E9" s="18" t="s">
        <v>2920</v>
      </c>
      <c r="F9" s="13"/>
      <c r="G9" s="13"/>
      <c r="H9" s="13"/>
      <c r="I9" s="13"/>
      <c r="J9" s="13"/>
      <c r="K9" s="13"/>
      <c r="L9" s="13"/>
      <c r="M9" s="14"/>
      <c r="N9" s="11" t="s">
        <v>1229</v>
      </c>
      <c r="O9" s="11"/>
      <c r="P9" s="8"/>
      <c r="Q9" s="8"/>
    </row>
    <row r="10" spans="1:17" x14ac:dyDescent="0.4">
      <c r="A10" s="3">
        <f t="shared" si="0"/>
        <v>6</v>
      </c>
      <c r="B10" s="21"/>
      <c r="C10" s="169"/>
      <c r="D10" s="176"/>
      <c r="E10" s="27" t="s">
        <v>2922</v>
      </c>
      <c r="F10" s="9"/>
      <c r="G10" s="9"/>
      <c r="H10" s="9"/>
      <c r="I10" s="9"/>
      <c r="J10" s="9"/>
      <c r="K10" s="9"/>
      <c r="L10" s="9"/>
      <c r="M10" s="10"/>
      <c r="N10" s="8"/>
      <c r="O10" s="8"/>
      <c r="P10" s="8"/>
      <c r="Q10" s="8"/>
    </row>
    <row r="11" spans="1:17" x14ac:dyDescent="0.4">
      <c r="A11" s="3">
        <f t="shared" si="0"/>
        <v>7</v>
      </c>
      <c r="B11" s="21"/>
      <c r="C11" s="169"/>
      <c r="D11" s="176"/>
      <c r="E11" s="28"/>
      <c r="F11" s="26" t="s">
        <v>2923</v>
      </c>
      <c r="G11" s="13"/>
      <c r="H11" s="13"/>
      <c r="I11" s="13"/>
      <c r="J11" s="13"/>
      <c r="K11" s="13"/>
      <c r="L11" s="13"/>
      <c r="M11" s="14"/>
      <c r="N11" s="11" t="s">
        <v>20</v>
      </c>
      <c r="O11" s="11"/>
      <c r="P11" s="8"/>
      <c r="Q11" s="8"/>
    </row>
    <row r="12" spans="1:17" x14ac:dyDescent="0.4">
      <c r="A12" s="3">
        <f t="shared" si="0"/>
        <v>8</v>
      </c>
      <c r="B12" s="21"/>
      <c r="C12" s="169"/>
      <c r="D12" s="177" t="s">
        <v>2924</v>
      </c>
      <c r="E12" s="179"/>
      <c r="F12" s="179"/>
      <c r="G12" s="179"/>
      <c r="H12" s="179"/>
      <c r="I12" s="179"/>
      <c r="J12" s="179"/>
      <c r="K12" s="179"/>
      <c r="L12" s="179"/>
      <c r="M12" s="180"/>
      <c r="N12" s="181"/>
      <c r="O12" s="181"/>
      <c r="P12" s="181"/>
      <c r="Q12" s="181"/>
    </row>
    <row r="13" spans="1:17" x14ac:dyDescent="0.4">
      <c r="A13" s="3">
        <f t="shared" si="0"/>
        <v>9</v>
      </c>
      <c r="B13" s="21"/>
      <c r="C13" s="169"/>
      <c r="D13" s="176"/>
      <c r="E13" s="27" t="s">
        <v>2925</v>
      </c>
      <c r="F13" s="9"/>
      <c r="G13" s="9"/>
      <c r="H13" s="9"/>
      <c r="I13" s="9"/>
      <c r="J13" s="9"/>
      <c r="K13" s="9"/>
      <c r="L13" s="9"/>
      <c r="M13" s="10"/>
      <c r="N13" s="8"/>
      <c r="O13" s="8"/>
      <c r="P13" s="8"/>
      <c r="Q13" s="8"/>
    </row>
    <row r="14" spans="1:17" x14ac:dyDescent="0.4">
      <c r="A14" s="3">
        <f t="shared" si="0"/>
        <v>10</v>
      </c>
      <c r="B14" s="21"/>
      <c r="C14" s="169"/>
      <c r="D14" s="176"/>
      <c r="E14" s="16"/>
      <c r="F14" s="13" t="s">
        <v>2926</v>
      </c>
      <c r="G14" s="13"/>
      <c r="H14" s="13"/>
      <c r="I14" s="13"/>
      <c r="J14" s="13"/>
      <c r="K14" s="13"/>
      <c r="L14" s="13"/>
      <c r="M14" s="14"/>
      <c r="N14" s="11" t="s">
        <v>2927</v>
      </c>
      <c r="O14" s="11"/>
      <c r="P14" s="11" t="s">
        <v>10</v>
      </c>
      <c r="Q14" s="3"/>
    </row>
    <row r="15" spans="1:17" x14ac:dyDescent="0.4">
      <c r="A15" s="3">
        <f t="shared" si="0"/>
        <v>11</v>
      </c>
      <c r="B15" s="21"/>
      <c r="C15" s="169"/>
      <c r="D15" s="176"/>
      <c r="E15" s="16"/>
      <c r="F15" s="13" t="s">
        <v>2928</v>
      </c>
      <c r="G15" s="13"/>
      <c r="H15" s="13"/>
      <c r="I15" s="13"/>
      <c r="J15" s="13"/>
      <c r="K15" s="13"/>
      <c r="L15" s="13"/>
      <c r="M15" s="14"/>
      <c r="N15" s="11" t="s">
        <v>1229</v>
      </c>
      <c r="O15" s="11"/>
      <c r="P15" s="11" t="s">
        <v>9</v>
      </c>
      <c r="Q15" s="3"/>
    </row>
    <row r="16" spans="1:17" x14ac:dyDescent="0.4">
      <c r="A16" s="3">
        <f t="shared" si="0"/>
        <v>12</v>
      </c>
      <c r="B16" s="21"/>
      <c r="C16" s="170"/>
      <c r="D16" s="178"/>
      <c r="E16" s="17"/>
      <c r="F16" s="13" t="s">
        <v>2929</v>
      </c>
      <c r="G16" s="13"/>
      <c r="H16" s="13"/>
      <c r="I16" s="13"/>
      <c r="J16" s="13"/>
      <c r="K16" s="13"/>
      <c r="L16" s="13"/>
      <c r="M16" s="14"/>
      <c r="N16" s="11" t="s">
        <v>1229</v>
      </c>
      <c r="O16" s="11"/>
      <c r="P16" s="11" t="s">
        <v>9</v>
      </c>
      <c r="Q16" s="3"/>
    </row>
    <row r="17" spans="1:17" x14ac:dyDescent="0.4">
      <c r="A17" s="3">
        <f t="shared" si="0"/>
        <v>13</v>
      </c>
      <c r="B17" s="21"/>
      <c r="C17" s="168" t="s">
        <v>1792</v>
      </c>
      <c r="D17" s="171"/>
      <c r="E17" s="171"/>
      <c r="F17" s="171"/>
      <c r="G17" s="171"/>
      <c r="H17" s="171"/>
      <c r="I17" s="171"/>
      <c r="J17" s="171"/>
      <c r="K17" s="171"/>
      <c r="L17" s="171"/>
      <c r="M17" s="172"/>
      <c r="N17" s="173"/>
      <c r="O17" s="173"/>
      <c r="P17" s="173"/>
      <c r="Q17" s="173"/>
    </row>
    <row r="18" spans="1:17" x14ac:dyDescent="0.4">
      <c r="A18" s="3">
        <f t="shared" si="0"/>
        <v>14</v>
      </c>
      <c r="B18" s="21"/>
      <c r="C18" s="169"/>
      <c r="D18" s="174" t="s">
        <v>2930</v>
      </c>
      <c r="E18" s="179"/>
      <c r="F18" s="179"/>
      <c r="G18" s="179"/>
      <c r="H18" s="179"/>
      <c r="I18" s="179"/>
      <c r="J18" s="179"/>
      <c r="K18" s="179"/>
      <c r="L18" s="179"/>
      <c r="M18" s="180"/>
      <c r="N18" s="11" t="s">
        <v>2921</v>
      </c>
      <c r="O18" s="11"/>
      <c r="P18" s="8"/>
      <c r="Q18" s="8"/>
    </row>
    <row r="19" spans="1:17" x14ac:dyDescent="0.4">
      <c r="A19" s="3">
        <f t="shared" si="0"/>
        <v>15</v>
      </c>
      <c r="B19" s="21"/>
      <c r="C19" s="169"/>
      <c r="D19" s="174" t="s">
        <v>1789</v>
      </c>
      <c r="E19" s="179"/>
      <c r="F19" s="179"/>
      <c r="G19" s="179"/>
      <c r="H19" s="179"/>
      <c r="I19" s="179"/>
      <c r="J19" s="179"/>
      <c r="K19" s="179"/>
      <c r="L19" s="179"/>
      <c r="M19" s="180"/>
      <c r="N19" s="8"/>
      <c r="O19" s="8"/>
      <c r="P19" s="8"/>
      <c r="Q19" s="8"/>
    </row>
    <row r="20" spans="1:17" x14ac:dyDescent="0.4">
      <c r="A20" s="3">
        <f t="shared" si="0"/>
        <v>16</v>
      </c>
      <c r="B20" s="21"/>
      <c r="C20" s="169"/>
      <c r="D20" s="175"/>
      <c r="E20" s="18" t="s">
        <v>2920</v>
      </c>
      <c r="F20" s="13"/>
      <c r="G20" s="13"/>
      <c r="H20" s="13"/>
      <c r="I20" s="13"/>
      <c r="J20" s="13"/>
      <c r="K20" s="13"/>
      <c r="L20" s="13"/>
      <c r="M20" s="14"/>
      <c r="N20" s="11" t="s">
        <v>1229</v>
      </c>
      <c r="O20" s="11"/>
      <c r="P20" s="8"/>
      <c r="Q20" s="8"/>
    </row>
    <row r="21" spans="1:17" x14ac:dyDescent="0.4">
      <c r="A21" s="3">
        <f t="shared" si="0"/>
        <v>17</v>
      </c>
      <c r="B21" s="21"/>
      <c r="C21" s="169"/>
      <c r="D21" s="176"/>
      <c r="E21" s="27" t="s">
        <v>2922</v>
      </c>
      <c r="F21" s="9"/>
      <c r="G21" s="9"/>
      <c r="H21" s="9"/>
      <c r="I21" s="9"/>
      <c r="J21" s="9"/>
      <c r="K21" s="9"/>
      <c r="L21" s="9"/>
      <c r="M21" s="10"/>
      <c r="N21" s="8"/>
      <c r="O21" s="8"/>
      <c r="P21" s="8"/>
      <c r="Q21" s="8"/>
    </row>
    <row r="22" spans="1:17" x14ac:dyDescent="0.4">
      <c r="A22" s="3">
        <f t="shared" si="0"/>
        <v>18</v>
      </c>
      <c r="B22" s="21"/>
      <c r="C22" s="169"/>
      <c r="D22" s="176"/>
      <c r="E22" s="28"/>
      <c r="F22" s="26" t="s">
        <v>2923</v>
      </c>
      <c r="G22" s="13"/>
      <c r="H22" s="13"/>
      <c r="I22" s="13"/>
      <c r="J22" s="13"/>
      <c r="K22" s="13"/>
      <c r="L22" s="13"/>
      <c r="M22" s="14"/>
      <c r="N22" s="11" t="s">
        <v>20</v>
      </c>
      <c r="O22" s="11"/>
      <c r="P22" s="8"/>
      <c r="Q22" s="8"/>
    </row>
    <row r="23" spans="1:17" x14ac:dyDescent="0.4">
      <c r="A23" s="3">
        <f t="shared" si="0"/>
        <v>19</v>
      </c>
      <c r="B23" s="21"/>
      <c r="C23" s="169"/>
      <c r="D23" s="177" t="s">
        <v>2924</v>
      </c>
      <c r="E23" s="179"/>
      <c r="F23" s="179"/>
      <c r="G23" s="179"/>
      <c r="H23" s="179"/>
      <c r="I23" s="179"/>
      <c r="J23" s="179"/>
      <c r="K23" s="179"/>
      <c r="L23" s="179"/>
      <c r="M23" s="180"/>
      <c r="N23" s="181"/>
      <c r="O23" s="181"/>
      <c r="P23" s="181"/>
      <c r="Q23" s="181"/>
    </row>
    <row r="24" spans="1:17" x14ac:dyDescent="0.4">
      <c r="A24" s="3">
        <f t="shared" si="0"/>
        <v>20</v>
      </c>
      <c r="B24" s="21"/>
      <c r="C24" s="169"/>
      <c r="D24" s="176"/>
      <c r="E24" s="27" t="s">
        <v>2925</v>
      </c>
      <c r="F24" s="9"/>
      <c r="G24" s="9"/>
      <c r="H24" s="9"/>
      <c r="I24" s="9"/>
      <c r="J24" s="9"/>
      <c r="K24" s="9"/>
      <c r="L24" s="9"/>
      <c r="M24" s="10"/>
      <c r="N24" s="8"/>
      <c r="O24" s="8"/>
      <c r="P24" s="8"/>
      <c r="Q24" s="8"/>
    </row>
    <row r="25" spans="1:17" x14ac:dyDescent="0.4">
      <c r="A25" s="3">
        <f t="shared" si="0"/>
        <v>21</v>
      </c>
      <c r="B25" s="21"/>
      <c r="C25" s="169"/>
      <c r="D25" s="176"/>
      <c r="E25" s="16"/>
      <c r="F25" s="13" t="s">
        <v>2926</v>
      </c>
      <c r="G25" s="13"/>
      <c r="H25" s="13"/>
      <c r="I25" s="13"/>
      <c r="J25" s="13"/>
      <c r="K25" s="13"/>
      <c r="L25" s="13"/>
      <c r="M25" s="14"/>
      <c r="N25" s="11" t="s">
        <v>2927</v>
      </c>
      <c r="O25" s="11"/>
      <c r="P25" s="11" t="s">
        <v>10</v>
      </c>
      <c r="Q25" s="3"/>
    </row>
    <row r="26" spans="1:17" x14ac:dyDescent="0.4">
      <c r="A26" s="3">
        <f t="shared" si="0"/>
        <v>22</v>
      </c>
      <c r="B26" s="21"/>
      <c r="C26" s="169"/>
      <c r="D26" s="176"/>
      <c r="E26" s="16"/>
      <c r="F26" s="13" t="s">
        <v>2928</v>
      </c>
      <c r="G26" s="13"/>
      <c r="H26" s="13"/>
      <c r="I26" s="13"/>
      <c r="J26" s="13"/>
      <c r="K26" s="13"/>
      <c r="L26" s="13"/>
      <c r="M26" s="14"/>
      <c r="N26" s="11" t="s">
        <v>1229</v>
      </c>
      <c r="O26" s="11"/>
      <c r="P26" s="11" t="s">
        <v>9</v>
      </c>
      <c r="Q26" s="3"/>
    </row>
    <row r="27" spans="1:17" x14ac:dyDescent="0.4">
      <c r="A27" s="3">
        <f t="shared" si="0"/>
        <v>23</v>
      </c>
      <c r="B27" s="21"/>
      <c r="C27" s="170"/>
      <c r="D27" s="178"/>
      <c r="E27" s="17"/>
      <c r="F27" s="13" t="s">
        <v>2929</v>
      </c>
      <c r="G27" s="13"/>
      <c r="H27" s="13"/>
      <c r="I27" s="13"/>
      <c r="J27" s="13"/>
      <c r="K27" s="13"/>
      <c r="L27" s="13"/>
      <c r="M27" s="14"/>
      <c r="N27" s="11" t="s">
        <v>1229</v>
      </c>
      <c r="O27" s="11"/>
      <c r="P27" s="11" t="s">
        <v>9</v>
      </c>
      <c r="Q27" s="3"/>
    </row>
    <row r="28" spans="1:17" x14ac:dyDescent="0.4">
      <c r="A28" s="3">
        <f t="shared" si="0"/>
        <v>24</v>
      </c>
      <c r="B28" s="21"/>
      <c r="C28" s="168" t="s">
        <v>1793</v>
      </c>
      <c r="D28" s="171"/>
      <c r="E28" s="171"/>
      <c r="F28" s="171"/>
      <c r="G28" s="171"/>
      <c r="H28" s="171"/>
      <c r="I28" s="171"/>
      <c r="J28" s="171"/>
      <c r="K28" s="171"/>
      <c r="L28" s="171"/>
      <c r="M28" s="172"/>
      <c r="N28" s="173"/>
      <c r="O28" s="173"/>
      <c r="P28" s="173"/>
      <c r="Q28" s="173"/>
    </row>
    <row r="29" spans="1:17" x14ac:dyDescent="0.4">
      <c r="A29" s="3">
        <f t="shared" si="0"/>
        <v>25</v>
      </c>
      <c r="B29" s="21"/>
      <c r="C29" s="169"/>
      <c r="D29" s="174" t="s">
        <v>2931</v>
      </c>
      <c r="E29" s="9"/>
      <c r="F29" s="9"/>
      <c r="G29" s="9"/>
      <c r="H29" s="9"/>
      <c r="I29" s="9"/>
      <c r="J29" s="9"/>
      <c r="K29" s="9"/>
      <c r="L29" s="9"/>
      <c r="M29" s="10"/>
      <c r="N29" s="11" t="s">
        <v>2921</v>
      </c>
      <c r="O29" s="11"/>
      <c r="P29" s="8"/>
      <c r="Q29" s="8"/>
    </row>
    <row r="30" spans="1:17" x14ac:dyDescent="0.4">
      <c r="A30" s="3">
        <f t="shared" si="0"/>
        <v>26</v>
      </c>
      <c r="B30" s="21"/>
      <c r="C30" s="169"/>
      <c r="D30" s="174" t="s">
        <v>1789</v>
      </c>
      <c r="E30" s="9"/>
      <c r="F30" s="9"/>
      <c r="G30" s="9"/>
      <c r="H30" s="9"/>
      <c r="I30" s="9"/>
      <c r="J30" s="9"/>
      <c r="K30" s="9"/>
      <c r="L30" s="9"/>
      <c r="M30" s="10"/>
      <c r="N30" s="8"/>
      <c r="O30" s="8"/>
      <c r="P30" s="8"/>
      <c r="Q30" s="8"/>
    </row>
    <row r="31" spans="1:17" x14ac:dyDescent="0.4">
      <c r="A31" s="3">
        <f t="shared" si="0"/>
        <v>27</v>
      </c>
      <c r="B31" s="21"/>
      <c r="C31" s="169"/>
      <c r="D31" s="175"/>
      <c r="E31" s="18" t="s">
        <v>2920</v>
      </c>
      <c r="F31" s="13"/>
      <c r="G31" s="13"/>
      <c r="H31" s="13"/>
      <c r="I31" s="13"/>
      <c r="J31" s="13"/>
      <c r="K31" s="13"/>
      <c r="L31" s="13"/>
      <c r="M31" s="14"/>
      <c r="N31" s="11" t="s">
        <v>1229</v>
      </c>
      <c r="O31" s="11"/>
      <c r="P31" s="8"/>
      <c r="Q31" s="8"/>
    </row>
    <row r="32" spans="1:17" x14ac:dyDescent="0.4">
      <c r="A32" s="3">
        <f t="shared" si="0"/>
        <v>28</v>
      </c>
      <c r="B32" s="21"/>
      <c r="C32" s="169"/>
      <c r="D32" s="176"/>
      <c r="E32" s="27" t="s">
        <v>2922</v>
      </c>
      <c r="F32" s="9"/>
      <c r="G32" s="9"/>
      <c r="H32" s="9"/>
      <c r="I32" s="9"/>
      <c r="J32" s="9"/>
      <c r="K32" s="9"/>
      <c r="L32" s="9"/>
      <c r="M32" s="10"/>
      <c r="N32" s="8"/>
      <c r="O32" s="8"/>
      <c r="P32" s="8"/>
      <c r="Q32" s="8"/>
    </row>
    <row r="33" spans="1:17" x14ac:dyDescent="0.4">
      <c r="A33" s="3">
        <f t="shared" si="0"/>
        <v>29</v>
      </c>
      <c r="B33" s="21"/>
      <c r="C33" s="169"/>
      <c r="D33" s="176"/>
      <c r="E33" s="28"/>
      <c r="F33" s="26" t="s">
        <v>2923</v>
      </c>
      <c r="G33" s="13"/>
      <c r="H33" s="13"/>
      <c r="I33" s="13"/>
      <c r="J33" s="13"/>
      <c r="K33" s="13"/>
      <c r="L33" s="13"/>
      <c r="M33" s="14"/>
      <c r="N33" s="11" t="s">
        <v>20</v>
      </c>
      <c r="O33" s="11"/>
      <c r="P33" s="8"/>
      <c r="Q33" s="8"/>
    </row>
    <row r="34" spans="1:17" x14ac:dyDescent="0.4">
      <c r="A34" s="3">
        <f t="shared" si="0"/>
        <v>30</v>
      </c>
      <c r="B34" s="21"/>
      <c r="C34" s="169"/>
      <c r="D34" s="177" t="s">
        <v>2924</v>
      </c>
      <c r="E34" s="179"/>
      <c r="F34" s="179"/>
      <c r="G34" s="179"/>
      <c r="H34" s="179"/>
      <c r="I34" s="179"/>
      <c r="J34" s="179"/>
      <c r="K34" s="179"/>
      <c r="L34" s="179"/>
      <c r="M34" s="179"/>
      <c r="N34" s="179"/>
      <c r="O34" s="179"/>
      <c r="P34" s="179"/>
      <c r="Q34" s="180"/>
    </row>
    <row r="35" spans="1:17" x14ac:dyDescent="0.4">
      <c r="A35" s="3">
        <f t="shared" si="0"/>
        <v>31</v>
      </c>
      <c r="B35" s="21"/>
      <c r="C35" s="169"/>
      <c r="D35" s="176"/>
      <c r="E35" s="27" t="s">
        <v>2925</v>
      </c>
      <c r="F35" s="9"/>
      <c r="G35" s="9"/>
      <c r="H35" s="9"/>
      <c r="I35" s="9"/>
      <c r="J35" s="9"/>
      <c r="K35" s="9"/>
      <c r="L35" s="9"/>
      <c r="M35" s="10"/>
      <c r="N35" s="8"/>
      <c r="O35" s="8"/>
      <c r="P35" s="8"/>
      <c r="Q35" s="8"/>
    </row>
    <row r="36" spans="1:17" x14ac:dyDescent="0.4">
      <c r="A36" s="3">
        <f t="shared" si="0"/>
        <v>32</v>
      </c>
      <c r="B36" s="21"/>
      <c r="C36" s="169"/>
      <c r="D36" s="176"/>
      <c r="E36" s="16"/>
      <c r="F36" s="13" t="s">
        <v>2926</v>
      </c>
      <c r="G36" s="13"/>
      <c r="H36" s="13"/>
      <c r="I36" s="13"/>
      <c r="J36" s="13"/>
      <c r="K36" s="13"/>
      <c r="L36" s="13"/>
      <c r="M36" s="14"/>
      <c r="N36" s="11" t="s">
        <v>2927</v>
      </c>
      <c r="O36" s="11"/>
      <c r="P36" s="11" t="s">
        <v>10</v>
      </c>
      <c r="Q36" s="3"/>
    </row>
    <row r="37" spans="1:17" x14ac:dyDescent="0.4">
      <c r="A37" s="3">
        <f t="shared" si="0"/>
        <v>33</v>
      </c>
      <c r="B37" s="21"/>
      <c r="C37" s="169"/>
      <c r="D37" s="176"/>
      <c r="E37" s="16"/>
      <c r="F37" s="13" t="s">
        <v>2928</v>
      </c>
      <c r="G37" s="13"/>
      <c r="H37" s="13"/>
      <c r="I37" s="13"/>
      <c r="J37" s="13"/>
      <c r="K37" s="13"/>
      <c r="L37" s="13"/>
      <c r="M37" s="14"/>
      <c r="N37" s="11" t="s">
        <v>1229</v>
      </c>
      <c r="O37" s="11"/>
      <c r="P37" s="11" t="s">
        <v>9</v>
      </c>
      <c r="Q37" s="3"/>
    </row>
    <row r="38" spans="1:17" x14ac:dyDescent="0.4">
      <c r="A38" s="3">
        <f t="shared" si="0"/>
        <v>34</v>
      </c>
      <c r="B38" s="21"/>
      <c r="C38" s="170"/>
      <c r="D38" s="178"/>
      <c r="E38" s="17"/>
      <c r="F38" s="13" t="s">
        <v>2929</v>
      </c>
      <c r="G38" s="13"/>
      <c r="H38" s="13"/>
      <c r="I38" s="13"/>
      <c r="J38" s="13"/>
      <c r="K38" s="13"/>
      <c r="L38" s="13"/>
      <c r="M38" s="14"/>
      <c r="N38" s="11" t="s">
        <v>1229</v>
      </c>
      <c r="O38" s="11"/>
      <c r="P38" s="11" t="s">
        <v>9</v>
      </c>
      <c r="Q38" s="3"/>
    </row>
    <row r="39" spans="1:17" x14ac:dyDescent="0.4">
      <c r="A39" s="3">
        <f>A16+1</f>
        <v>13</v>
      </c>
      <c r="B39" s="21"/>
      <c r="C39" s="168" t="s">
        <v>2932</v>
      </c>
      <c r="D39" s="171"/>
      <c r="E39" s="171"/>
      <c r="F39" s="171"/>
      <c r="G39" s="171"/>
      <c r="H39" s="171"/>
      <c r="I39" s="171"/>
      <c r="J39" s="171"/>
      <c r="K39" s="171"/>
      <c r="L39" s="171"/>
      <c r="M39" s="172"/>
      <c r="N39" s="173"/>
      <c r="O39" s="173"/>
      <c r="P39" s="173"/>
      <c r="Q39" s="173"/>
    </row>
    <row r="40" spans="1:17" x14ac:dyDescent="0.4">
      <c r="A40" s="3">
        <f t="shared" si="0"/>
        <v>14</v>
      </c>
      <c r="B40" s="21"/>
      <c r="C40" s="169"/>
      <c r="D40" s="174" t="s">
        <v>2933</v>
      </c>
      <c r="E40" s="179"/>
      <c r="F40" s="179"/>
      <c r="G40" s="179"/>
      <c r="H40" s="179"/>
      <c r="I40" s="179"/>
      <c r="J40" s="179"/>
      <c r="K40" s="179"/>
      <c r="L40" s="179"/>
      <c r="M40" s="179"/>
      <c r="N40" s="179"/>
      <c r="O40" s="179"/>
      <c r="P40" s="179"/>
      <c r="Q40" s="180"/>
    </row>
    <row r="41" spans="1:17" x14ac:dyDescent="0.4">
      <c r="A41" s="3">
        <f t="shared" si="0"/>
        <v>15</v>
      </c>
      <c r="B41" s="21"/>
      <c r="C41" s="169"/>
      <c r="D41" s="175"/>
      <c r="E41" s="18" t="s">
        <v>2934</v>
      </c>
      <c r="F41" s="13"/>
      <c r="G41" s="13"/>
      <c r="H41" s="13"/>
      <c r="I41" s="13"/>
      <c r="J41" s="13"/>
      <c r="K41" s="13"/>
      <c r="L41" s="13"/>
      <c r="M41" s="14"/>
      <c r="N41" s="3"/>
      <c r="O41" s="3"/>
      <c r="P41" s="3"/>
      <c r="Q41" s="3"/>
    </row>
    <row r="42" spans="1:17" x14ac:dyDescent="0.4">
      <c r="A42" s="3">
        <f t="shared" si="0"/>
        <v>16</v>
      </c>
      <c r="B42" s="21"/>
      <c r="C42" s="169"/>
      <c r="D42" s="175"/>
      <c r="E42" s="12" t="s">
        <v>2935</v>
      </c>
      <c r="F42" s="26"/>
      <c r="G42" s="13"/>
      <c r="H42" s="13"/>
      <c r="I42" s="13"/>
      <c r="J42" s="13"/>
      <c r="K42" s="13"/>
      <c r="L42" s="13"/>
      <c r="M42" s="14"/>
      <c r="N42" s="3"/>
      <c r="O42" s="11"/>
      <c r="P42" s="3"/>
      <c r="Q42" s="3"/>
    </row>
    <row r="43" spans="1:17" x14ac:dyDescent="0.4">
      <c r="A43" s="3" t="e">
        <f>#REF!+1</f>
        <v>#REF!</v>
      </c>
      <c r="B43" s="21"/>
      <c r="C43" s="169"/>
      <c r="D43" s="177" t="s">
        <v>2936</v>
      </c>
      <c r="E43" s="179"/>
      <c r="F43" s="179"/>
      <c r="G43" s="179"/>
      <c r="H43" s="179"/>
      <c r="I43" s="179"/>
      <c r="J43" s="179"/>
      <c r="K43" s="179"/>
      <c r="L43" s="179"/>
      <c r="M43" s="179"/>
      <c r="N43" s="179"/>
      <c r="O43" s="179"/>
      <c r="P43" s="179"/>
      <c r="Q43" s="180"/>
    </row>
    <row r="44" spans="1:17" x14ac:dyDescent="0.4">
      <c r="A44" s="3" t="e">
        <f>#REF!+1</f>
        <v>#REF!</v>
      </c>
      <c r="B44" s="21"/>
      <c r="C44" s="169"/>
      <c r="D44" s="176"/>
      <c r="E44" s="27" t="s">
        <v>2937</v>
      </c>
      <c r="F44" s="9"/>
      <c r="G44" s="9"/>
      <c r="H44" s="9"/>
      <c r="I44" s="9"/>
      <c r="J44" s="9"/>
      <c r="K44" s="9"/>
      <c r="L44" s="9"/>
      <c r="M44" s="10"/>
      <c r="N44" s="8"/>
      <c r="O44" s="8"/>
      <c r="P44" s="8"/>
      <c r="Q44" s="8"/>
    </row>
    <row r="45" spans="1:17" x14ac:dyDescent="0.4">
      <c r="A45" s="3" t="e">
        <f t="shared" ref="A45:A51" si="1">A44+1</f>
        <v>#REF!</v>
      </c>
      <c r="B45" s="21"/>
      <c r="C45" s="169"/>
      <c r="D45" s="176"/>
      <c r="E45" s="16"/>
      <c r="F45" s="27" t="s">
        <v>2938</v>
      </c>
      <c r="G45" s="9"/>
      <c r="H45" s="9"/>
      <c r="I45" s="9"/>
      <c r="J45" s="9"/>
      <c r="K45" s="9"/>
      <c r="L45" s="9"/>
      <c r="M45" s="10"/>
      <c r="N45" s="2"/>
      <c r="O45" s="2"/>
      <c r="P45" s="2"/>
      <c r="Q45" s="8"/>
    </row>
    <row r="46" spans="1:17" x14ac:dyDescent="0.4">
      <c r="A46" s="3" t="e">
        <f t="shared" si="1"/>
        <v>#REF!</v>
      </c>
      <c r="B46" s="21"/>
      <c r="C46" s="169"/>
      <c r="D46" s="176"/>
      <c r="E46" s="16"/>
      <c r="F46" s="28"/>
      <c r="G46" s="13" t="s">
        <v>2939</v>
      </c>
      <c r="H46" s="13"/>
      <c r="I46" s="13"/>
      <c r="J46" s="13"/>
      <c r="K46" s="13"/>
      <c r="L46" s="13"/>
      <c r="M46" s="14"/>
      <c r="N46" s="11" t="s">
        <v>1229</v>
      </c>
      <c r="O46" s="11"/>
      <c r="P46" s="11" t="s">
        <v>1229</v>
      </c>
      <c r="Q46" s="3"/>
    </row>
    <row r="47" spans="1:17" x14ac:dyDescent="0.4">
      <c r="A47" s="3"/>
      <c r="B47" s="21"/>
      <c r="C47" s="169"/>
      <c r="D47" s="176"/>
      <c r="E47" s="16"/>
      <c r="F47" s="16"/>
      <c r="G47" s="13" t="s">
        <v>2942</v>
      </c>
      <c r="H47" s="13"/>
      <c r="I47" s="13"/>
      <c r="J47" s="13"/>
      <c r="K47" s="13"/>
      <c r="L47" s="13"/>
      <c r="M47" s="14"/>
      <c r="N47" s="11" t="s">
        <v>20</v>
      </c>
      <c r="O47" s="11"/>
      <c r="P47" s="11" t="s">
        <v>20</v>
      </c>
      <c r="Q47" s="3"/>
    </row>
    <row r="48" spans="1:17" x14ac:dyDescent="0.4">
      <c r="A48" s="3"/>
      <c r="B48" s="21"/>
      <c r="C48" s="169"/>
      <c r="D48" s="176"/>
      <c r="E48" s="16"/>
      <c r="F48" s="16"/>
      <c r="G48" s="13" t="s">
        <v>2943</v>
      </c>
      <c r="H48" s="13"/>
      <c r="I48" s="13"/>
      <c r="J48" s="13"/>
      <c r="K48" s="13"/>
      <c r="L48" s="13"/>
      <c r="M48" s="14"/>
      <c r="N48" s="11" t="s">
        <v>20</v>
      </c>
      <c r="O48" s="11"/>
      <c r="P48" s="11" t="s">
        <v>20</v>
      </c>
      <c r="Q48" s="3"/>
    </row>
    <row r="49" spans="1:17" x14ac:dyDescent="0.4">
      <c r="A49" s="3"/>
      <c r="B49" s="21"/>
      <c r="C49" s="169"/>
      <c r="D49" s="176"/>
      <c r="E49" s="16"/>
      <c r="F49" s="17"/>
      <c r="G49" s="13" t="s">
        <v>1781</v>
      </c>
      <c r="H49" s="13"/>
      <c r="I49" s="13"/>
      <c r="J49" s="13"/>
      <c r="K49" s="13"/>
      <c r="L49" s="13"/>
      <c r="M49" s="14"/>
      <c r="N49" s="11" t="s">
        <v>20</v>
      </c>
      <c r="O49" s="11"/>
      <c r="P49" s="11" t="s">
        <v>20</v>
      </c>
      <c r="Q49" s="3"/>
    </row>
    <row r="50" spans="1:17" x14ac:dyDescent="0.4">
      <c r="A50" s="3" t="e">
        <f>A46+1</f>
        <v>#REF!</v>
      </c>
      <c r="B50" s="21"/>
      <c r="C50" s="169"/>
      <c r="D50" s="176"/>
      <c r="E50" s="25"/>
      <c r="F50" s="15" t="s">
        <v>2940</v>
      </c>
      <c r="G50" s="9"/>
      <c r="H50" s="9"/>
      <c r="I50" s="9"/>
      <c r="J50" s="9"/>
      <c r="K50" s="9"/>
      <c r="L50" s="9"/>
      <c r="M50" s="10"/>
      <c r="N50" s="8"/>
      <c r="O50" s="8"/>
      <c r="P50" s="8"/>
      <c r="Q50" s="8"/>
    </row>
    <row r="51" spans="1:17" x14ac:dyDescent="0.4">
      <c r="A51" s="3" t="e">
        <f t="shared" si="1"/>
        <v>#REF!</v>
      </c>
      <c r="B51" s="21"/>
      <c r="C51" s="169"/>
      <c r="D51" s="176"/>
      <c r="E51" s="16"/>
      <c r="F51" s="16"/>
      <c r="G51" s="13" t="s">
        <v>2941</v>
      </c>
      <c r="H51" s="13"/>
      <c r="I51" s="13"/>
      <c r="J51" s="13"/>
      <c r="K51" s="13"/>
      <c r="L51" s="13"/>
      <c r="M51" s="14"/>
      <c r="N51" s="11" t="s">
        <v>2927</v>
      </c>
      <c r="O51" s="11"/>
      <c r="P51" s="11" t="s">
        <v>2927</v>
      </c>
      <c r="Q51" s="3"/>
    </row>
    <row r="52" spans="1:17" x14ac:dyDescent="0.4">
      <c r="A52" s="3" t="e">
        <f>A50+1</f>
        <v>#REF!</v>
      </c>
      <c r="B52" s="21"/>
      <c r="C52" s="169"/>
      <c r="D52" s="176"/>
      <c r="E52" s="16"/>
      <c r="F52" s="16"/>
      <c r="G52" s="13" t="s">
        <v>1784</v>
      </c>
      <c r="H52" s="13"/>
      <c r="I52" s="13"/>
      <c r="J52" s="13"/>
      <c r="K52" s="13"/>
      <c r="L52" s="13"/>
      <c r="M52" s="14"/>
      <c r="N52" s="11" t="s">
        <v>36</v>
      </c>
      <c r="O52" s="11"/>
      <c r="P52" s="11" t="s">
        <v>36</v>
      </c>
      <c r="Q52" s="3"/>
    </row>
    <row r="53" spans="1:17" x14ac:dyDescent="0.4">
      <c r="A53" s="3" t="e">
        <f>A51+1</f>
        <v>#REF!</v>
      </c>
      <c r="B53" s="21"/>
      <c r="C53" s="169"/>
      <c r="D53" s="176"/>
      <c r="E53" s="16"/>
      <c r="F53" s="16"/>
      <c r="G53" s="13" t="s">
        <v>1785</v>
      </c>
      <c r="H53" s="13"/>
      <c r="I53" s="13"/>
      <c r="J53" s="13"/>
      <c r="K53" s="13"/>
      <c r="L53" s="13"/>
      <c r="M53" s="14"/>
      <c r="N53" s="11" t="s">
        <v>36</v>
      </c>
      <c r="O53" s="11"/>
      <c r="P53" s="11" t="s">
        <v>36</v>
      </c>
      <c r="Q53" s="3"/>
    </row>
    <row r="54" spans="1:17" x14ac:dyDescent="0.4">
      <c r="A54" s="3" t="e">
        <f>A51+1</f>
        <v>#REF!</v>
      </c>
      <c r="B54" s="17"/>
      <c r="C54" s="170"/>
      <c r="D54" s="178"/>
      <c r="E54" s="17"/>
      <c r="F54" s="17"/>
      <c r="G54" s="13" t="s">
        <v>1786</v>
      </c>
      <c r="H54" s="13"/>
      <c r="I54" s="13"/>
      <c r="J54" s="13"/>
      <c r="K54" s="13"/>
      <c r="L54" s="13"/>
      <c r="M54" s="14"/>
      <c r="N54" s="11" t="s">
        <v>36</v>
      </c>
      <c r="O54" s="11"/>
      <c r="P54" s="11" t="s">
        <v>36</v>
      </c>
      <c r="Q54" s="3"/>
    </row>
  </sheetData>
  <phoneticPr fontId="1"/>
  <conditionalFormatting sqref="P5:P40 P43:P45 P50">
    <cfRule type="expression" dxfId="14" priority="1">
      <formula>$N5&lt;&gt;$P5</formula>
    </cfRule>
  </conditionalFormatting>
  <dataValidations count="4">
    <dataValidation type="list" allowBlank="1" showInputMessage="1" showErrorMessage="1" sqref="N22 N33 P47:P49 N47:N49 N52:N54 P52:P54 N11" xr:uid="{B9408A66-4DA8-824D-A9CB-05CBEA7CE884}">
      <formula1>work_チェックボックス</formula1>
    </dataValidation>
    <dataValidation type="list" allowBlank="1" showInputMessage="1" showErrorMessage="1" sqref="P14:P16 P36:P38 P25:P27 N45 P45" xr:uid="{8AB89DA7-3F11-0645-B0DF-16A7A3F7FCE3}">
      <formula1>work_ラジオボタン</formula1>
    </dataValidation>
    <dataValidation type="list" allowBlank="1" showInputMessage="1" showErrorMessage="1" sqref="N14:N16 N20 N25:N27 N31 N36:N38 P46 P51 N51 N46 N9" xr:uid="{C216E103-64CB-4006-8D3E-573D661A4DE7}">
      <formula1>"オン,オフ"</formula1>
    </dataValidation>
    <dataValidation type="list" allowBlank="1" showInputMessage="1" showErrorMessage="1" sqref="O7:O54" xr:uid="{86AF1D4D-4C22-4270-ACBA-C67AA4D98B88}">
      <formula1>"-,変更"</formula1>
    </dataValidation>
  </dataValidations>
  <pageMargins left="0.7" right="0.7" top="0.75" bottom="0.75" header="0.3" footer="0.3"/>
  <pageSetup paperSize="9" orientation="portrait" horizontalDpi="0" verticalDpi="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DAFC17-9FC1-FA45-BDFA-F0A248E62B61}">
  <dimension ref="A1:V163"/>
  <sheetViews>
    <sheetView zoomScale="90" zoomScaleNormal="90" workbookViewId="0">
      <pane ySplit="4" topLeftCell="A5" activePane="bottomLeft" state="frozen"/>
      <selection pane="bottomLeft" activeCell="A5" sqref="A5"/>
    </sheetView>
  </sheetViews>
  <sheetFormatPr defaultColWidth="11.5546875" defaultRowHeight="19.5" x14ac:dyDescent="0.4"/>
  <cols>
    <col min="1" max="1" width="4.6640625" customWidth="1"/>
    <col min="2" max="2" width="70.44140625" bestFit="1" customWidth="1"/>
    <col min="3" max="3" width="60.6640625" bestFit="1" customWidth="1"/>
    <col min="4" max="4" width="8.6640625" bestFit="1" customWidth="1"/>
    <col min="5" max="5" width="12.33203125" bestFit="1" customWidth="1"/>
    <col min="6" max="6" width="8.5546875" bestFit="1" customWidth="1"/>
    <col min="7" max="7" width="10.33203125" bestFit="1" customWidth="1"/>
    <col min="8" max="8" width="7.109375" bestFit="1" customWidth="1"/>
    <col min="9" max="9" width="5.44140625" bestFit="1" customWidth="1"/>
    <col min="10" max="10" width="7.109375" bestFit="1" customWidth="1"/>
    <col min="11" max="11" width="54.5546875" bestFit="1" customWidth="1"/>
    <col min="12" max="12" width="16.88671875" bestFit="1" customWidth="1"/>
    <col min="13" max="13" width="18.6640625" bestFit="1" customWidth="1"/>
    <col min="14" max="14" width="10.5546875" bestFit="1" customWidth="1"/>
    <col min="15" max="15" width="27.109375" bestFit="1" customWidth="1"/>
    <col min="16" max="16" width="14.88671875" bestFit="1" customWidth="1"/>
    <col min="17" max="17" width="22.109375" bestFit="1" customWidth="1"/>
    <col min="18" max="18" width="27.88671875" bestFit="1" customWidth="1"/>
    <col min="19" max="19" width="30.44140625" bestFit="1" customWidth="1"/>
    <col min="20" max="20" width="25.33203125" bestFit="1" customWidth="1"/>
    <col min="21" max="21" width="26.6640625" bestFit="1" customWidth="1"/>
  </cols>
  <sheetData>
    <row r="1" spans="1:22" x14ac:dyDescent="0.4">
      <c r="A1" s="1" t="str">
        <f ca="1">RIGHT(CELL("filename",A1),LEN(CELL("filename",A1))-FIND("]",CELL("filename",A1)))</f>
        <v>3.2.1.ファイアウォール規則(受信)</v>
      </c>
    </row>
    <row r="3" spans="1:22" x14ac:dyDescent="0.4">
      <c r="A3" s="62" t="s">
        <v>3</v>
      </c>
      <c r="B3" s="211" t="s">
        <v>428</v>
      </c>
      <c r="C3" s="211" t="s">
        <v>1894</v>
      </c>
      <c r="D3" s="211" t="s">
        <v>2913</v>
      </c>
      <c r="E3" s="207" t="s">
        <v>2761</v>
      </c>
      <c r="F3" s="207"/>
      <c r="G3" s="207"/>
      <c r="H3" s="211" t="s">
        <v>181</v>
      </c>
      <c r="I3" s="211" t="s">
        <v>624</v>
      </c>
      <c r="J3" s="211" t="s">
        <v>625</v>
      </c>
      <c r="K3" s="211" t="s">
        <v>626</v>
      </c>
      <c r="L3" s="211" t="s">
        <v>1895</v>
      </c>
      <c r="M3" s="211" t="s">
        <v>1896</v>
      </c>
      <c r="N3" s="211" t="s">
        <v>627</v>
      </c>
      <c r="O3" s="211" t="s">
        <v>1897</v>
      </c>
      <c r="P3" s="211" t="s">
        <v>1898</v>
      </c>
      <c r="Q3" s="211" t="s">
        <v>1899</v>
      </c>
      <c r="R3" s="211" t="s">
        <v>1900</v>
      </c>
      <c r="S3" s="211" t="s">
        <v>1901</v>
      </c>
      <c r="T3" s="211" t="s">
        <v>1902</v>
      </c>
      <c r="U3" s="211" t="s">
        <v>1903</v>
      </c>
      <c r="V3" s="211" t="s">
        <v>3025</v>
      </c>
    </row>
    <row r="4" spans="1:22" ht="20.25" thickBot="1" x14ac:dyDescent="0.45">
      <c r="A4" s="118"/>
      <c r="B4" s="213"/>
      <c r="C4" s="213"/>
      <c r="D4" s="213"/>
      <c r="E4" s="214" t="s">
        <v>1698</v>
      </c>
      <c r="F4" s="214" t="s">
        <v>28</v>
      </c>
      <c r="G4" s="214" t="s">
        <v>96</v>
      </c>
      <c r="H4" s="213"/>
      <c r="I4" s="213"/>
      <c r="J4" s="213"/>
      <c r="K4" s="213"/>
      <c r="L4" s="213"/>
      <c r="M4" s="213"/>
      <c r="N4" s="213"/>
      <c r="O4" s="213"/>
      <c r="P4" s="213"/>
      <c r="Q4" s="213"/>
      <c r="R4" s="213"/>
      <c r="S4" s="213"/>
      <c r="T4" s="213"/>
      <c r="U4" s="213"/>
      <c r="V4" s="213"/>
    </row>
    <row r="5" spans="1:22" ht="20.25" thickTop="1" x14ac:dyDescent="0.4">
      <c r="A5" s="212">
        <v>1</v>
      </c>
      <c r="B5" s="20" t="s">
        <v>1904</v>
      </c>
      <c r="C5" s="20" t="s">
        <v>1905</v>
      </c>
      <c r="D5" s="20"/>
      <c r="E5" s="11" t="s">
        <v>20</v>
      </c>
      <c r="F5" s="11" t="s">
        <v>20</v>
      </c>
      <c r="G5" s="11" t="s">
        <v>36</v>
      </c>
      <c r="H5" s="20" t="s">
        <v>628</v>
      </c>
      <c r="I5" s="20" t="s">
        <v>629</v>
      </c>
      <c r="J5" s="20" t="s">
        <v>630</v>
      </c>
      <c r="K5" s="20" t="s">
        <v>631</v>
      </c>
      <c r="L5" s="20" t="s">
        <v>632</v>
      </c>
      <c r="M5" s="20" t="s">
        <v>632</v>
      </c>
      <c r="N5" s="20" t="s">
        <v>633</v>
      </c>
      <c r="O5" s="20">
        <v>9955</v>
      </c>
      <c r="P5" s="20" t="s">
        <v>632</v>
      </c>
      <c r="Q5" s="20" t="s">
        <v>632</v>
      </c>
      <c r="R5" s="20" t="s">
        <v>632</v>
      </c>
      <c r="S5" s="20" t="s">
        <v>632</v>
      </c>
      <c r="T5" s="20" t="s">
        <v>632</v>
      </c>
      <c r="U5" s="20" t="s">
        <v>632</v>
      </c>
      <c r="V5" s="20"/>
    </row>
    <row r="6" spans="1:22" x14ac:dyDescent="0.4">
      <c r="A6" s="11">
        <f>A5+1</f>
        <v>2</v>
      </c>
      <c r="B6" s="3" t="s">
        <v>1906</v>
      </c>
      <c r="C6" s="3" t="s">
        <v>1905</v>
      </c>
      <c r="D6" s="3"/>
      <c r="E6" s="11" t="s">
        <v>20</v>
      </c>
      <c r="F6" s="11" t="s">
        <v>20</v>
      </c>
      <c r="G6" s="11" t="s">
        <v>36</v>
      </c>
      <c r="H6" s="3" t="s">
        <v>628</v>
      </c>
      <c r="I6" s="3" t="s">
        <v>629</v>
      </c>
      <c r="J6" s="3" t="s">
        <v>630</v>
      </c>
      <c r="K6" s="3" t="s">
        <v>631</v>
      </c>
      <c r="L6" s="3" t="s">
        <v>632</v>
      </c>
      <c r="M6" s="3" t="s">
        <v>632</v>
      </c>
      <c r="N6" s="3" t="s">
        <v>634</v>
      </c>
      <c r="O6" s="3" t="s">
        <v>632</v>
      </c>
      <c r="P6" s="3" t="s">
        <v>632</v>
      </c>
      <c r="Q6" s="3" t="s">
        <v>632</v>
      </c>
      <c r="R6" s="3" t="s">
        <v>632</v>
      </c>
      <c r="S6" s="3" t="s">
        <v>632</v>
      </c>
      <c r="T6" s="3" t="s">
        <v>632</v>
      </c>
      <c r="U6" s="3" t="s">
        <v>632</v>
      </c>
      <c r="V6" s="3"/>
    </row>
    <row r="7" spans="1:22" x14ac:dyDescent="0.4">
      <c r="A7" s="11">
        <f t="shared" ref="A7:A70" si="0">A6+1</f>
        <v>3</v>
      </c>
      <c r="B7" s="3" t="s">
        <v>635</v>
      </c>
      <c r="C7" s="3" t="s">
        <v>636</v>
      </c>
      <c r="D7" s="3"/>
      <c r="E7" s="11" t="s">
        <v>20</v>
      </c>
      <c r="F7" s="11" t="s">
        <v>20</v>
      </c>
      <c r="G7" s="11" t="s">
        <v>20</v>
      </c>
      <c r="H7" s="3" t="s">
        <v>630</v>
      </c>
      <c r="I7" s="3" t="s">
        <v>629</v>
      </c>
      <c r="J7" s="3" t="s">
        <v>630</v>
      </c>
      <c r="K7" s="3" t="s">
        <v>86</v>
      </c>
      <c r="L7" s="3" t="s">
        <v>632</v>
      </c>
      <c r="M7" s="3" t="s">
        <v>632</v>
      </c>
      <c r="N7" s="3" t="s">
        <v>633</v>
      </c>
      <c r="O7" s="3">
        <v>80</v>
      </c>
      <c r="P7" s="3" t="s">
        <v>632</v>
      </c>
      <c r="Q7" s="3" t="s">
        <v>632</v>
      </c>
      <c r="R7" s="3" t="s">
        <v>632</v>
      </c>
      <c r="S7" s="3" t="s">
        <v>632</v>
      </c>
      <c r="T7" s="3" t="s">
        <v>632</v>
      </c>
      <c r="U7" s="3" t="s">
        <v>632</v>
      </c>
      <c r="V7" s="3"/>
    </row>
    <row r="8" spans="1:22" x14ac:dyDescent="0.4">
      <c r="A8" s="11">
        <f t="shared" si="0"/>
        <v>4</v>
      </c>
      <c r="B8" s="3" t="s">
        <v>637</v>
      </c>
      <c r="C8" s="3" t="s">
        <v>638</v>
      </c>
      <c r="D8" s="3"/>
      <c r="E8" s="11" t="s">
        <v>20</v>
      </c>
      <c r="F8" s="11" t="s">
        <v>20</v>
      </c>
      <c r="G8" s="11" t="s">
        <v>20</v>
      </c>
      <c r="H8" s="3" t="s">
        <v>630</v>
      </c>
      <c r="I8" s="3" t="s">
        <v>629</v>
      </c>
      <c r="J8" s="3" t="s">
        <v>630</v>
      </c>
      <c r="K8" s="3" t="s">
        <v>639</v>
      </c>
      <c r="L8" s="3" t="s">
        <v>632</v>
      </c>
      <c r="M8" s="3" t="s">
        <v>1907</v>
      </c>
      <c r="N8" s="3" t="s">
        <v>634</v>
      </c>
      <c r="O8" s="3">
        <v>3702</v>
      </c>
      <c r="P8" s="3" t="s">
        <v>632</v>
      </c>
      <c r="Q8" s="3" t="s">
        <v>632</v>
      </c>
      <c r="R8" s="3" t="s">
        <v>632</v>
      </c>
      <c r="S8" s="3" t="s">
        <v>632</v>
      </c>
      <c r="T8" s="3" t="s">
        <v>632</v>
      </c>
      <c r="U8" s="3" t="s">
        <v>632</v>
      </c>
      <c r="V8" s="3"/>
    </row>
    <row r="9" spans="1:22" x14ac:dyDescent="0.4">
      <c r="A9" s="11">
        <f t="shared" si="0"/>
        <v>5</v>
      </c>
      <c r="B9" s="3" t="s">
        <v>1908</v>
      </c>
      <c r="C9" s="3" t="s">
        <v>1909</v>
      </c>
      <c r="D9" s="3"/>
      <c r="E9" s="11" t="s">
        <v>20</v>
      </c>
      <c r="F9" s="11" t="s">
        <v>20</v>
      </c>
      <c r="G9" s="11" t="s">
        <v>20</v>
      </c>
      <c r="H9" s="3" t="s">
        <v>630</v>
      </c>
      <c r="I9" s="3" t="s">
        <v>629</v>
      </c>
      <c r="J9" s="3" t="s">
        <v>630</v>
      </c>
      <c r="K9" s="3" t="s">
        <v>86</v>
      </c>
      <c r="L9" s="3" t="s">
        <v>632</v>
      </c>
      <c r="M9" s="3" t="s">
        <v>632</v>
      </c>
      <c r="N9" s="3" t="s">
        <v>633</v>
      </c>
      <c r="O9" s="3" t="s">
        <v>640</v>
      </c>
      <c r="P9" s="3" t="s">
        <v>632</v>
      </c>
      <c r="Q9" s="3" t="s">
        <v>632</v>
      </c>
      <c r="R9" s="3" t="s">
        <v>632</v>
      </c>
      <c r="S9" s="3" t="s">
        <v>632</v>
      </c>
      <c r="T9" s="3" t="s">
        <v>632</v>
      </c>
      <c r="U9" s="3" t="s">
        <v>632</v>
      </c>
      <c r="V9" s="3"/>
    </row>
    <row r="10" spans="1:22" x14ac:dyDescent="0.4">
      <c r="A10" s="11">
        <f t="shared" si="0"/>
        <v>6</v>
      </c>
      <c r="B10" s="3" t="s">
        <v>1910</v>
      </c>
      <c r="C10" s="3" t="s">
        <v>1911</v>
      </c>
      <c r="D10" s="3"/>
      <c r="E10" s="11" t="s">
        <v>20</v>
      </c>
      <c r="F10" s="11" t="s">
        <v>20</v>
      </c>
      <c r="G10" s="11" t="s">
        <v>20</v>
      </c>
      <c r="H10" s="3" t="s">
        <v>630</v>
      </c>
      <c r="I10" s="3" t="s">
        <v>629</v>
      </c>
      <c r="J10" s="3" t="s">
        <v>630</v>
      </c>
      <c r="K10" s="3" t="s">
        <v>639</v>
      </c>
      <c r="L10" s="3" t="s">
        <v>632</v>
      </c>
      <c r="M10" s="3" t="s">
        <v>632</v>
      </c>
      <c r="N10" s="3" t="s">
        <v>633</v>
      </c>
      <c r="O10" s="3">
        <v>135</v>
      </c>
      <c r="P10" s="3" t="s">
        <v>632</v>
      </c>
      <c r="Q10" s="3" t="s">
        <v>632</v>
      </c>
      <c r="R10" s="3" t="s">
        <v>632</v>
      </c>
      <c r="S10" s="3" t="s">
        <v>632</v>
      </c>
      <c r="T10" s="3" t="s">
        <v>632</v>
      </c>
      <c r="U10" s="3" t="s">
        <v>632</v>
      </c>
      <c r="V10" s="3"/>
    </row>
    <row r="11" spans="1:22" x14ac:dyDescent="0.4">
      <c r="A11" s="11">
        <f t="shared" si="0"/>
        <v>7</v>
      </c>
      <c r="B11" s="3" t="s">
        <v>1912</v>
      </c>
      <c r="C11" s="3" t="s">
        <v>1913</v>
      </c>
      <c r="D11" s="3"/>
      <c r="E11" s="11" t="s">
        <v>20</v>
      </c>
      <c r="F11" s="11" t="s">
        <v>20</v>
      </c>
      <c r="G11" s="11" t="s">
        <v>20</v>
      </c>
      <c r="H11" s="3" t="s">
        <v>630</v>
      </c>
      <c r="I11" s="3" t="s">
        <v>629</v>
      </c>
      <c r="J11" s="3" t="s">
        <v>630</v>
      </c>
      <c r="K11" s="3" t="s">
        <v>641</v>
      </c>
      <c r="L11" s="3" t="s">
        <v>632</v>
      </c>
      <c r="M11" s="3" t="s">
        <v>632</v>
      </c>
      <c r="N11" s="3" t="s">
        <v>633</v>
      </c>
      <c r="O11" s="3" t="s">
        <v>1914</v>
      </c>
      <c r="P11" s="3" t="s">
        <v>632</v>
      </c>
      <c r="Q11" s="3" t="s">
        <v>632</v>
      </c>
      <c r="R11" s="3" t="s">
        <v>632</v>
      </c>
      <c r="S11" s="3" t="s">
        <v>632</v>
      </c>
      <c r="T11" s="3" t="s">
        <v>632</v>
      </c>
      <c r="U11" s="3" t="s">
        <v>632</v>
      </c>
      <c r="V11" s="3"/>
    </row>
    <row r="12" spans="1:22" x14ac:dyDescent="0.4">
      <c r="A12" s="11">
        <f t="shared" si="0"/>
        <v>8</v>
      </c>
      <c r="B12" s="3" t="s">
        <v>642</v>
      </c>
      <c r="C12" s="3" t="s">
        <v>461</v>
      </c>
      <c r="D12" s="3"/>
      <c r="E12" s="11" t="s">
        <v>20</v>
      </c>
      <c r="F12" s="11" t="s">
        <v>20</v>
      </c>
      <c r="G12" s="11" t="s">
        <v>20</v>
      </c>
      <c r="H12" s="3" t="s">
        <v>628</v>
      </c>
      <c r="I12" s="3" t="s">
        <v>629</v>
      </c>
      <c r="J12" s="3" t="s">
        <v>630</v>
      </c>
      <c r="K12" s="3" t="s">
        <v>631</v>
      </c>
      <c r="L12" s="3" t="s">
        <v>632</v>
      </c>
      <c r="M12" s="3" t="s">
        <v>632</v>
      </c>
      <c r="N12" s="3" t="s">
        <v>633</v>
      </c>
      <c r="O12" s="3">
        <v>7680</v>
      </c>
      <c r="P12" s="3" t="s">
        <v>632</v>
      </c>
      <c r="Q12" s="3" t="s">
        <v>632</v>
      </c>
      <c r="R12" s="3" t="s">
        <v>632</v>
      </c>
      <c r="S12" s="3" t="s">
        <v>632</v>
      </c>
      <c r="T12" s="3" t="s">
        <v>632</v>
      </c>
      <c r="U12" s="3" t="s">
        <v>632</v>
      </c>
      <c r="V12" s="3"/>
    </row>
    <row r="13" spans="1:22" x14ac:dyDescent="0.4">
      <c r="A13" s="11">
        <f t="shared" si="0"/>
        <v>9</v>
      </c>
      <c r="B13" s="3" t="s">
        <v>643</v>
      </c>
      <c r="C13" s="3" t="s">
        <v>461</v>
      </c>
      <c r="D13" s="3"/>
      <c r="E13" s="11" t="s">
        <v>20</v>
      </c>
      <c r="F13" s="11" t="s">
        <v>20</v>
      </c>
      <c r="G13" s="11" t="s">
        <v>20</v>
      </c>
      <c r="H13" s="3" t="s">
        <v>628</v>
      </c>
      <c r="I13" s="3" t="s">
        <v>629</v>
      </c>
      <c r="J13" s="3" t="s">
        <v>630</v>
      </c>
      <c r="K13" s="3" t="s">
        <v>631</v>
      </c>
      <c r="L13" s="3" t="s">
        <v>632</v>
      </c>
      <c r="M13" s="3" t="s">
        <v>632</v>
      </c>
      <c r="N13" s="3" t="s">
        <v>634</v>
      </c>
      <c r="O13" s="3">
        <v>7680</v>
      </c>
      <c r="P13" s="3" t="s">
        <v>632</v>
      </c>
      <c r="Q13" s="3" t="s">
        <v>632</v>
      </c>
      <c r="R13" s="3" t="s">
        <v>632</v>
      </c>
      <c r="S13" s="3" t="s">
        <v>632</v>
      </c>
      <c r="T13" s="3" t="s">
        <v>632</v>
      </c>
      <c r="U13" s="3" t="s">
        <v>632</v>
      </c>
      <c r="V13" s="3"/>
    </row>
    <row r="14" spans="1:22" x14ac:dyDescent="0.4">
      <c r="A14" s="11">
        <f t="shared" si="0"/>
        <v>10</v>
      </c>
      <c r="B14" s="3" t="s">
        <v>1915</v>
      </c>
      <c r="C14" s="3" t="s">
        <v>1916</v>
      </c>
      <c r="D14" s="3"/>
      <c r="E14" s="11" t="s">
        <v>36</v>
      </c>
      <c r="F14" s="11" t="s">
        <v>20</v>
      </c>
      <c r="G14" s="11" t="s">
        <v>36</v>
      </c>
      <c r="H14" s="3" t="s">
        <v>628</v>
      </c>
      <c r="I14" s="3" t="s">
        <v>629</v>
      </c>
      <c r="J14" s="3" t="s">
        <v>630</v>
      </c>
      <c r="K14" s="3" t="s">
        <v>644</v>
      </c>
      <c r="L14" s="3" t="s">
        <v>632</v>
      </c>
      <c r="M14" s="3" t="s">
        <v>632</v>
      </c>
      <c r="N14" s="3" t="s">
        <v>633</v>
      </c>
      <c r="O14" s="3">
        <v>10247</v>
      </c>
      <c r="P14" s="3" t="s">
        <v>632</v>
      </c>
      <c r="Q14" s="3" t="s">
        <v>632</v>
      </c>
      <c r="R14" s="3" t="s">
        <v>632</v>
      </c>
      <c r="S14" s="3" t="s">
        <v>632</v>
      </c>
      <c r="T14" s="3" t="s">
        <v>632</v>
      </c>
      <c r="U14" s="3" t="s">
        <v>632</v>
      </c>
      <c r="V14" s="3"/>
    </row>
    <row r="15" spans="1:22" x14ac:dyDescent="0.4">
      <c r="A15" s="11">
        <f t="shared" si="0"/>
        <v>11</v>
      </c>
      <c r="B15" s="3" t="s">
        <v>1915</v>
      </c>
      <c r="C15" s="3" t="s">
        <v>1916</v>
      </c>
      <c r="D15" s="3"/>
      <c r="E15" s="11" t="s">
        <v>20</v>
      </c>
      <c r="F15" s="11" t="s">
        <v>36</v>
      </c>
      <c r="G15" s="11" t="s">
        <v>36</v>
      </c>
      <c r="H15" s="3" t="s">
        <v>628</v>
      </c>
      <c r="I15" s="3" t="s">
        <v>629</v>
      </c>
      <c r="J15" s="3" t="s">
        <v>630</v>
      </c>
      <c r="K15" s="3" t="s">
        <v>644</v>
      </c>
      <c r="L15" s="3" t="s">
        <v>632</v>
      </c>
      <c r="M15" s="3" t="s">
        <v>1907</v>
      </c>
      <c r="N15" s="3" t="s">
        <v>633</v>
      </c>
      <c r="O15" s="3">
        <v>10247</v>
      </c>
      <c r="P15" s="3" t="s">
        <v>632</v>
      </c>
      <c r="Q15" s="3" t="s">
        <v>632</v>
      </c>
      <c r="R15" s="3" t="s">
        <v>632</v>
      </c>
      <c r="S15" s="3" t="s">
        <v>632</v>
      </c>
      <c r="T15" s="3" t="s">
        <v>632</v>
      </c>
      <c r="U15" s="3" t="s">
        <v>632</v>
      </c>
      <c r="V15" s="3"/>
    </row>
    <row r="16" spans="1:22" x14ac:dyDescent="0.4">
      <c r="A16" s="11">
        <f t="shared" si="0"/>
        <v>12</v>
      </c>
      <c r="B16" s="3" t="s">
        <v>1917</v>
      </c>
      <c r="C16" s="3" t="s">
        <v>1918</v>
      </c>
      <c r="D16" s="3"/>
      <c r="E16" s="11" t="s">
        <v>20</v>
      </c>
      <c r="F16" s="11" t="s">
        <v>20</v>
      </c>
      <c r="G16" s="11" t="s">
        <v>20</v>
      </c>
      <c r="H16" s="3" t="s">
        <v>630</v>
      </c>
      <c r="I16" s="3" t="s">
        <v>629</v>
      </c>
      <c r="J16" s="3" t="s">
        <v>630</v>
      </c>
      <c r="K16" s="3" t="s">
        <v>631</v>
      </c>
      <c r="L16" s="3" t="s">
        <v>632</v>
      </c>
      <c r="M16" s="3" t="s">
        <v>632</v>
      </c>
      <c r="N16" s="3" t="s">
        <v>633</v>
      </c>
      <c r="O16" s="3" t="s">
        <v>632</v>
      </c>
      <c r="P16" s="3" t="s">
        <v>632</v>
      </c>
      <c r="Q16" s="3" t="s">
        <v>632</v>
      </c>
      <c r="R16" s="3" t="s">
        <v>632</v>
      </c>
      <c r="S16" s="3" t="s">
        <v>632</v>
      </c>
      <c r="T16" s="3" t="s">
        <v>632</v>
      </c>
      <c r="U16" s="3" t="s">
        <v>632</v>
      </c>
      <c r="V16" s="3"/>
    </row>
    <row r="17" spans="1:22" x14ac:dyDescent="0.4">
      <c r="A17" s="11">
        <f t="shared" si="0"/>
        <v>13</v>
      </c>
      <c r="B17" s="3" t="s">
        <v>645</v>
      </c>
      <c r="C17" s="3" t="s">
        <v>646</v>
      </c>
      <c r="D17" s="3"/>
      <c r="E17" s="11" t="s">
        <v>36</v>
      </c>
      <c r="F17" s="11" t="s">
        <v>20</v>
      </c>
      <c r="G17" s="11" t="s">
        <v>36</v>
      </c>
      <c r="H17" s="3" t="s">
        <v>628</v>
      </c>
      <c r="I17" s="3" t="s">
        <v>629</v>
      </c>
      <c r="J17" s="3" t="s">
        <v>630</v>
      </c>
      <c r="K17" s="3" t="s">
        <v>631</v>
      </c>
      <c r="L17" s="3" t="s">
        <v>632</v>
      </c>
      <c r="M17" s="3" t="s">
        <v>632</v>
      </c>
      <c r="N17" s="3" t="s">
        <v>634</v>
      </c>
      <c r="O17" s="3">
        <v>5353</v>
      </c>
      <c r="P17" s="3" t="s">
        <v>632</v>
      </c>
      <c r="Q17" s="3" t="s">
        <v>632</v>
      </c>
      <c r="R17" s="3" t="s">
        <v>632</v>
      </c>
      <c r="S17" s="3" t="s">
        <v>632</v>
      </c>
      <c r="T17" s="3" t="s">
        <v>632</v>
      </c>
      <c r="U17" s="3" t="s">
        <v>632</v>
      </c>
      <c r="V17" s="3"/>
    </row>
    <row r="18" spans="1:22" x14ac:dyDescent="0.4">
      <c r="A18" s="11">
        <f t="shared" si="0"/>
        <v>14</v>
      </c>
      <c r="B18" s="3" t="s">
        <v>645</v>
      </c>
      <c r="C18" s="3" t="s">
        <v>646</v>
      </c>
      <c r="D18" s="3"/>
      <c r="E18" s="11" t="s">
        <v>36</v>
      </c>
      <c r="F18" s="11" t="s">
        <v>36</v>
      </c>
      <c r="G18" s="11" t="s">
        <v>20</v>
      </c>
      <c r="H18" s="3" t="s">
        <v>628</v>
      </c>
      <c r="I18" s="3" t="s">
        <v>629</v>
      </c>
      <c r="J18" s="3" t="s">
        <v>630</v>
      </c>
      <c r="K18" s="3" t="s">
        <v>631</v>
      </c>
      <c r="L18" s="3" t="s">
        <v>632</v>
      </c>
      <c r="M18" s="3" t="s">
        <v>1907</v>
      </c>
      <c r="N18" s="3" t="s">
        <v>634</v>
      </c>
      <c r="O18" s="3">
        <v>5353</v>
      </c>
      <c r="P18" s="3" t="s">
        <v>632</v>
      </c>
      <c r="Q18" s="3" t="s">
        <v>632</v>
      </c>
      <c r="R18" s="3" t="s">
        <v>632</v>
      </c>
      <c r="S18" s="3" t="s">
        <v>632</v>
      </c>
      <c r="T18" s="3" t="s">
        <v>632</v>
      </c>
      <c r="U18" s="3" t="s">
        <v>632</v>
      </c>
      <c r="V18" s="3"/>
    </row>
    <row r="19" spans="1:22" x14ac:dyDescent="0.4">
      <c r="A19" s="11">
        <f t="shared" si="0"/>
        <v>15</v>
      </c>
      <c r="B19" s="3" t="s">
        <v>645</v>
      </c>
      <c r="C19" s="3" t="s">
        <v>646</v>
      </c>
      <c r="D19" s="3"/>
      <c r="E19" s="11" t="s">
        <v>20</v>
      </c>
      <c r="F19" s="11" t="s">
        <v>36</v>
      </c>
      <c r="G19" s="11" t="s">
        <v>36</v>
      </c>
      <c r="H19" s="3" t="s">
        <v>628</v>
      </c>
      <c r="I19" s="3" t="s">
        <v>629</v>
      </c>
      <c r="J19" s="3" t="s">
        <v>630</v>
      </c>
      <c r="K19" s="3" t="s">
        <v>631</v>
      </c>
      <c r="L19" s="3" t="s">
        <v>632</v>
      </c>
      <c r="M19" s="3" t="s">
        <v>1907</v>
      </c>
      <c r="N19" s="3" t="s">
        <v>634</v>
      </c>
      <c r="O19" s="3">
        <v>5353</v>
      </c>
      <c r="P19" s="3" t="s">
        <v>632</v>
      </c>
      <c r="Q19" s="3" t="s">
        <v>632</v>
      </c>
      <c r="R19" s="3" t="s">
        <v>632</v>
      </c>
      <c r="S19" s="3" t="s">
        <v>632</v>
      </c>
      <c r="T19" s="3" t="s">
        <v>632</v>
      </c>
      <c r="U19" s="3" t="s">
        <v>632</v>
      </c>
      <c r="V19" s="3"/>
    </row>
    <row r="20" spans="1:22" x14ac:dyDescent="0.4">
      <c r="A20" s="11">
        <f t="shared" si="0"/>
        <v>16</v>
      </c>
      <c r="B20" s="3" t="s">
        <v>1919</v>
      </c>
      <c r="C20" s="3" t="s">
        <v>1750</v>
      </c>
      <c r="D20" s="3"/>
      <c r="E20" s="11" t="s">
        <v>20</v>
      </c>
      <c r="F20" s="11" t="s">
        <v>20</v>
      </c>
      <c r="G20" s="11" t="s">
        <v>20</v>
      </c>
      <c r="H20" s="3" t="s">
        <v>628</v>
      </c>
      <c r="I20" s="3" t="s">
        <v>629</v>
      </c>
      <c r="J20" s="3" t="s">
        <v>630</v>
      </c>
      <c r="K20" s="3" t="s">
        <v>1920</v>
      </c>
      <c r="L20" s="3" t="s">
        <v>632</v>
      </c>
      <c r="M20" s="3" t="s">
        <v>632</v>
      </c>
      <c r="N20" s="3" t="s">
        <v>634</v>
      </c>
      <c r="O20" s="3">
        <v>5353</v>
      </c>
      <c r="P20" s="3" t="s">
        <v>632</v>
      </c>
      <c r="Q20" s="3" t="s">
        <v>632</v>
      </c>
      <c r="R20" s="3" t="s">
        <v>632</v>
      </c>
      <c r="S20" s="3" t="s">
        <v>632</v>
      </c>
      <c r="T20" s="3" t="s">
        <v>632</v>
      </c>
      <c r="U20" s="3" t="s">
        <v>632</v>
      </c>
      <c r="V20" s="3"/>
    </row>
    <row r="21" spans="1:22" x14ac:dyDescent="0.4">
      <c r="A21" s="11">
        <f t="shared" si="0"/>
        <v>17</v>
      </c>
      <c r="B21" s="3" t="s">
        <v>1921</v>
      </c>
      <c r="C21" s="3" t="s">
        <v>1922</v>
      </c>
      <c r="D21" s="3"/>
      <c r="E21" s="11" t="s">
        <v>20</v>
      </c>
      <c r="F21" s="11" t="s">
        <v>20</v>
      </c>
      <c r="G21" s="11" t="s">
        <v>20</v>
      </c>
      <c r="H21" s="3" t="s">
        <v>628</v>
      </c>
      <c r="I21" s="3" t="s">
        <v>629</v>
      </c>
      <c r="J21" s="3" t="s">
        <v>630</v>
      </c>
      <c r="K21" s="3" t="s">
        <v>631</v>
      </c>
      <c r="L21" s="3" t="s">
        <v>632</v>
      </c>
      <c r="M21" s="3" t="s">
        <v>1907</v>
      </c>
      <c r="N21" s="3" t="s">
        <v>633</v>
      </c>
      <c r="O21" s="3" t="s">
        <v>1923</v>
      </c>
      <c r="P21" s="3" t="s">
        <v>632</v>
      </c>
      <c r="Q21" s="3" t="s">
        <v>632</v>
      </c>
      <c r="R21" s="3" t="s">
        <v>632</v>
      </c>
      <c r="S21" s="3" t="s">
        <v>632</v>
      </c>
      <c r="T21" s="3" t="s">
        <v>632</v>
      </c>
      <c r="U21" s="3" t="s">
        <v>632</v>
      </c>
      <c r="V21" s="3"/>
    </row>
    <row r="22" spans="1:22" x14ac:dyDescent="0.4">
      <c r="A22" s="11">
        <f t="shared" si="0"/>
        <v>18</v>
      </c>
      <c r="B22" s="3" t="s">
        <v>1924</v>
      </c>
      <c r="C22" s="3" t="s">
        <v>1922</v>
      </c>
      <c r="D22" s="3"/>
      <c r="E22" s="11" t="s">
        <v>20</v>
      </c>
      <c r="F22" s="11" t="s">
        <v>20</v>
      </c>
      <c r="G22" s="11" t="s">
        <v>20</v>
      </c>
      <c r="H22" s="3" t="s">
        <v>628</v>
      </c>
      <c r="I22" s="3" t="s">
        <v>629</v>
      </c>
      <c r="J22" s="3" t="s">
        <v>630</v>
      </c>
      <c r="K22" s="3" t="s">
        <v>631</v>
      </c>
      <c r="L22" s="3" t="s">
        <v>632</v>
      </c>
      <c r="M22" s="3" t="s">
        <v>1907</v>
      </c>
      <c r="N22" s="3" t="s">
        <v>634</v>
      </c>
      <c r="O22" s="3" t="s">
        <v>1925</v>
      </c>
      <c r="P22" s="3" t="s">
        <v>632</v>
      </c>
      <c r="Q22" s="3" t="s">
        <v>632</v>
      </c>
      <c r="R22" s="3" t="s">
        <v>632</v>
      </c>
      <c r="S22" s="3" t="s">
        <v>632</v>
      </c>
      <c r="T22" s="3" t="s">
        <v>632</v>
      </c>
      <c r="U22" s="3" t="s">
        <v>632</v>
      </c>
      <c r="V22" s="3"/>
    </row>
    <row r="23" spans="1:22" x14ac:dyDescent="0.4">
      <c r="A23" s="11">
        <f t="shared" si="0"/>
        <v>19</v>
      </c>
      <c r="B23" s="3" t="s">
        <v>1926</v>
      </c>
      <c r="C23" s="3" t="s">
        <v>1927</v>
      </c>
      <c r="D23" s="3"/>
      <c r="E23" s="11" t="s">
        <v>20</v>
      </c>
      <c r="F23" s="11" t="s">
        <v>20</v>
      </c>
      <c r="G23" s="11" t="s">
        <v>20</v>
      </c>
      <c r="H23" s="3" t="s">
        <v>630</v>
      </c>
      <c r="I23" s="3" t="s">
        <v>629</v>
      </c>
      <c r="J23" s="3" t="s">
        <v>630</v>
      </c>
      <c r="K23" s="3" t="s">
        <v>644</v>
      </c>
      <c r="L23" s="3" t="s">
        <v>632</v>
      </c>
      <c r="M23" s="3" t="s">
        <v>632</v>
      </c>
      <c r="N23" s="3" t="s">
        <v>633</v>
      </c>
      <c r="O23" s="3">
        <v>445</v>
      </c>
      <c r="P23" s="3" t="s">
        <v>632</v>
      </c>
      <c r="Q23" s="3" t="s">
        <v>632</v>
      </c>
      <c r="R23" s="3" t="s">
        <v>632</v>
      </c>
      <c r="S23" s="3" t="s">
        <v>632</v>
      </c>
      <c r="T23" s="3" t="s">
        <v>632</v>
      </c>
      <c r="U23" s="3" t="s">
        <v>632</v>
      </c>
      <c r="V23" s="3"/>
    </row>
    <row r="24" spans="1:22" x14ac:dyDescent="0.4">
      <c r="A24" s="11">
        <f t="shared" si="0"/>
        <v>20</v>
      </c>
      <c r="B24" s="3" t="s">
        <v>1928</v>
      </c>
      <c r="C24" s="3" t="s">
        <v>1927</v>
      </c>
      <c r="D24" s="3"/>
      <c r="E24" s="11" t="s">
        <v>20</v>
      </c>
      <c r="F24" s="11" t="s">
        <v>20</v>
      </c>
      <c r="G24" s="11" t="s">
        <v>20</v>
      </c>
      <c r="H24" s="3" t="s">
        <v>630</v>
      </c>
      <c r="I24" s="3" t="s">
        <v>629</v>
      </c>
      <c r="J24" s="3" t="s">
        <v>630</v>
      </c>
      <c r="K24" s="3" t="s">
        <v>647</v>
      </c>
      <c r="L24" s="3" t="s">
        <v>632</v>
      </c>
      <c r="M24" s="3" t="s">
        <v>632</v>
      </c>
      <c r="N24" s="3" t="s">
        <v>633</v>
      </c>
      <c r="O24" s="3" t="s">
        <v>1914</v>
      </c>
      <c r="P24" s="3" t="s">
        <v>632</v>
      </c>
      <c r="Q24" s="3" t="s">
        <v>632</v>
      </c>
      <c r="R24" s="3" t="s">
        <v>632</v>
      </c>
      <c r="S24" s="3" t="s">
        <v>632</v>
      </c>
      <c r="T24" s="3" t="s">
        <v>632</v>
      </c>
      <c r="U24" s="3" t="s">
        <v>632</v>
      </c>
      <c r="V24" s="3"/>
    </row>
    <row r="25" spans="1:22" x14ac:dyDescent="0.4">
      <c r="A25" s="11">
        <f t="shared" si="0"/>
        <v>21</v>
      </c>
      <c r="B25" s="3" t="s">
        <v>1929</v>
      </c>
      <c r="C25" s="3" t="s">
        <v>1930</v>
      </c>
      <c r="D25" s="3"/>
      <c r="E25" s="11" t="s">
        <v>20</v>
      </c>
      <c r="F25" s="11" t="s">
        <v>20</v>
      </c>
      <c r="G25" s="11" t="s">
        <v>20</v>
      </c>
      <c r="H25" s="3" t="s">
        <v>630</v>
      </c>
      <c r="I25" s="3" t="s">
        <v>629</v>
      </c>
      <c r="J25" s="3" t="s">
        <v>630</v>
      </c>
      <c r="K25" s="3" t="s">
        <v>644</v>
      </c>
      <c r="L25" s="3" t="s">
        <v>632</v>
      </c>
      <c r="M25" s="3" t="s">
        <v>632</v>
      </c>
      <c r="N25" s="3" t="s">
        <v>634</v>
      </c>
      <c r="O25" s="3">
        <v>443</v>
      </c>
      <c r="P25" s="3" t="s">
        <v>632</v>
      </c>
      <c r="Q25" s="3" t="s">
        <v>632</v>
      </c>
      <c r="R25" s="3" t="s">
        <v>632</v>
      </c>
      <c r="S25" s="3" t="s">
        <v>632</v>
      </c>
      <c r="T25" s="3" t="s">
        <v>632</v>
      </c>
      <c r="U25" s="3" t="s">
        <v>632</v>
      </c>
      <c r="V25" s="3"/>
    </row>
    <row r="26" spans="1:22" x14ac:dyDescent="0.4">
      <c r="A26" s="11">
        <f t="shared" si="0"/>
        <v>22</v>
      </c>
      <c r="B26" s="3" t="s">
        <v>648</v>
      </c>
      <c r="C26" s="3" t="s">
        <v>649</v>
      </c>
      <c r="D26" s="3"/>
      <c r="E26" s="11" t="s">
        <v>20</v>
      </c>
      <c r="F26" s="11" t="s">
        <v>20</v>
      </c>
      <c r="G26" s="11" t="s">
        <v>20</v>
      </c>
      <c r="H26" s="3" t="s">
        <v>630</v>
      </c>
      <c r="I26" s="3" t="s">
        <v>629</v>
      </c>
      <c r="J26" s="3" t="s">
        <v>630</v>
      </c>
      <c r="K26" s="3" t="s">
        <v>644</v>
      </c>
      <c r="L26" s="3" t="s">
        <v>632</v>
      </c>
      <c r="M26" s="3" t="s">
        <v>632</v>
      </c>
      <c r="N26" s="3" t="s">
        <v>633</v>
      </c>
      <c r="O26" s="3">
        <v>443</v>
      </c>
      <c r="P26" s="3" t="s">
        <v>632</v>
      </c>
      <c r="Q26" s="3" t="s">
        <v>632</v>
      </c>
      <c r="R26" s="3" t="s">
        <v>632</v>
      </c>
      <c r="S26" s="3" t="s">
        <v>632</v>
      </c>
      <c r="T26" s="3" t="s">
        <v>632</v>
      </c>
      <c r="U26" s="3" t="s">
        <v>632</v>
      </c>
      <c r="V26" s="3"/>
    </row>
    <row r="27" spans="1:22" x14ac:dyDescent="0.4">
      <c r="A27" s="11">
        <f t="shared" si="0"/>
        <v>23</v>
      </c>
      <c r="B27" s="3" t="s">
        <v>1931</v>
      </c>
      <c r="C27" s="3" t="s">
        <v>1932</v>
      </c>
      <c r="D27" s="3"/>
      <c r="E27" s="11" t="s">
        <v>20</v>
      </c>
      <c r="F27" s="11" t="s">
        <v>20</v>
      </c>
      <c r="G27" s="11" t="s">
        <v>20</v>
      </c>
      <c r="H27" s="3" t="s">
        <v>630</v>
      </c>
      <c r="I27" s="3" t="s">
        <v>629</v>
      </c>
      <c r="J27" s="3" t="s">
        <v>630</v>
      </c>
      <c r="K27" s="3" t="s">
        <v>644</v>
      </c>
      <c r="L27" s="3" t="s">
        <v>632</v>
      </c>
      <c r="M27" s="3" t="s">
        <v>632</v>
      </c>
      <c r="N27" s="3" t="s">
        <v>633</v>
      </c>
      <c r="O27" s="3">
        <v>5445</v>
      </c>
      <c r="P27" s="3" t="s">
        <v>632</v>
      </c>
      <c r="Q27" s="3" t="s">
        <v>632</v>
      </c>
      <c r="R27" s="3" t="s">
        <v>632</v>
      </c>
      <c r="S27" s="3" t="s">
        <v>632</v>
      </c>
      <c r="T27" s="3" t="s">
        <v>632</v>
      </c>
      <c r="U27" s="3" t="s">
        <v>632</v>
      </c>
      <c r="V27" s="3"/>
    </row>
    <row r="28" spans="1:22" x14ac:dyDescent="0.4">
      <c r="A28" s="11">
        <f t="shared" si="0"/>
        <v>24</v>
      </c>
      <c r="B28" s="3" t="s">
        <v>1933</v>
      </c>
      <c r="C28" s="3" t="s">
        <v>555</v>
      </c>
      <c r="D28" s="3"/>
      <c r="E28" s="11" t="s">
        <v>20</v>
      </c>
      <c r="F28" s="11" t="s">
        <v>36</v>
      </c>
      <c r="G28" s="11" t="s">
        <v>20</v>
      </c>
      <c r="H28" s="3" t="s">
        <v>630</v>
      </c>
      <c r="I28" s="3" t="s">
        <v>629</v>
      </c>
      <c r="J28" s="3" t="s">
        <v>630</v>
      </c>
      <c r="K28" s="3" t="s">
        <v>650</v>
      </c>
      <c r="L28" s="3" t="s">
        <v>632</v>
      </c>
      <c r="M28" s="3" t="s">
        <v>1907</v>
      </c>
      <c r="N28" s="3" t="s">
        <v>634</v>
      </c>
      <c r="O28" s="3">
        <v>162</v>
      </c>
      <c r="P28" s="3" t="s">
        <v>632</v>
      </c>
      <c r="Q28" s="3" t="s">
        <v>632</v>
      </c>
      <c r="R28" s="3" t="s">
        <v>632</v>
      </c>
      <c r="S28" s="3" t="s">
        <v>632</v>
      </c>
      <c r="T28" s="3" t="s">
        <v>632</v>
      </c>
      <c r="U28" s="3" t="s">
        <v>632</v>
      </c>
      <c r="V28" s="3"/>
    </row>
    <row r="29" spans="1:22" x14ac:dyDescent="0.4">
      <c r="A29" s="11">
        <f t="shared" si="0"/>
        <v>25</v>
      </c>
      <c r="B29" s="3" t="s">
        <v>1933</v>
      </c>
      <c r="C29" s="3" t="s">
        <v>555</v>
      </c>
      <c r="D29" s="3"/>
      <c r="E29" s="11" t="s">
        <v>36</v>
      </c>
      <c r="F29" s="11" t="s">
        <v>20</v>
      </c>
      <c r="G29" s="11" t="s">
        <v>36</v>
      </c>
      <c r="H29" s="3" t="s">
        <v>630</v>
      </c>
      <c r="I29" s="3" t="s">
        <v>629</v>
      </c>
      <c r="J29" s="3" t="s">
        <v>630</v>
      </c>
      <c r="K29" s="3" t="s">
        <v>650</v>
      </c>
      <c r="L29" s="3" t="s">
        <v>632</v>
      </c>
      <c r="M29" s="3" t="s">
        <v>632</v>
      </c>
      <c r="N29" s="3" t="s">
        <v>634</v>
      </c>
      <c r="O29" s="3">
        <v>162</v>
      </c>
      <c r="P29" s="3" t="s">
        <v>632</v>
      </c>
      <c r="Q29" s="3" t="s">
        <v>632</v>
      </c>
      <c r="R29" s="3" t="s">
        <v>632</v>
      </c>
      <c r="S29" s="3" t="s">
        <v>632</v>
      </c>
      <c r="T29" s="3" t="s">
        <v>632</v>
      </c>
      <c r="U29" s="3" t="s">
        <v>632</v>
      </c>
      <c r="V29" s="3"/>
    </row>
    <row r="30" spans="1:22" x14ac:dyDescent="0.4">
      <c r="A30" s="11">
        <f t="shared" si="0"/>
        <v>26</v>
      </c>
      <c r="B30" s="3" t="s">
        <v>1934</v>
      </c>
      <c r="C30" s="3" t="s">
        <v>1935</v>
      </c>
      <c r="D30" s="3"/>
      <c r="E30" s="11" t="s">
        <v>36</v>
      </c>
      <c r="F30" s="11" t="s">
        <v>20</v>
      </c>
      <c r="G30" s="11" t="s">
        <v>36</v>
      </c>
      <c r="H30" s="3" t="s">
        <v>630</v>
      </c>
      <c r="I30" s="3" t="s">
        <v>629</v>
      </c>
      <c r="J30" s="3" t="s">
        <v>630</v>
      </c>
      <c r="K30" s="3" t="s">
        <v>631</v>
      </c>
      <c r="L30" s="3" t="s">
        <v>632</v>
      </c>
      <c r="M30" s="3" t="s">
        <v>632</v>
      </c>
      <c r="N30" s="3" t="s">
        <v>633</v>
      </c>
      <c r="O30" s="3">
        <v>135</v>
      </c>
      <c r="P30" s="3" t="s">
        <v>632</v>
      </c>
      <c r="Q30" s="3" t="s">
        <v>632</v>
      </c>
      <c r="R30" s="3" t="s">
        <v>632</v>
      </c>
      <c r="S30" s="3" t="s">
        <v>632</v>
      </c>
      <c r="T30" s="3" t="s">
        <v>632</v>
      </c>
      <c r="U30" s="3" t="s">
        <v>632</v>
      </c>
      <c r="V30" s="3"/>
    </row>
    <row r="31" spans="1:22" x14ac:dyDescent="0.4">
      <c r="A31" s="11">
        <f t="shared" si="0"/>
        <v>27</v>
      </c>
      <c r="B31" s="3" t="s">
        <v>1934</v>
      </c>
      <c r="C31" s="3" t="s">
        <v>1935</v>
      </c>
      <c r="D31" s="3"/>
      <c r="E31" s="11" t="s">
        <v>20</v>
      </c>
      <c r="F31" s="11" t="s">
        <v>36</v>
      </c>
      <c r="G31" s="11" t="s">
        <v>20</v>
      </c>
      <c r="H31" s="3" t="s">
        <v>630</v>
      </c>
      <c r="I31" s="3" t="s">
        <v>629</v>
      </c>
      <c r="J31" s="3" t="s">
        <v>630</v>
      </c>
      <c r="K31" s="3" t="s">
        <v>631</v>
      </c>
      <c r="L31" s="3" t="s">
        <v>632</v>
      </c>
      <c r="M31" s="3" t="s">
        <v>1907</v>
      </c>
      <c r="N31" s="3" t="s">
        <v>633</v>
      </c>
      <c r="O31" s="3">
        <v>135</v>
      </c>
      <c r="P31" s="3" t="s">
        <v>632</v>
      </c>
      <c r="Q31" s="3" t="s">
        <v>632</v>
      </c>
      <c r="R31" s="3" t="s">
        <v>632</v>
      </c>
      <c r="S31" s="3" t="s">
        <v>632</v>
      </c>
      <c r="T31" s="3" t="s">
        <v>632</v>
      </c>
      <c r="U31" s="3" t="s">
        <v>632</v>
      </c>
      <c r="V31" s="3"/>
    </row>
    <row r="32" spans="1:22" x14ac:dyDescent="0.4">
      <c r="A32" s="11">
        <f t="shared" si="0"/>
        <v>28</v>
      </c>
      <c r="B32" s="3" t="s">
        <v>1936</v>
      </c>
      <c r="C32" s="3" t="s">
        <v>1935</v>
      </c>
      <c r="D32" s="3"/>
      <c r="E32" s="11" t="s">
        <v>20</v>
      </c>
      <c r="F32" s="11" t="s">
        <v>36</v>
      </c>
      <c r="G32" s="11" t="s">
        <v>20</v>
      </c>
      <c r="H32" s="3" t="s">
        <v>630</v>
      </c>
      <c r="I32" s="3" t="s">
        <v>629</v>
      </c>
      <c r="J32" s="3" t="s">
        <v>630</v>
      </c>
      <c r="K32" s="3" t="s">
        <v>651</v>
      </c>
      <c r="L32" s="3" t="s">
        <v>632</v>
      </c>
      <c r="M32" s="3" t="s">
        <v>1907</v>
      </c>
      <c r="N32" s="3" t="s">
        <v>633</v>
      </c>
      <c r="O32" s="3" t="s">
        <v>632</v>
      </c>
      <c r="P32" s="3" t="s">
        <v>632</v>
      </c>
      <c r="Q32" s="3" t="s">
        <v>632</v>
      </c>
      <c r="R32" s="3" t="s">
        <v>632</v>
      </c>
      <c r="S32" s="3" t="s">
        <v>632</v>
      </c>
      <c r="T32" s="3" t="s">
        <v>632</v>
      </c>
      <c r="U32" s="3" t="s">
        <v>632</v>
      </c>
      <c r="V32" s="3"/>
    </row>
    <row r="33" spans="1:22" x14ac:dyDescent="0.4">
      <c r="A33" s="11">
        <f t="shared" si="0"/>
        <v>29</v>
      </c>
      <c r="B33" s="3" t="s">
        <v>1936</v>
      </c>
      <c r="C33" s="3" t="s">
        <v>1935</v>
      </c>
      <c r="D33" s="3"/>
      <c r="E33" s="11" t="s">
        <v>36</v>
      </c>
      <c r="F33" s="11" t="s">
        <v>20</v>
      </c>
      <c r="G33" s="11" t="s">
        <v>36</v>
      </c>
      <c r="H33" s="3" t="s">
        <v>630</v>
      </c>
      <c r="I33" s="3" t="s">
        <v>629</v>
      </c>
      <c r="J33" s="3" t="s">
        <v>630</v>
      </c>
      <c r="K33" s="3" t="s">
        <v>651</v>
      </c>
      <c r="L33" s="3" t="s">
        <v>632</v>
      </c>
      <c r="M33" s="3" t="s">
        <v>632</v>
      </c>
      <c r="N33" s="3" t="s">
        <v>633</v>
      </c>
      <c r="O33" s="3" t="s">
        <v>632</v>
      </c>
      <c r="P33" s="3" t="s">
        <v>632</v>
      </c>
      <c r="Q33" s="3" t="s">
        <v>632</v>
      </c>
      <c r="R33" s="3" t="s">
        <v>632</v>
      </c>
      <c r="S33" s="3" t="s">
        <v>632</v>
      </c>
      <c r="T33" s="3" t="s">
        <v>632</v>
      </c>
      <c r="U33" s="3" t="s">
        <v>632</v>
      </c>
      <c r="V33" s="3"/>
    </row>
    <row r="34" spans="1:22" x14ac:dyDescent="0.4">
      <c r="A34" s="11">
        <f t="shared" si="0"/>
        <v>30</v>
      </c>
      <c r="B34" s="3" t="s">
        <v>1937</v>
      </c>
      <c r="C34" s="3" t="s">
        <v>1938</v>
      </c>
      <c r="D34" s="3"/>
      <c r="E34" s="11" t="s">
        <v>20</v>
      </c>
      <c r="F34" s="11" t="s">
        <v>20</v>
      </c>
      <c r="G34" s="11" t="s">
        <v>20</v>
      </c>
      <c r="H34" s="3" t="s">
        <v>630</v>
      </c>
      <c r="I34" s="3" t="s">
        <v>629</v>
      </c>
      <c r="J34" s="3" t="s">
        <v>630</v>
      </c>
      <c r="K34" s="3" t="s">
        <v>631</v>
      </c>
      <c r="L34" s="3" t="s">
        <v>632</v>
      </c>
      <c r="M34" s="3" t="s">
        <v>632</v>
      </c>
      <c r="N34" s="3" t="s">
        <v>633</v>
      </c>
      <c r="O34" s="3" t="s">
        <v>1914</v>
      </c>
      <c r="P34" s="3" t="s">
        <v>632</v>
      </c>
      <c r="Q34" s="3" t="s">
        <v>632</v>
      </c>
      <c r="R34" s="3" t="s">
        <v>632</v>
      </c>
      <c r="S34" s="3" t="s">
        <v>632</v>
      </c>
      <c r="T34" s="3" t="s">
        <v>632</v>
      </c>
      <c r="U34" s="3" t="s">
        <v>632</v>
      </c>
      <c r="V34" s="3"/>
    </row>
    <row r="35" spans="1:22" x14ac:dyDescent="0.4">
      <c r="A35" s="11">
        <f t="shared" si="0"/>
        <v>31</v>
      </c>
      <c r="B35" s="3" t="s">
        <v>1939</v>
      </c>
      <c r="C35" s="3" t="s">
        <v>1938</v>
      </c>
      <c r="D35" s="3"/>
      <c r="E35" s="11" t="s">
        <v>20</v>
      </c>
      <c r="F35" s="11" t="s">
        <v>20</v>
      </c>
      <c r="G35" s="11" t="s">
        <v>20</v>
      </c>
      <c r="H35" s="3" t="s">
        <v>630</v>
      </c>
      <c r="I35" s="3" t="s">
        <v>629</v>
      </c>
      <c r="J35" s="3" t="s">
        <v>630</v>
      </c>
      <c r="K35" s="3" t="s">
        <v>631</v>
      </c>
      <c r="L35" s="3" t="s">
        <v>632</v>
      </c>
      <c r="M35" s="3" t="s">
        <v>632</v>
      </c>
      <c r="N35" s="3" t="s">
        <v>633</v>
      </c>
      <c r="O35" s="3" t="s">
        <v>1940</v>
      </c>
      <c r="P35" s="3" t="s">
        <v>632</v>
      </c>
      <c r="Q35" s="3" t="s">
        <v>632</v>
      </c>
      <c r="R35" s="3" t="s">
        <v>632</v>
      </c>
      <c r="S35" s="3" t="s">
        <v>632</v>
      </c>
      <c r="T35" s="3" t="s">
        <v>632</v>
      </c>
      <c r="U35" s="3" t="s">
        <v>632</v>
      </c>
      <c r="V35" s="3"/>
    </row>
    <row r="36" spans="1:22" x14ac:dyDescent="0.4">
      <c r="A36" s="11">
        <f t="shared" si="0"/>
        <v>32</v>
      </c>
      <c r="B36" s="3" t="s">
        <v>652</v>
      </c>
      <c r="C36" s="3" t="s">
        <v>653</v>
      </c>
      <c r="D36" s="3"/>
      <c r="E36" s="11" t="s">
        <v>20</v>
      </c>
      <c r="F36" s="11" t="s">
        <v>20</v>
      </c>
      <c r="G36" s="11" t="s">
        <v>20</v>
      </c>
      <c r="H36" s="3" t="s">
        <v>630</v>
      </c>
      <c r="I36" s="3" t="s">
        <v>629</v>
      </c>
      <c r="J36" s="3" t="s">
        <v>630</v>
      </c>
      <c r="K36" s="3" t="s">
        <v>631</v>
      </c>
      <c r="L36" s="3" t="s">
        <v>632</v>
      </c>
      <c r="M36" s="3" t="s">
        <v>632</v>
      </c>
      <c r="N36" s="3" t="s">
        <v>633</v>
      </c>
      <c r="O36" s="3">
        <v>135</v>
      </c>
      <c r="P36" s="3" t="s">
        <v>632</v>
      </c>
      <c r="Q36" s="3" t="s">
        <v>632</v>
      </c>
      <c r="R36" s="3" t="s">
        <v>632</v>
      </c>
      <c r="S36" s="3" t="s">
        <v>632</v>
      </c>
      <c r="T36" s="3" t="s">
        <v>632</v>
      </c>
      <c r="U36" s="3" t="s">
        <v>632</v>
      </c>
      <c r="V36" s="3"/>
    </row>
    <row r="37" spans="1:22" x14ac:dyDescent="0.4">
      <c r="A37" s="11">
        <f t="shared" si="0"/>
        <v>33</v>
      </c>
      <c r="B37" s="3" t="s">
        <v>654</v>
      </c>
      <c r="C37" s="3" t="s">
        <v>653</v>
      </c>
      <c r="D37" s="3"/>
      <c r="E37" s="11" t="s">
        <v>20</v>
      </c>
      <c r="F37" s="11" t="s">
        <v>20</v>
      </c>
      <c r="G37" s="11" t="s">
        <v>20</v>
      </c>
      <c r="H37" s="3" t="s">
        <v>630</v>
      </c>
      <c r="I37" s="3" t="s">
        <v>629</v>
      </c>
      <c r="J37" s="3" t="s">
        <v>630</v>
      </c>
      <c r="K37" s="3" t="s">
        <v>631</v>
      </c>
      <c r="L37" s="3" t="s">
        <v>632</v>
      </c>
      <c r="M37" s="3" t="s">
        <v>632</v>
      </c>
      <c r="N37" s="3" t="s">
        <v>633</v>
      </c>
      <c r="O37" s="3" t="s">
        <v>632</v>
      </c>
      <c r="P37" s="3" t="s">
        <v>632</v>
      </c>
      <c r="Q37" s="3" t="s">
        <v>632</v>
      </c>
      <c r="R37" s="3" t="s">
        <v>632</v>
      </c>
      <c r="S37" s="3" t="s">
        <v>632</v>
      </c>
      <c r="T37" s="3" t="s">
        <v>632</v>
      </c>
      <c r="U37" s="3" t="s">
        <v>632</v>
      </c>
      <c r="V37" s="3"/>
    </row>
    <row r="38" spans="1:22" x14ac:dyDescent="0.4">
      <c r="A38" s="11">
        <f t="shared" si="0"/>
        <v>34</v>
      </c>
      <c r="B38" s="3" t="s">
        <v>655</v>
      </c>
      <c r="C38" s="3" t="s">
        <v>653</v>
      </c>
      <c r="D38" s="3"/>
      <c r="E38" s="11" t="s">
        <v>20</v>
      </c>
      <c r="F38" s="11" t="s">
        <v>20</v>
      </c>
      <c r="G38" s="11" t="s">
        <v>20</v>
      </c>
      <c r="H38" s="3" t="s">
        <v>630</v>
      </c>
      <c r="I38" s="3" t="s">
        <v>629</v>
      </c>
      <c r="J38" s="3" t="s">
        <v>630</v>
      </c>
      <c r="K38" s="3" t="s">
        <v>656</v>
      </c>
      <c r="L38" s="3" t="s">
        <v>632</v>
      </c>
      <c r="M38" s="3" t="s">
        <v>632</v>
      </c>
      <c r="N38" s="3" t="s">
        <v>633</v>
      </c>
      <c r="O38" s="3" t="s">
        <v>632</v>
      </c>
      <c r="P38" s="3" t="s">
        <v>632</v>
      </c>
      <c r="Q38" s="3" t="s">
        <v>632</v>
      </c>
      <c r="R38" s="3" t="s">
        <v>632</v>
      </c>
      <c r="S38" s="3" t="s">
        <v>632</v>
      </c>
      <c r="T38" s="3" t="s">
        <v>632</v>
      </c>
      <c r="U38" s="3" t="s">
        <v>632</v>
      </c>
      <c r="V38" s="3"/>
    </row>
    <row r="39" spans="1:22" x14ac:dyDescent="0.4">
      <c r="A39" s="11">
        <f t="shared" si="0"/>
        <v>35</v>
      </c>
      <c r="B39" s="3" t="s">
        <v>657</v>
      </c>
      <c r="C39" s="3" t="s">
        <v>658</v>
      </c>
      <c r="D39" s="3"/>
      <c r="E39" s="11" t="s">
        <v>20</v>
      </c>
      <c r="F39" s="11" t="s">
        <v>20</v>
      </c>
      <c r="G39" s="11" t="s">
        <v>20</v>
      </c>
      <c r="H39" s="3" t="s">
        <v>630</v>
      </c>
      <c r="I39" s="3" t="s">
        <v>629</v>
      </c>
      <c r="J39" s="3" t="s">
        <v>630</v>
      </c>
      <c r="K39" s="3" t="s">
        <v>659</v>
      </c>
      <c r="L39" s="3" t="s">
        <v>632</v>
      </c>
      <c r="M39" s="3" t="s">
        <v>632</v>
      </c>
      <c r="N39" s="3" t="s">
        <v>634</v>
      </c>
      <c r="O39" s="3" t="s">
        <v>632</v>
      </c>
      <c r="P39" s="3" t="s">
        <v>632</v>
      </c>
      <c r="Q39" s="3" t="s">
        <v>632</v>
      </c>
      <c r="R39" s="3" t="s">
        <v>632</v>
      </c>
      <c r="S39" s="3" t="s">
        <v>632</v>
      </c>
      <c r="T39" s="3" t="s">
        <v>632</v>
      </c>
      <c r="U39" s="3" t="s">
        <v>632</v>
      </c>
      <c r="V39" s="3"/>
    </row>
    <row r="40" spans="1:22" x14ac:dyDescent="0.4">
      <c r="A40" s="11">
        <f t="shared" si="0"/>
        <v>36</v>
      </c>
      <c r="B40" s="3" t="s">
        <v>660</v>
      </c>
      <c r="C40" s="3" t="s">
        <v>658</v>
      </c>
      <c r="D40" s="3"/>
      <c r="E40" s="11" t="s">
        <v>20</v>
      </c>
      <c r="F40" s="11" t="s">
        <v>20</v>
      </c>
      <c r="G40" s="11" t="s">
        <v>20</v>
      </c>
      <c r="H40" s="3" t="s">
        <v>630</v>
      </c>
      <c r="I40" s="3" t="s">
        <v>629</v>
      </c>
      <c r="J40" s="3" t="s">
        <v>630</v>
      </c>
      <c r="K40" s="3" t="s">
        <v>661</v>
      </c>
      <c r="L40" s="3" t="s">
        <v>632</v>
      </c>
      <c r="M40" s="3" t="s">
        <v>632</v>
      </c>
      <c r="N40" s="3" t="s">
        <v>634</v>
      </c>
      <c r="O40" s="3" t="s">
        <v>632</v>
      </c>
      <c r="P40" s="3" t="s">
        <v>632</v>
      </c>
      <c r="Q40" s="3" t="s">
        <v>632</v>
      </c>
      <c r="R40" s="3" t="s">
        <v>632</v>
      </c>
      <c r="S40" s="3" t="s">
        <v>632</v>
      </c>
      <c r="T40" s="3" t="s">
        <v>632</v>
      </c>
      <c r="U40" s="3" t="s">
        <v>632</v>
      </c>
      <c r="V40" s="3"/>
    </row>
    <row r="41" spans="1:22" x14ac:dyDescent="0.4">
      <c r="A41" s="11">
        <f t="shared" si="0"/>
        <v>37</v>
      </c>
      <c r="B41" s="3" t="s">
        <v>1941</v>
      </c>
      <c r="C41" s="3" t="s">
        <v>1942</v>
      </c>
      <c r="D41" s="3"/>
      <c r="E41" s="11" t="s">
        <v>20</v>
      </c>
      <c r="F41" s="11" t="s">
        <v>36</v>
      </c>
      <c r="G41" s="11" t="s">
        <v>20</v>
      </c>
      <c r="H41" s="3" t="s">
        <v>630</v>
      </c>
      <c r="I41" s="3" t="s">
        <v>629</v>
      </c>
      <c r="J41" s="3" t="s">
        <v>630</v>
      </c>
      <c r="K41" s="3" t="s">
        <v>644</v>
      </c>
      <c r="L41" s="3" t="s">
        <v>632</v>
      </c>
      <c r="M41" s="3" t="s">
        <v>1907</v>
      </c>
      <c r="N41" s="3" t="s">
        <v>633</v>
      </c>
      <c r="O41" s="3">
        <v>10243</v>
      </c>
      <c r="P41" s="3" t="s">
        <v>632</v>
      </c>
      <c r="Q41" s="3" t="s">
        <v>632</v>
      </c>
      <c r="R41" s="3" t="s">
        <v>632</v>
      </c>
      <c r="S41" s="3" t="s">
        <v>632</v>
      </c>
      <c r="T41" s="3" t="s">
        <v>632</v>
      </c>
      <c r="U41" s="3" t="s">
        <v>632</v>
      </c>
      <c r="V41" s="3"/>
    </row>
    <row r="42" spans="1:22" x14ac:dyDescent="0.4">
      <c r="A42" s="11">
        <f t="shared" si="0"/>
        <v>38</v>
      </c>
      <c r="B42" s="3" t="s">
        <v>1941</v>
      </c>
      <c r="C42" s="3" t="s">
        <v>1942</v>
      </c>
      <c r="D42" s="3"/>
      <c r="E42" s="11" t="s">
        <v>36</v>
      </c>
      <c r="F42" s="11" t="s">
        <v>20</v>
      </c>
      <c r="G42" s="11" t="s">
        <v>36</v>
      </c>
      <c r="H42" s="3" t="s">
        <v>630</v>
      </c>
      <c r="I42" s="3" t="s">
        <v>629</v>
      </c>
      <c r="J42" s="3" t="s">
        <v>630</v>
      </c>
      <c r="K42" s="3" t="s">
        <v>644</v>
      </c>
      <c r="L42" s="3" t="s">
        <v>632</v>
      </c>
      <c r="M42" s="3" t="s">
        <v>632</v>
      </c>
      <c r="N42" s="3" t="s">
        <v>633</v>
      </c>
      <c r="O42" s="3">
        <v>10243</v>
      </c>
      <c r="P42" s="3" t="s">
        <v>632</v>
      </c>
      <c r="Q42" s="3" t="s">
        <v>632</v>
      </c>
      <c r="R42" s="3" t="s">
        <v>632</v>
      </c>
      <c r="S42" s="3" t="s">
        <v>632</v>
      </c>
      <c r="T42" s="3" t="s">
        <v>632</v>
      </c>
      <c r="U42" s="3" t="s">
        <v>632</v>
      </c>
      <c r="V42" s="3"/>
    </row>
    <row r="43" spans="1:22" x14ac:dyDescent="0.4">
      <c r="A43" s="11">
        <f t="shared" si="0"/>
        <v>39</v>
      </c>
      <c r="B43" s="3" t="s">
        <v>1943</v>
      </c>
      <c r="C43" s="3" t="s">
        <v>1942</v>
      </c>
      <c r="D43" s="3"/>
      <c r="E43" s="11" t="s">
        <v>20</v>
      </c>
      <c r="F43" s="11" t="s">
        <v>36</v>
      </c>
      <c r="G43" s="11" t="s">
        <v>20</v>
      </c>
      <c r="H43" s="3" t="s">
        <v>630</v>
      </c>
      <c r="I43" s="3" t="s">
        <v>629</v>
      </c>
      <c r="J43" s="3" t="s">
        <v>630</v>
      </c>
      <c r="K43" s="3" t="s">
        <v>631</v>
      </c>
      <c r="L43" s="3" t="s">
        <v>632</v>
      </c>
      <c r="M43" s="3" t="s">
        <v>1907</v>
      </c>
      <c r="N43" s="3" t="s">
        <v>633</v>
      </c>
      <c r="O43" s="3">
        <v>2177</v>
      </c>
      <c r="P43" s="3" t="s">
        <v>632</v>
      </c>
      <c r="Q43" s="3" t="s">
        <v>632</v>
      </c>
      <c r="R43" s="3" t="s">
        <v>632</v>
      </c>
      <c r="S43" s="3" t="s">
        <v>632</v>
      </c>
      <c r="T43" s="3" t="s">
        <v>632</v>
      </c>
      <c r="U43" s="3" t="s">
        <v>632</v>
      </c>
      <c r="V43" s="3"/>
    </row>
    <row r="44" spans="1:22" x14ac:dyDescent="0.4">
      <c r="A44" s="11">
        <f t="shared" si="0"/>
        <v>40</v>
      </c>
      <c r="B44" s="3" t="s">
        <v>1943</v>
      </c>
      <c r="C44" s="3" t="s">
        <v>1942</v>
      </c>
      <c r="D44" s="3"/>
      <c r="E44" s="11" t="s">
        <v>36</v>
      </c>
      <c r="F44" s="11" t="s">
        <v>20</v>
      </c>
      <c r="G44" s="11" t="s">
        <v>36</v>
      </c>
      <c r="H44" s="3" t="s">
        <v>630</v>
      </c>
      <c r="I44" s="3" t="s">
        <v>629</v>
      </c>
      <c r="J44" s="3" t="s">
        <v>630</v>
      </c>
      <c r="K44" s="3" t="s">
        <v>631</v>
      </c>
      <c r="L44" s="3" t="s">
        <v>632</v>
      </c>
      <c r="M44" s="3" t="s">
        <v>632</v>
      </c>
      <c r="N44" s="3" t="s">
        <v>633</v>
      </c>
      <c r="O44" s="3">
        <v>2177</v>
      </c>
      <c r="P44" s="3" t="s">
        <v>632</v>
      </c>
      <c r="Q44" s="3" t="s">
        <v>632</v>
      </c>
      <c r="R44" s="3" t="s">
        <v>632</v>
      </c>
      <c r="S44" s="3" t="s">
        <v>632</v>
      </c>
      <c r="T44" s="3" t="s">
        <v>632</v>
      </c>
      <c r="U44" s="3" t="s">
        <v>632</v>
      </c>
      <c r="V44" s="3"/>
    </row>
    <row r="45" spans="1:22" x14ac:dyDescent="0.4">
      <c r="A45" s="11">
        <f t="shared" si="0"/>
        <v>41</v>
      </c>
      <c r="B45" s="3" t="s">
        <v>1944</v>
      </c>
      <c r="C45" s="3" t="s">
        <v>1942</v>
      </c>
      <c r="D45" s="3"/>
      <c r="E45" s="11" t="s">
        <v>36</v>
      </c>
      <c r="F45" s="11" t="s">
        <v>20</v>
      </c>
      <c r="G45" s="11" t="s">
        <v>36</v>
      </c>
      <c r="H45" s="3" t="s">
        <v>630</v>
      </c>
      <c r="I45" s="3" t="s">
        <v>629</v>
      </c>
      <c r="J45" s="3" t="s">
        <v>630</v>
      </c>
      <c r="K45" s="3" t="s">
        <v>631</v>
      </c>
      <c r="L45" s="3" t="s">
        <v>632</v>
      </c>
      <c r="M45" s="3" t="s">
        <v>632</v>
      </c>
      <c r="N45" s="3" t="s">
        <v>634</v>
      </c>
      <c r="O45" s="3">
        <v>2177</v>
      </c>
      <c r="P45" s="3" t="s">
        <v>632</v>
      </c>
      <c r="Q45" s="3" t="s">
        <v>632</v>
      </c>
      <c r="R45" s="3" t="s">
        <v>632</v>
      </c>
      <c r="S45" s="3" t="s">
        <v>632</v>
      </c>
      <c r="T45" s="3" t="s">
        <v>632</v>
      </c>
      <c r="U45" s="3" t="s">
        <v>632</v>
      </c>
      <c r="V45" s="3"/>
    </row>
    <row r="46" spans="1:22" x14ac:dyDescent="0.4">
      <c r="A46" s="11">
        <f t="shared" si="0"/>
        <v>42</v>
      </c>
      <c r="B46" s="3" t="s">
        <v>1944</v>
      </c>
      <c r="C46" s="3" t="s">
        <v>1942</v>
      </c>
      <c r="D46" s="3"/>
      <c r="E46" s="11" t="s">
        <v>20</v>
      </c>
      <c r="F46" s="11" t="s">
        <v>36</v>
      </c>
      <c r="G46" s="11" t="s">
        <v>20</v>
      </c>
      <c r="H46" s="3" t="s">
        <v>630</v>
      </c>
      <c r="I46" s="3" t="s">
        <v>629</v>
      </c>
      <c r="J46" s="3" t="s">
        <v>630</v>
      </c>
      <c r="K46" s="3" t="s">
        <v>631</v>
      </c>
      <c r="L46" s="3" t="s">
        <v>632</v>
      </c>
      <c r="M46" s="3" t="s">
        <v>1907</v>
      </c>
      <c r="N46" s="3" t="s">
        <v>634</v>
      </c>
      <c r="O46" s="3">
        <v>2177</v>
      </c>
      <c r="P46" s="3" t="s">
        <v>632</v>
      </c>
      <c r="Q46" s="3" t="s">
        <v>632</v>
      </c>
      <c r="R46" s="3" t="s">
        <v>632</v>
      </c>
      <c r="S46" s="3" t="s">
        <v>632</v>
      </c>
      <c r="T46" s="3" t="s">
        <v>632</v>
      </c>
      <c r="U46" s="3" t="s">
        <v>632</v>
      </c>
      <c r="V46" s="3"/>
    </row>
    <row r="47" spans="1:22" x14ac:dyDescent="0.4">
      <c r="A47" s="11">
        <f t="shared" si="0"/>
        <v>43</v>
      </c>
      <c r="B47" s="3" t="s">
        <v>1945</v>
      </c>
      <c r="C47" s="3" t="s">
        <v>1942</v>
      </c>
      <c r="D47" s="3"/>
      <c r="E47" s="11" t="s">
        <v>20</v>
      </c>
      <c r="F47" s="11" t="s">
        <v>20</v>
      </c>
      <c r="G47" s="11" t="s">
        <v>20</v>
      </c>
      <c r="H47" s="3" t="s">
        <v>630</v>
      </c>
      <c r="I47" s="3" t="s">
        <v>629</v>
      </c>
      <c r="J47" s="3" t="s">
        <v>630</v>
      </c>
      <c r="K47" s="3" t="s">
        <v>631</v>
      </c>
      <c r="L47" s="3" t="s">
        <v>632</v>
      </c>
      <c r="M47" s="3" t="s">
        <v>1907</v>
      </c>
      <c r="N47" s="3" t="s">
        <v>634</v>
      </c>
      <c r="O47" s="3">
        <v>1900</v>
      </c>
      <c r="P47" s="3" t="s">
        <v>632</v>
      </c>
      <c r="Q47" s="3" t="s">
        <v>632</v>
      </c>
      <c r="R47" s="3" t="s">
        <v>632</v>
      </c>
      <c r="S47" s="3" t="s">
        <v>632</v>
      </c>
      <c r="T47" s="3" t="s">
        <v>632</v>
      </c>
      <c r="U47" s="3" t="s">
        <v>632</v>
      </c>
      <c r="V47" s="3"/>
    </row>
    <row r="48" spans="1:22" x14ac:dyDescent="0.4">
      <c r="A48" s="11">
        <f t="shared" si="0"/>
        <v>44</v>
      </c>
      <c r="B48" s="3" t="s">
        <v>1946</v>
      </c>
      <c r="C48" s="3" t="s">
        <v>1942</v>
      </c>
      <c r="D48" s="3"/>
      <c r="E48" s="11" t="s">
        <v>20</v>
      </c>
      <c r="F48" s="11" t="s">
        <v>36</v>
      </c>
      <c r="G48" s="11" t="s">
        <v>20</v>
      </c>
      <c r="H48" s="3" t="s">
        <v>630</v>
      </c>
      <c r="I48" s="3" t="s">
        <v>629</v>
      </c>
      <c r="J48" s="3" t="s">
        <v>630</v>
      </c>
      <c r="K48" s="3" t="s">
        <v>662</v>
      </c>
      <c r="L48" s="3" t="s">
        <v>632</v>
      </c>
      <c r="M48" s="3" t="s">
        <v>1907</v>
      </c>
      <c r="N48" s="3" t="s">
        <v>633</v>
      </c>
      <c r="O48" s="3" t="s">
        <v>632</v>
      </c>
      <c r="P48" s="3" t="s">
        <v>632</v>
      </c>
      <c r="Q48" s="3" t="s">
        <v>632</v>
      </c>
      <c r="R48" s="3" t="s">
        <v>632</v>
      </c>
      <c r="S48" s="3" t="s">
        <v>632</v>
      </c>
      <c r="T48" s="3" t="s">
        <v>632</v>
      </c>
      <c r="U48" s="3" t="s">
        <v>632</v>
      </c>
      <c r="V48" s="3"/>
    </row>
    <row r="49" spans="1:22" x14ac:dyDescent="0.4">
      <c r="A49" s="11">
        <f t="shared" si="0"/>
        <v>45</v>
      </c>
      <c r="B49" s="3" t="s">
        <v>1946</v>
      </c>
      <c r="C49" s="3" t="s">
        <v>1942</v>
      </c>
      <c r="D49" s="3"/>
      <c r="E49" s="11" t="s">
        <v>36</v>
      </c>
      <c r="F49" s="11" t="s">
        <v>20</v>
      </c>
      <c r="G49" s="11" t="s">
        <v>36</v>
      </c>
      <c r="H49" s="3" t="s">
        <v>630</v>
      </c>
      <c r="I49" s="3" t="s">
        <v>629</v>
      </c>
      <c r="J49" s="3" t="s">
        <v>630</v>
      </c>
      <c r="K49" s="3" t="s">
        <v>662</v>
      </c>
      <c r="L49" s="3" t="s">
        <v>632</v>
      </c>
      <c r="M49" s="3" t="s">
        <v>632</v>
      </c>
      <c r="N49" s="3" t="s">
        <v>633</v>
      </c>
      <c r="O49" s="3" t="s">
        <v>632</v>
      </c>
      <c r="P49" s="3" t="s">
        <v>632</v>
      </c>
      <c r="Q49" s="3" t="s">
        <v>632</v>
      </c>
      <c r="R49" s="3" t="s">
        <v>632</v>
      </c>
      <c r="S49" s="3" t="s">
        <v>632</v>
      </c>
      <c r="T49" s="3" t="s">
        <v>632</v>
      </c>
      <c r="U49" s="3" t="s">
        <v>632</v>
      </c>
      <c r="V49" s="3"/>
    </row>
    <row r="50" spans="1:22" x14ac:dyDescent="0.4">
      <c r="A50" s="11">
        <f t="shared" si="0"/>
        <v>46</v>
      </c>
      <c r="B50" s="3" t="s">
        <v>1947</v>
      </c>
      <c r="C50" s="3" t="s">
        <v>1942</v>
      </c>
      <c r="D50" s="3"/>
      <c r="E50" s="11" t="s">
        <v>20</v>
      </c>
      <c r="F50" s="11" t="s">
        <v>36</v>
      </c>
      <c r="G50" s="11" t="s">
        <v>20</v>
      </c>
      <c r="H50" s="3" t="s">
        <v>630</v>
      </c>
      <c r="I50" s="3" t="s">
        <v>629</v>
      </c>
      <c r="J50" s="3" t="s">
        <v>630</v>
      </c>
      <c r="K50" s="3" t="s">
        <v>662</v>
      </c>
      <c r="L50" s="3" t="s">
        <v>632</v>
      </c>
      <c r="M50" s="3" t="s">
        <v>1907</v>
      </c>
      <c r="N50" s="3" t="s">
        <v>634</v>
      </c>
      <c r="O50" s="3" t="s">
        <v>632</v>
      </c>
      <c r="P50" s="3" t="s">
        <v>632</v>
      </c>
      <c r="Q50" s="3" t="s">
        <v>632</v>
      </c>
      <c r="R50" s="3" t="s">
        <v>632</v>
      </c>
      <c r="S50" s="3" t="s">
        <v>632</v>
      </c>
      <c r="T50" s="3" t="s">
        <v>632</v>
      </c>
      <c r="U50" s="3" t="s">
        <v>632</v>
      </c>
      <c r="V50" s="3"/>
    </row>
    <row r="51" spans="1:22" x14ac:dyDescent="0.4">
      <c r="A51" s="11">
        <f t="shared" si="0"/>
        <v>47</v>
      </c>
      <c r="B51" s="3" t="s">
        <v>1947</v>
      </c>
      <c r="C51" s="3" t="s">
        <v>1942</v>
      </c>
      <c r="D51" s="3"/>
      <c r="E51" s="11" t="s">
        <v>36</v>
      </c>
      <c r="F51" s="11" t="s">
        <v>20</v>
      </c>
      <c r="G51" s="11" t="s">
        <v>36</v>
      </c>
      <c r="H51" s="3" t="s">
        <v>630</v>
      </c>
      <c r="I51" s="3" t="s">
        <v>629</v>
      </c>
      <c r="J51" s="3" t="s">
        <v>630</v>
      </c>
      <c r="K51" s="3" t="s">
        <v>662</v>
      </c>
      <c r="L51" s="3" t="s">
        <v>632</v>
      </c>
      <c r="M51" s="3" t="s">
        <v>632</v>
      </c>
      <c r="N51" s="3" t="s">
        <v>634</v>
      </c>
      <c r="O51" s="3" t="s">
        <v>632</v>
      </c>
      <c r="P51" s="3" t="s">
        <v>632</v>
      </c>
      <c r="Q51" s="3" t="s">
        <v>632</v>
      </c>
      <c r="R51" s="3" t="s">
        <v>632</v>
      </c>
      <c r="S51" s="3" t="s">
        <v>632</v>
      </c>
      <c r="T51" s="3" t="s">
        <v>632</v>
      </c>
      <c r="U51" s="3" t="s">
        <v>632</v>
      </c>
      <c r="V51" s="3"/>
    </row>
    <row r="52" spans="1:22" x14ac:dyDescent="0.4">
      <c r="A52" s="11">
        <f t="shared" si="0"/>
        <v>48</v>
      </c>
      <c r="B52" s="3" t="s">
        <v>1948</v>
      </c>
      <c r="C52" s="3" t="s">
        <v>1942</v>
      </c>
      <c r="D52" s="3"/>
      <c r="E52" s="11" t="s">
        <v>20</v>
      </c>
      <c r="F52" s="11" t="s">
        <v>20</v>
      </c>
      <c r="G52" s="11" t="s">
        <v>20</v>
      </c>
      <c r="H52" s="3" t="s">
        <v>630</v>
      </c>
      <c r="I52" s="3" t="s">
        <v>629</v>
      </c>
      <c r="J52" s="3" t="s">
        <v>630</v>
      </c>
      <c r="K52" s="3" t="s">
        <v>644</v>
      </c>
      <c r="L52" s="3" t="s">
        <v>632</v>
      </c>
      <c r="M52" s="3" t="s">
        <v>1907</v>
      </c>
      <c r="N52" s="3" t="s">
        <v>633</v>
      </c>
      <c r="O52" s="3">
        <v>2869</v>
      </c>
      <c r="P52" s="3" t="s">
        <v>632</v>
      </c>
      <c r="Q52" s="3" t="s">
        <v>632</v>
      </c>
      <c r="R52" s="3" t="s">
        <v>632</v>
      </c>
      <c r="S52" s="3" t="s">
        <v>632</v>
      </c>
      <c r="T52" s="3" t="s">
        <v>632</v>
      </c>
      <c r="U52" s="3" t="s">
        <v>632</v>
      </c>
      <c r="V52" s="3"/>
    </row>
    <row r="53" spans="1:22" x14ac:dyDescent="0.4">
      <c r="A53" s="11">
        <f t="shared" si="0"/>
        <v>49</v>
      </c>
      <c r="B53" s="3" t="s">
        <v>1949</v>
      </c>
      <c r="C53" s="3" t="s">
        <v>1942</v>
      </c>
      <c r="D53" s="3"/>
      <c r="E53" s="11" t="s">
        <v>36</v>
      </c>
      <c r="F53" s="11" t="s">
        <v>20</v>
      </c>
      <c r="G53" s="11" t="s">
        <v>36</v>
      </c>
      <c r="H53" s="3" t="s">
        <v>630</v>
      </c>
      <c r="I53" s="3" t="s">
        <v>629</v>
      </c>
      <c r="J53" s="3" t="s">
        <v>630</v>
      </c>
      <c r="K53" s="3" t="s">
        <v>663</v>
      </c>
      <c r="L53" s="3" t="s">
        <v>632</v>
      </c>
      <c r="M53" s="3" t="s">
        <v>632</v>
      </c>
      <c r="N53" s="3" t="s">
        <v>634</v>
      </c>
      <c r="O53" s="3" t="s">
        <v>632</v>
      </c>
      <c r="P53" s="3" t="s">
        <v>632</v>
      </c>
      <c r="Q53" s="3" t="s">
        <v>632</v>
      </c>
      <c r="R53" s="3" t="s">
        <v>632</v>
      </c>
      <c r="S53" s="3" t="s">
        <v>632</v>
      </c>
      <c r="T53" s="3" t="s">
        <v>632</v>
      </c>
      <c r="U53" s="3" t="s">
        <v>632</v>
      </c>
      <c r="V53" s="3"/>
    </row>
    <row r="54" spans="1:22" x14ac:dyDescent="0.4">
      <c r="A54" s="11">
        <f t="shared" si="0"/>
        <v>50</v>
      </c>
      <c r="B54" s="3" t="s">
        <v>1949</v>
      </c>
      <c r="C54" s="3" t="s">
        <v>1942</v>
      </c>
      <c r="D54" s="3"/>
      <c r="E54" s="11" t="s">
        <v>20</v>
      </c>
      <c r="F54" s="11" t="s">
        <v>36</v>
      </c>
      <c r="G54" s="11" t="s">
        <v>20</v>
      </c>
      <c r="H54" s="3" t="s">
        <v>630</v>
      </c>
      <c r="I54" s="3" t="s">
        <v>629</v>
      </c>
      <c r="J54" s="3" t="s">
        <v>630</v>
      </c>
      <c r="K54" s="3" t="s">
        <v>663</v>
      </c>
      <c r="L54" s="3" t="s">
        <v>632</v>
      </c>
      <c r="M54" s="3" t="s">
        <v>1907</v>
      </c>
      <c r="N54" s="3" t="s">
        <v>634</v>
      </c>
      <c r="O54" s="3" t="s">
        <v>632</v>
      </c>
      <c r="P54" s="3" t="s">
        <v>632</v>
      </c>
      <c r="Q54" s="3" t="s">
        <v>632</v>
      </c>
      <c r="R54" s="3" t="s">
        <v>632</v>
      </c>
      <c r="S54" s="3" t="s">
        <v>632</v>
      </c>
      <c r="T54" s="3" t="s">
        <v>632</v>
      </c>
      <c r="U54" s="3" t="s">
        <v>632</v>
      </c>
      <c r="V54" s="3"/>
    </row>
    <row r="55" spans="1:22" x14ac:dyDescent="0.4">
      <c r="A55" s="11">
        <f t="shared" si="0"/>
        <v>51</v>
      </c>
      <c r="B55" s="3" t="s">
        <v>605</v>
      </c>
      <c r="C55" s="3" t="s">
        <v>605</v>
      </c>
      <c r="D55" s="3"/>
      <c r="E55" s="11" t="s">
        <v>20</v>
      </c>
      <c r="F55" s="11" t="s">
        <v>20</v>
      </c>
      <c r="G55" s="11" t="s">
        <v>36</v>
      </c>
      <c r="H55" s="3" t="s">
        <v>628</v>
      </c>
      <c r="I55" s="3" t="s">
        <v>629</v>
      </c>
      <c r="J55" s="3" t="s">
        <v>630</v>
      </c>
      <c r="K55" s="3" t="s">
        <v>632</v>
      </c>
      <c r="L55" s="3" t="s">
        <v>632</v>
      </c>
      <c r="M55" s="3" t="s">
        <v>632</v>
      </c>
      <c r="N55" s="3" t="s">
        <v>632</v>
      </c>
      <c r="O55" s="3" t="s">
        <v>632</v>
      </c>
      <c r="P55" s="3" t="s">
        <v>632</v>
      </c>
      <c r="Q55" s="3" t="s">
        <v>632</v>
      </c>
      <c r="R55" s="3" t="s">
        <v>632</v>
      </c>
      <c r="S55" s="3" t="s">
        <v>632</v>
      </c>
      <c r="T55" s="3" t="s">
        <v>1950</v>
      </c>
      <c r="U55" s="3" t="s">
        <v>1951</v>
      </c>
      <c r="V55" s="3"/>
    </row>
    <row r="56" spans="1:22" x14ac:dyDescent="0.4">
      <c r="A56" s="11">
        <f t="shared" si="0"/>
        <v>52</v>
      </c>
      <c r="B56" s="3" t="s">
        <v>1952</v>
      </c>
      <c r="C56" s="3" t="s">
        <v>1952</v>
      </c>
      <c r="D56" s="3"/>
      <c r="E56" s="11" t="s">
        <v>20</v>
      </c>
      <c r="F56" s="11" t="s">
        <v>20</v>
      </c>
      <c r="G56" s="11" t="s">
        <v>36</v>
      </c>
      <c r="H56" s="3" t="s">
        <v>628</v>
      </c>
      <c r="I56" s="3" t="s">
        <v>629</v>
      </c>
      <c r="J56" s="3" t="s">
        <v>630</v>
      </c>
      <c r="K56" s="3" t="s">
        <v>632</v>
      </c>
      <c r="L56" s="3" t="s">
        <v>632</v>
      </c>
      <c r="M56" s="3" t="s">
        <v>632</v>
      </c>
      <c r="N56" s="3" t="s">
        <v>632</v>
      </c>
      <c r="O56" s="3" t="s">
        <v>632</v>
      </c>
      <c r="P56" s="3" t="s">
        <v>632</v>
      </c>
      <c r="Q56" s="3" t="s">
        <v>632</v>
      </c>
      <c r="R56" s="3" t="s">
        <v>632</v>
      </c>
      <c r="S56" s="3" t="s">
        <v>632</v>
      </c>
      <c r="T56" s="3" t="s">
        <v>1950</v>
      </c>
      <c r="U56" s="3" t="s">
        <v>1953</v>
      </c>
      <c r="V56" s="3"/>
    </row>
    <row r="57" spans="1:22" x14ac:dyDescent="0.4">
      <c r="A57" s="11">
        <f t="shared" si="0"/>
        <v>53</v>
      </c>
      <c r="B57" s="3" t="s">
        <v>1954</v>
      </c>
      <c r="C57" s="3" t="s">
        <v>1955</v>
      </c>
      <c r="D57" s="3"/>
      <c r="E57" s="11" t="s">
        <v>36</v>
      </c>
      <c r="F57" s="11" t="s">
        <v>36</v>
      </c>
      <c r="G57" s="11" t="s">
        <v>20</v>
      </c>
      <c r="H57" s="3" t="s">
        <v>628</v>
      </c>
      <c r="I57" s="3" t="s">
        <v>629</v>
      </c>
      <c r="J57" s="3" t="s">
        <v>630</v>
      </c>
      <c r="K57" s="3" t="s">
        <v>644</v>
      </c>
      <c r="L57" s="3" t="s">
        <v>632</v>
      </c>
      <c r="M57" s="3" t="s">
        <v>1907</v>
      </c>
      <c r="N57" s="3" t="s">
        <v>633</v>
      </c>
      <c r="O57" s="3">
        <v>5985</v>
      </c>
      <c r="P57" s="3" t="s">
        <v>632</v>
      </c>
      <c r="Q57" s="3" t="s">
        <v>632</v>
      </c>
      <c r="R57" s="3" t="s">
        <v>632</v>
      </c>
      <c r="S57" s="3" t="s">
        <v>632</v>
      </c>
      <c r="T57" s="3" t="s">
        <v>632</v>
      </c>
      <c r="U57" s="3" t="s">
        <v>632</v>
      </c>
      <c r="V57" s="3"/>
    </row>
    <row r="58" spans="1:22" x14ac:dyDescent="0.4">
      <c r="A58" s="11">
        <f t="shared" si="0"/>
        <v>54</v>
      </c>
      <c r="B58" s="3" t="s">
        <v>1954</v>
      </c>
      <c r="C58" s="3" t="s">
        <v>1955</v>
      </c>
      <c r="D58" s="3"/>
      <c r="E58" s="11" t="s">
        <v>20</v>
      </c>
      <c r="F58" s="11" t="s">
        <v>20</v>
      </c>
      <c r="G58" s="11" t="s">
        <v>36</v>
      </c>
      <c r="H58" s="3" t="s">
        <v>628</v>
      </c>
      <c r="I58" s="3" t="s">
        <v>629</v>
      </c>
      <c r="J58" s="3" t="s">
        <v>630</v>
      </c>
      <c r="K58" s="3" t="s">
        <v>644</v>
      </c>
      <c r="L58" s="3" t="s">
        <v>632</v>
      </c>
      <c r="M58" s="3" t="s">
        <v>632</v>
      </c>
      <c r="N58" s="3" t="s">
        <v>633</v>
      </c>
      <c r="O58" s="3">
        <v>5985</v>
      </c>
      <c r="P58" s="3" t="s">
        <v>632</v>
      </c>
      <c r="Q58" s="3" t="s">
        <v>632</v>
      </c>
      <c r="R58" s="3" t="s">
        <v>632</v>
      </c>
      <c r="S58" s="3" t="s">
        <v>632</v>
      </c>
      <c r="T58" s="3" t="s">
        <v>632</v>
      </c>
      <c r="U58" s="3" t="s">
        <v>632</v>
      </c>
      <c r="V58" s="3"/>
    </row>
    <row r="59" spans="1:22" x14ac:dyDescent="0.4">
      <c r="A59" s="11">
        <f t="shared" si="0"/>
        <v>55</v>
      </c>
      <c r="B59" s="3" t="s">
        <v>1956</v>
      </c>
      <c r="C59" s="3" t="s">
        <v>1957</v>
      </c>
      <c r="D59" s="3"/>
      <c r="E59" s="11" t="s">
        <v>20</v>
      </c>
      <c r="F59" s="11" t="s">
        <v>20</v>
      </c>
      <c r="G59" s="11" t="s">
        <v>20</v>
      </c>
      <c r="H59" s="3" t="s">
        <v>630</v>
      </c>
      <c r="I59" s="3" t="s">
        <v>629</v>
      </c>
      <c r="J59" s="3" t="s">
        <v>630</v>
      </c>
      <c r="K59" s="3" t="s">
        <v>644</v>
      </c>
      <c r="L59" s="3" t="s">
        <v>632</v>
      </c>
      <c r="M59" s="3" t="s">
        <v>632</v>
      </c>
      <c r="N59" s="3" t="s">
        <v>633</v>
      </c>
      <c r="O59" s="3">
        <v>80</v>
      </c>
      <c r="P59" s="3" t="s">
        <v>632</v>
      </c>
      <c r="Q59" s="3" t="s">
        <v>632</v>
      </c>
      <c r="R59" s="3" t="s">
        <v>632</v>
      </c>
      <c r="S59" s="3" t="s">
        <v>632</v>
      </c>
      <c r="T59" s="3" t="s">
        <v>632</v>
      </c>
      <c r="U59" s="3" t="s">
        <v>632</v>
      </c>
      <c r="V59" s="3"/>
    </row>
    <row r="60" spans="1:22" x14ac:dyDescent="0.4">
      <c r="A60" s="11">
        <f t="shared" si="0"/>
        <v>56</v>
      </c>
      <c r="B60" s="3" t="s">
        <v>1958</v>
      </c>
      <c r="C60" s="3" t="s">
        <v>1958</v>
      </c>
      <c r="D60" s="3"/>
      <c r="E60" s="11" t="s">
        <v>20</v>
      </c>
      <c r="F60" s="11" t="s">
        <v>20</v>
      </c>
      <c r="G60" s="11" t="s">
        <v>36</v>
      </c>
      <c r="H60" s="3" t="s">
        <v>628</v>
      </c>
      <c r="I60" s="3" t="s">
        <v>629</v>
      </c>
      <c r="J60" s="3" t="s">
        <v>630</v>
      </c>
      <c r="K60" s="3" t="s">
        <v>632</v>
      </c>
      <c r="L60" s="3" t="s">
        <v>632</v>
      </c>
      <c r="M60" s="3" t="s">
        <v>632</v>
      </c>
      <c r="N60" s="3" t="s">
        <v>632</v>
      </c>
      <c r="O60" s="3" t="s">
        <v>632</v>
      </c>
      <c r="P60" s="3" t="s">
        <v>632</v>
      </c>
      <c r="Q60" s="3" t="s">
        <v>632</v>
      </c>
      <c r="R60" s="3" t="s">
        <v>632</v>
      </c>
      <c r="S60" s="3" t="s">
        <v>632</v>
      </c>
      <c r="T60" s="3" t="s">
        <v>1950</v>
      </c>
      <c r="U60" s="3" t="s">
        <v>1959</v>
      </c>
      <c r="V60" s="3"/>
    </row>
    <row r="61" spans="1:22" x14ac:dyDescent="0.4">
      <c r="A61" s="11">
        <f t="shared" si="0"/>
        <v>57</v>
      </c>
      <c r="B61" s="3" t="s">
        <v>1960</v>
      </c>
      <c r="C61" s="3" t="s">
        <v>1961</v>
      </c>
      <c r="D61" s="3"/>
      <c r="E61" s="11" t="s">
        <v>20</v>
      </c>
      <c r="F61" s="11" t="s">
        <v>20</v>
      </c>
      <c r="G61" s="11" t="s">
        <v>20</v>
      </c>
      <c r="H61" s="3" t="s">
        <v>630</v>
      </c>
      <c r="I61" s="3" t="s">
        <v>629</v>
      </c>
      <c r="J61" s="3" t="s">
        <v>630</v>
      </c>
      <c r="K61" s="3" t="s">
        <v>664</v>
      </c>
      <c r="L61" s="3" t="s">
        <v>632</v>
      </c>
      <c r="M61" s="3" t="s">
        <v>632</v>
      </c>
      <c r="N61" s="3" t="s">
        <v>633</v>
      </c>
      <c r="O61" s="3">
        <v>1688</v>
      </c>
      <c r="P61" s="3" t="s">
        <v>632</v>
      </c>
      <c r="Q61" s="3" t="s">
        <v>632</v>
      </c>
      <c r="R61" s="3" t="s">
        <v>632</v>
      </c>
      <c r="S61" s="3" t="s">
        <v>632</v>
      </c>
      <c r="T61" s="3" t="s">
        <v>632</v>
      </c>
      <c r="U61" s="3" t="s">
        <v>632</v>
      </c>
      <c r="V61" s="3"/>
    </row>
    <row r="62" spans="1:22" x14ac:dyDescent="0.4">
      <c r="A62" s="11">
        <f t="shared" si="0"/>
        <v>58</v>
      </c>
      <c r="B62" s="3" t="s">
        <v>1962</v>
      </c>
      <c r="C62" s="3" t="s">
        <v>1963</v>
      </c>
      <c r="D62" s="3"/>
      <c r="E62" s="11" t="s">
        <v>20</v>
      </c>
      <c r="F62" s="11" t="s">
        <v>20</v>
      </c>
      <c r="G62" s="11" t="s">
        <v>20</v>
      </c>
      <c r="H62" s="3" t="s">
        <v>628</v>
      </c>
      <c r="I62" s="3" t="s">
        <v>629</v>
      </c>
      <c r="J62" s="3" t="s">
        <v>630</v>
      </c>
      <c r="K62" s="3" t="s">
        <v>644</v>
      </c>
      <c r="L62" s="3" t="s">
        <v>632</v>
      </c>
      <c r="M62" s="3" t="s">
        <v>632</v>
      </c>
      <c r="N62" s="3" t="s">
        <v>633</v>
      </c>
      <c r="O62" s="3" t="s">
        <v>665</v>
      </c>
      <c r="P62" s="3" t="s">
        <v>632</v>
      </c>
      <c r="Q62" s="3" t="s">
        <v>632</v>
      </c>
      <c r="R62" s="3" t="s">
        <v>632</v>
      </c>
      <c r="S62" s="3" t="s">
        <v>632</v>
      </c>
      <c r="T62" s="3" t="s">
        <v>632</v>
      </c>
      <c r="U62" s="3" t="s">
        <v>632</v>
      </c>
      <c r="V62" s="3"/>
    </row>
    <row r="63" spans="1:22" x14ac:dyDescent="0.4">
      <c r="A63" s="11">
        <f t="shared" si="0"/>
        <v>59</v>
      </c>
      <c r="B63" s="3" t="s">
        <v>1964</v>
      </c>
      <c r="C63" s="3" t="s">
        <v>1963</v>
      </c>
      <c r="D63" s="3"/>
      <c r="E63" s="11" t="s">
        <v>20</v>
      </c>
      <c r="F63" s="11" t="s">
        <v>20</v>
      </c>
      <c r="G63" s="11" t="s">
        <v>20</v>
      </c>
      <c r="H63" s="3" t="s">
        <v>628</v>
      </c>
      <c r="I63" s="3" t="s">
        <v>629</v>
      </c>
      <c r="J63" s="3" t="s">
        <v>630</v>
      </c>
      <c r="K63" s="3" t="s">
        <v>644</v>
      </c>
      <c r="L63" s="3" t="s">
        <v>632</v>
      </c>
      <c r="M63" s="3" t="s">
        <v>632</v>
      </c>
      <c r="N63" s="3" t="s">
        <v>666</v>
      </c>
      <c r="O63" s="3" t="s">
        <v>632</v>
      </c>
      <c r="P63" s="3" t="s">
        <v>632</v>
      </c>
      <c r="Q63" s="3" t="s">
        <v>632</v>
      </c>
      <c r="R63" s="3" t="s">
        <v>632</v>
      </c>
      <c r="S63" s="3" t="s">
        <v>632</v>
      </c>
      <c r="T63" s="3" t="s">
        <v>632</v>
      </c>
      <c r="U63" s="3" t="s">
        <v>632</v>
      </c>
      <c r="V63" s="3"/>
    </row>
    <row r="64" spans="1:22" x14ac:dyDescent="0.4">
      <c r="A64" s="11">
        <f t="shared" si="0"/>
        <v>60</v>
      </c>
      <c r="B64" s="3" t="s">
        <v>1965</v>
      </c>
      <c r="C64" s="3" t="s">
        <v>1963</v>
      </c>
      <c r="D64" s="3"/>
      <c r="E64" s="11" t="s">
        <v>20</v>
      </c>
      <c r="F64" s="11" t="s">
        <v>20</v>
      </c>
      <c r="G64" s="11" t="s">
        <v>20</v>
      </c>
      <c r="H64" s="3" t="s">
        <v>628</v>
      </c>
      <c r="I64" s="3" t="s">
        <v>629</v>
      </c>
      <c r="J64" s="3" t="s">
        <v>630</v>
      </c>
      <c r="K64" s="3" t="s">
        <v>631</v>
      </c>
      <c r="L64" s="3" t="s">
        <v>632</v>
      </c>
      <c r="M64" s="3" t="s">
        <v>632</v>
      </c>
      <c r="N64" s="3" t="s">
        <v>634</v>
      </c>
      <c r="O64" s="3">
        <v>546</v>
      </c>
      <c r="P64" s="3">
        <v>547</v>
      </c>
      <c r="Q64" s="3" t="s">
        <v>632</v>
      </c>
      <c r="R64" s="3" t="s">
        <v>632</v>
      </c>
      <c r="S64" s="3" t="s">
        <v>632</v>
      </c>
      <c r="T64" s="3" t="s">
        <v>632</v>
      </c>
      <c r="U64" s="3" t="s">
        <v>632</v>
      </c>
      <c r="V64" s="3"/>
    </row>
    <row r="65" spans="1:22" x14ac:dyDescent="0.4">
      <c r="A65" s="11">
        <f t="shared" si="0"/>
        <v>61</v>
      </c>
      <c r="B65" s="3" t="s">
        <v>1966</v>
      </c>
      <c r="C65" s="3" t="s">
        <v>1963</v>
      </c>
      <c r="D65" s="3"/>
      <c r="E65" s="11" t="s">
        <v>20</v>
      </c>
      <c r="F65" s="11" t="s">
        <v>20</v>
      </c>
      <c r="G65" s="11" t="s">
        <v>20</v>
      </c>
      <c r="H65" s="3" t="s">
        <v>628</v>
      </c>
      <c r="I65" s="3" t="s">
        <v>629</v>
      </c>
      <c r="J65" s="3" t="s">
        <v>630</v>
      </c>
      <c r="K65" s="3" t="s">
        <v>631</v>
      </c>
      <c r="L65" s="3" t="s">
        <v>632</v>
      </c>
      <c r="M65" s="3" t="s">
        <v>632</v>
      </c>
      <c r="N65" s="3" t="s">
        <v>634</v>
      </c>
      <c r="O65" s="3" t="s">
        <v>1967</v>
      </c>
      <c r="P65" s="3" t="s">
        <v>632</v>
      </c>
      <c r="Q65" s="3" t="s">
        <v>632</v>
      </c>
      <c r="R65" s="3" t="s">
        <v>632</v>
      </c>
      <c r="S65" s="3" t="s">
        <v>632</v>
      </c>
      <c r="T65" s="3" t="s">
        <v>632</v>
      </c>
      <c r="U65" s="3" t="s">
        <v>632</v>
      </c>
      <c r="V65" s="3"/>
    </row>
    <row r="66" spans="1:22" x14ac:dyDescent="0.4">
      <c r="A66" s="11">
        <f t="shared" si="0"/>
        <v>62</v>
      </c>
      <c r="B66" s="3" t="s">
        <v>1968</v>
      </c>
      <c r="C66" s="3" t="s">
        <v>1963</v>
      </c>
      <c r="D66" s="3"/>
      <c r="E66" s="11" t="s">
        <v>20</v>
      </c>
      <c r="F66" s="11" t="s">
        <v>20</v>
      </c>
      <c r="G66" s="11" t="s">
        <v>20</v>
      </c>
      <c r="H66" s="3" t="s">
        <v>628</v>
      </c>
      <c r="I66" s="3" t="s">
        <v>629</v>
      </c>
      <c r="J66" s="3" t="s">
        <v>630</v>
      </c>
      <c r="K66" s="3" t="s">
        <v>644</v>
      </c>
      <c r="L66" s="3" t="s">
        <v>632</v>
      </c>
      <c r="M66" s="3" t="s">
        <v>632</v>
      </c>
      <c r="N66" s="3" t="s">
        <v>667</v>
      </c>
      <c r="O66" s="3" t="s">
        <v>632</v>
      </c>
      <c r="P66" s="3" t="s">
        <v>632</v>
      </c>
      <c r="Q66" s="3" t="s">
        <v>632</v>
      </c>
      <c r="R66" s="3" t="s">
        <v>632</v>
      </c>
      <c r="S66" s="3" t="s">
        <v>632</v>
      </c>
      <c r="T66" s="3" t="s">
        <v>632</v>
      </c>
      <c r="U66" s="3" t="s">
        <v>632</v>
      </c>
      <c r="V66" s="3"/>
    </row>
    <row r="67" spans="1:22" x14ac:dyDescent="0.4">
      <c r="A67" s="11">
        <f t="shared" si="0"/>
        <v>63</v>
      </c>
      <c r="B67" s="3" t="s">
        <v>1969</v>
      </c>
      <c r="C67" s="3" t="s">
        <v>1963</v>
      </c>
      <c r="D67" s="3"/>
      <c r="E67" s="11" t="s">
        <v>20</v>
      </c>
      <c r="F67" s="11" t="s">
        <v>20</v>
      </c>
      <c r="G67" s="11" t="s">
        <v>20</v>
      </c>
      <c r="H67" s="3" t="s">
        <v>628</v>
      </c>
      <c r="I67" s="3" t="s">
        <v>629</v>
      </c>
      <c r="J67" s="3" t="s">
        <v>630</v>
      </c>
      <c r="K67" s="3" t="s">
        <v>644</v>
      </c>
      <c r="L67" s="3" t="s">
        <v>632</v>
      </c>
      <c r="M67" s="3" t="s">
        <v>632</v>
      </c>
      <c r="N67" s="3" t="s">
        <v>668</v>
      </c>
      <c r="O67" s="3" t="s">
        <v>632</v>
      </c>
      <c r="P67" s="3" t="s">
        <v>632</v>
      </c>
      <c r="Q67" s="3" t="s">
        <v>632</v>
      </c>
      <c r="R67" s="3" t="s">
        <v>632</v>
      </c>
      <c r="S67" s="3" t="s">
        <v>632</v>
      </c>
      <c r="T67" s="3" t="s">
        <v>632</v>
      </c>
      <c r="U67" s="3" t="s">
        <v>632</v>
      </c>
      <c r="V67" s="3"/>
    </row>
    <row r="68" spans="1:22" x14ac:dyDescent="0.4">
      <c r="A68" s="11">
        <f t="shared" si="0"/>
        <v>64</v>
      </c>
      <c r="B68" s="3" t="s">
        <v>1970</v>
      </c>
      <c r="C68" s="3" t="s">
        <v>1963</v>
      </c>
      <c r="D68" s="3"/>
      <c r="E68" s="11" t="s">
        <v>20</v>
      </c>
      <c r="F68" s="11" t="s">
        <v>20</v>
      </c>
      <c r="G68" s="11" t="s">
        <v>20</v>
      </c>
      <c r="H68" s="3" t="s">
        <v>628</v>
      </c>
      <c r="I68" s="3" t="s">
        <v>629</v>
      </c>
      <c r="J68" s="3" t="s">
        <v>630</v>
      </c>
      <c r="K68" s="3" t="s">
        <v>644</v>
      </c>
      <c r="L68" s="3" t="s">
        <v>632</v>
      </c>
      <c r="M68" s="3" t="s">
        <v>632</v>
      </c>
      <c r="N68" s="3" t="s">
        <v>668</v>
      </c>
      <c r="O68" s="3" t="s">
        <v>632</v>
      </c>
      <c r="P68" s="3" t="s">
        <v>632</v>
      </c>
      <c r="Q68" s="3" t="s">
        <v>632</v>
      </c>
      <c r="R68" s="3" t="s">
        <v>632</v>
      </c>
      <c r="S68" s="3" t="s">
        <v>632</v>
      </c>
      <c r="T68" s="3" t="s">
        <v>632</v>
      </c>
      <c r="U68" s="3" t="s">
        <v>632</v>
      </c>
      <c r="V68" s="3"/>
    </row>
    <row r="69" spans="1:22" x14ac:dyDescent="0.4">
      <c r="A69" s="11">
        <f t="shared" si="0"/>
        <v>65</v>
      </c>
      <c r="B69" s="3" t="s">
        <v>1971</v>
      </c>
      <c r="C69" s="3" t="s">
        <v>1963</v>
      </c>
      <c r="D69" s="3"/>
      <c r="E69" s="11" t="s">
        <v>20</v>
      </c>
      <c r="F69" s="11" t="s">
        <v>20</v>
      </c>
      <c r="G69" s="11" t="s">
        <v>20</v>
      </c>
      <c r="H69" s="3" t="s">
        <v>628</v>
      </c>
      <c r="I69" s="3" t="s">
        <v>629</v>
      </c>
      <c r="J69" s="3" t="s">
        <v>630</v>
      </c>
      <c r="K69" s="3" t="s">
        <v>644</v>
      </c>
      <c r="L69" s="3" t="s">
        <v>632</v>
      </c>
      <c r="M69" s="3" t="s">
        <v>1907</v>
      </c>
      <c r="N69" s="3" t="s">
        <v>668</v>
      </c>
      <c r="O69" s="3" t="s">
        <v>632</v>
      </c>
      <c r="P69" s="3" t="s">
        <v>632</v>
      </c>
      <c r="Q69" s="3" t="s">
        <v>632</v>
      </c>
      <c r="R69" s="3" t="s">
        <v>632</v>
      </c>
      <c r="S69" s="3" t="s">
        <v>632</v>
      </c>
      <c r="T69" s="3" t="s">
        <v>632</v>
      </c>
      <c r="U69" s="3" t="s">
        <v>632</v>
      </c>
      <c r="V69" s="3"/>
    </row>
    <row r="70" spans="1:22" x14ac:dyDescent="0.4">
      <c r="A70" s="11">
        <f t="shared" si="0"/>
        <v>66</v>
      </c>
      <c r="B70" s="3" t="s">
        <v>1972</v>
      </c>
      <c r="C70" s="3" t="s">
        <v>1963</v>
      </c>
      <c r="D70" s="3"/>
      <c r="E70" s="11" t="s">
        <v>20</v>
      </c>
      <c r="F70" s="11" t="s">
        <v>20</v>
      </c>
      <c r="G70" s="11" t="s">
        <v>20</v>
      </c>
      <c r="H70" s="3" t="s">
        <v>628</v>
      </c>
      <c r="I70" s="3" t="s">
        <v>629</v>
      </c>
      <c r="J70" s="3" t="s">
        <v>630</v>
      </c>
      <c r="K70" s="3" t="s">
        <v>644</v>
      </c>
      <c r="L70" s="3" t="s">
        <v>632</v>
      </c>
      <c r="M70" s="3" t="s">
        <v>1907</v>
      </c>
      <c r="N70" s="3" t="s">
        <v>668</v>
      </c>
      <c r="O70" s="3" t="s">
        <v>632</v>
      </c>
      <c r="P70" s="3" t="s">
        <v>632</v>
      </c>
      <c r="Q70" s="3" t="s">
        <v>632</v>
      </c>
      <c r="R70" s="3" t="s">
        <v>632</v>
      </c>
      <c r="S70" s="3" t="s">
        <v>632</v>
      </c>
      <c r="T70" s="3" t="s">
        <v>632</v>
      </c>
      <c r="U70" s="3" t="s">
        <v>632</v>
      </c>
      <c r="V70" s="3"/>
    </row>
    <row r="71" spans="1:22" x14ac:dyDescent="0.4">
      <c r="A71" s="11">
        <f t="shared" ref="A71:A134" si="1">A70+1</f>
        <v>67</v>
      </c>
      <c r="B71" s="3" t="s">
        <v>1973</v>
      </c>
      <c r="C71" s="3" t="s">
        <v>1963</v>
      </c>
      <c r="D71" s="3"/>
      <c r="E71" s="11" t="s">
        <v>20</v>
      </c>
      <c r="F71" s="11" t="s">
        <v>20</v>
      </c>
      <c r="G71" s="11" t="s">
        <v>20</v>
      </c>
      <c r="H71" s="3" t="s">
        <v>628</v>
      </c>
      <c r="I71" s="3" t="s">
        <v>629</v>
      </c>
      <c r="J71" s="3" t="s">
        <v>630</v>
      </c>
      <c r="K71" s="3" t="s">
        <v>644</v>
      </c>
      <c r="L71" s="3" t="s">
        <v>632</v>
      </c>
      <c r="M71" s="3" t="s">
        <v>1907</v>
      </c>
      <c r="N71" s="3" t="s">
        <v>668</v>
      </c>
      <c r="O71" s="3" t="s">
        <v>632</v>
      </c>
      <c r="P71" s="3" t="s">
        <v>632</v>
      </c>
      <c r="Q71" s="3" t="s">
        <v>632</v>
      </c>
      <c r="R71" s="3" t="s">
        <v>632</v>
      </c>
      <c r="S71" s="3" t="s">
        <v>632</v>
      </c>
      <c r="T71" s="3" t="s">
        <v>632</v>
      </c>
      <c r="U71" s="3" t="s">
        <v>632</v>
      </c>
      <c r="V71" s="3"/>
    </row>
    <row r="72" spans="1:22" x14ac:dyDescent="0.4">
      <c r="A72" s="11">
        <f t="shared" si="1"/>
        <v>68</v>
      </c>
      <c r="B72" s="3" t="s">
        <v>1974</v>
      </c>
      <c r="C72" s="3" t="s">
        <v>1963</v>
      </c>
      <c r="D72" s="3"/>
      <c r="E72" s="11" t="s">
        <v>20</v>
      </c>
      <c r="F72" s="11" t="s">
        <v>20</v>
      </c>
      <c r="G72" s="11" t="s">
        <v>20</v>
      </c>
      <c r="H72" s="3" t="s">
        <v>628</v>
      </c>
      <c r="I72" s="3" t="s">
        <v>629</v>
      </c>
      <c r="J72" s="3" t="s">
        <v>630</v>
      </c>
      <c r="K72" s="3" t="s">
        <v>644</v>
      </c>
      <c r="L72" s="3" t="s">
        <v>632</v>
      </c>
      <c r="M72" s="3" t="s">
        <v>1907</v>
      </c>
      <c r="N72" s="3" t="s">
        <v>668</v>
      </c>
      <c r="O72" s="3" t="s">
        <v>632</v>
      </c>
      <c r="P72" s="3" t="s">
        <v>632</v>
      </c>
      <c r="Q72" s="3" t="s">
        <v>632</v>
      </c>
      <c r="R72" s="3" t="s">
        <v>632</v>
      </c>
      <c r="S72" s="3" t="s">
        <v>632</v>
      </c>
      <c r="T72" s="3" t="s">
        <v>632</v>
      </c>
      <c r="U72" s="3" t="s">
        <v>632</v>
      </c>
      <c r="V72" s="3"/>
    </row>
    <row r="73" spans="1:22" x14ac:dyDescent="0.4">
      <c r="A73" s="11">
        <f t="shared" si="1"/>
        <v>69</v>
      </c>
      <c r="B73" s="3" t="s">
        <v>1975</v>
      </c>
      <c r="C73" s="3" t="s">
        <v>1963</v>
      </c>
      <c r="D73" s="3"/>
      <c r="E73" s="11" t="s">
        <v>20</v>
      </c>
      <c r="F73" s="11" t="s">
        <v>20</v>
      </c>
      <c r="G73" s="11" t="s">
        <v>20</v>
      </c>
      <c r="H73" s="3" t="s">
        <v>628</v>
      </c>
      <c r="I73" s="3" t="s">
        <v>629</v>
      </c>
      <c r="J73" s="3" t="s">
        <v>630</v>
      </c>
      <c r="K73" s="3" t="s">
        <v>644</v>
      </c>
      <c r="L73" s="3" t="s">
        <v>632</v>
      </c>
      <c r="M73" s="3" t="s">
        <v>669</v>
      </c>
      <c r="N73" s="3" t="s">
        <v>668</v>
      </c>
      <c r="O73" s="3" t="s">
        <v>632</v>
      </c>
      <c r="P73" s="3" t="s">
        <v>632</v>
      </c>
      <c r="Q73" s="3" t="s">
        <v>632</v>
      </c>
      <c r="R73" s="3" t="s">
        <v>632</v>
      </c>
      <c r="S73" s="3" t="s">
        <v>632</v>
      </c>
      <c r="T73" s="3" t="s">
        <v>632</v>
      </c>
      <c r="U73" s="3" t="s">
        <v>632</v>
      </c>
      <c r="V73" s="3"/>
    </row>
    <row r="74" spans="1:22" x14ac:dyDescent="0.4">
      <c r="A74" s="11">
        <f t="shared" si="1"/>
        <v>70</v>
      </c>
      <c r="B74" s="3" t="s">
        <v>1976</v>
      </c>
      <c r="C74" s="3" t="s">
        <v>1963</v>
      </c>
      <c r="D74" s="3"/>
      <c r="E74" s="11" t="s">
        <v>20</v>
      </c>
      <c r="F74" s="11" t="s">
        <v>20</v>
      </c>
      <c r="G74" s="11" t="s">
        <v>20</v>
      </c>
      <c r="H74" s="3" t="s">
        <v>628</v>
      </c>
      <c r="I74" s="3" t="s">
        <v>629</v>
      </c>
      <c r="J74" s="3" t="s">
        <v>630</v>
      </c>
      <c r="K74" s="3" t="s">
        <v>644</v>
      </c>
      <c r="L74" s="3" t="s">
        <v>632</v>
      </c>
      <c r="M74" s="3" t="s">
        <v>632</v>
      </c>
      <c r="N74" s="3" t="s">
        <v>668</v>
      </c>
      <c r="O74" s="3" t="s">
        <v>632</v>
      </c>
      <c r="P74" s="3" t="s">
        <v>632</v>
      </c>
      <c r="Q74" s="3" t="s">
        <v>632</v>
      </c>
      <c r="R74" s="3" t="s">
        <v>632</v>
      </c>
      <c r="S74" s="3" t="s">
        <v>632</v>
      </c>
      <c r="T74" s="3" t="s">
        <v>632</v>
      </c>
      <c r="U74" s="3" t="s">
        <v>632</v>
      </c>
      <c r="V74" s="3"/>
    </row>
    <row r="75" spans="1:22" x14ac:dyDescent="0.4">
      <c r="A75" s="11">
        <f t="shared" si="1"/>
        <v>71</v>
      </c>
      <c r="B75" s="3" t="s">
        <v>1977</v>
      </c>
      <c r="C75" s="3" t="s">
        <v>1963</v>
      </c>
      <c r="D75" s="3"/>
      <c r="E75" s="11" t="s">
        <v>20</v>
      </c>
      <c r="F75" s="11" t="s">
        <v>20</v>
      </c>
      <c r="G75" s="11" t="s">
        <v>20</v>
      </c>
      <c r="H75" s="3" t="s">
        <v>628</v>
      </c>
      <c r="I75" s="3" t="s">
        <v>629</v>
      </c>
      <c r="J75" s="3" t="s">
        <v>630</v>
      </c>
      <c r="K75" s="3" t="s">
        <v>644</v>
      </c>
      <c r="L75" s="3" t="s">
        <v>632</v>
      </c>
      <c r="M75" s="3" t="s">
        <v>632</v>
      </c>
      <c r="N75" s="3" t="s">
        <v>668</v>
      </c>
      <c r="O75" s="3" t="s">
        <v>632</v>
      </c>
      <c r="P75" s="3" t="s">
        <v>632</v>
      </c>
      <c r="Q75" s="3" t="s">
        <v>632</v>
      </c>
      <c r="R75" s="3" t="s">
        <v>632</v>
      </c>
      <c r="S75" s="3" t="s">
        <v>632</v>
      </c>
      <c r="T75" s="3" t="s">
        <v>632</v>
      </c>
      <c r="U75" s="3" t="s">
        <v>632</v>
      </c>
      <c r="V75" s="3"/>
    </row>
    <row r="76" spans="1:22" x14ac:dyDescent="0.4">
      <c r="A76" s="11">
        <f t="shared" si="1"/>
        <v>72</v>
      </c>
      <c r="B76" s="3" t="s">
        <v>1978</v>
      </c>
      <c r="C76" s="3" t="s">
        <v>1963</v>
      </c>
      <c r="D76" s="3"/>
      <c r="E76" s="11" t="s">
        <v>20</v>
      </c>
      <c r="F76" s="11" t="s">
        <v>20</v>
      </c>
      <c r="G76" s="11" t="s">
        <v>20</v>
      </c>
      <c r="H76" s="3" t="s">
        <v>628</v>
      </c>
      <c r="I76" s="3" t="s">
        <v>629</v>
      </c>
      <c r="J76" s="3" t="s">
        <v>630</v>
      </c>
      <c r="K76" s="3" t="s">
        <v>644</v>
      </c>
      <c r="L76" s="3" t="s">
        <v>632</v>
      </c>
      <c r="M76" s="3" t="s">
        <v>632</v>
      </c>
      <c r="N76" s="3" t="s">
        <v>668</v>
      </c>
      <c r="O76" s="3" t="s">
        <v>632</v>
      </c>
      <c r="P76" s="3" t="s">
        <v>632</v>
      </c>
      <c r="Q76" s="3" t="s">
        <v>632</v>
      </c>
      <c r="R76" s="3" t="s">
        <v>632</v>
      </c>
      <c r="S76" s="3" t="s">
        <v>632</v>
      </c>
      <c r="T76" s="3" t="s">
        <v>632</v>
      </c>
      <c r="U76" s="3" t="s">
        <v>632</v>
      </c>
      <c r="V76" s="3"/>
    </row>
    <row r="77" spans="1:22" x14ac:dyDescent="0.4">
      <c r="A77" s="11">
        <f t="shared" si="1"/>
        <v>73</v>
      </c>
      <c r="B77" s="3" t="s">
        <v>1979</v>
      </c>
      <c r="C77" s="3" t="s">
        <v>1963</v>
      </c>
      <c r="D77" s="3"/>
      <c r="E77" s="11" t="s">
        <v>20</v>
      </c>
      <c r="F77" s="11" t="s">
        <v>20</v>
      </c>
      <c r="G77" s="11" t="s">
        <v>20</v>
      </c>
      <c r="H77" s="3" t="s">
        <v>628</v>
      </c>
      <c r="I77" s="3" t="s">
        <v>629</v>
      </c>
      <c r="J77" s="3" t="s">
        <v>630</v>
      </c>
      <c r="K77" s="3" t="s">
        <v>644</v>
      </c>
      <c r="L77" s="3" t="s">
        <v>632</v>
      </c>
      <c r="M77" s="3" t="s">
        <v>632</v>
      </c>
      <c r="N77" s="3" t="s">
        <v>668</v>
      </c>
      <c r="O77" s="3" t="s">
        <v>632</v>
      </c>
      <c r="P77" s="3" t="s">
        <v>632</v>
      </c>
      <c r="Q77" s="3" t="s">
        <v>632</v>
      </c>
      <c r="R77" s="3" t="s">
        <v>632</v>
      </c>
      <c r="S77" s="3" t="s">
        <v>632</v>
      </c>
      <c r="T77" s="3" t="s">
        <v>632</v>
      </c>
      <c r="U77" s="3" t="s">
        <v>632</v>
      </c>
      <c r="V77" s="3"/>
    </row>
    <row r="78" spans="1:22" x14ac:dyDescent="0.4">
      <c r="A78" s="11">
        <f t="shared" si="1"/>
        <v>74</v>
      </c>
      <c r="B78" s="3" t="s">
        <v>1980</v>
      </c>
      <c r="C78" s="3" t="s">
        <v>1963</v>
      </c>
      <c r="D78" s="3"/>
      <c r="E78" s="11" t="s">
        <v>20</v>
      </c>
      <c r="F78" s="11" t="s">
        <v>20</v>
      </c>
      <c r="G78" s="11" t="s">
        <v>20</v>
      </c>
      <c r="H78" s="3" t="s">
        <v>628</v>
      </c>
      <c r="I78" s="3" t="s">
        <v>629</v>
      </c>
      <c r="J78" s="3" t="s">
        <v>630</v>
      </c>
      <c r="K78" s="3" t="s">
        <v>644</v>
      </c>
      <c r="L78" s="3" t="s">
        <v>632</v>
      </c>
      <c r="M78" s="3" t="s">
        <v>632</v>
      </c>
      <c r="N78" s="3" t="s">
        <v>670</v>
      </c>
      <c r="O78" s="3" t="s">
        <v>632</v>
      </c>
      <c r="P78" s="3" t="s">
        <v>632</v>
      </c>
      <c r="Q78" s="3" t="s">
        <v>632</v>
      </c>
      <c r="R78" s="3" t="s">
        <v>632</v>
      </c>
      <c r="S78" s="3" t="s">
        <v>632</v>
      </c>
      <c r="T78" s="3" t="s">
        <v>632</v>
      </c>
      <c r="U78" s="3" t="s">
        <v>632</v>
      </c>
      <c r="V78" s="3"/>
    </row>
    <row r="79" spans="1:22" x14ac:dyDescent="0.4">
      <c r="A79" s="11">
        <f t="shared" si="1"/>
        <v>75</v>
      </c>
      <c r="B79" s="3" t="s">
        <v>1981</v>
      </c>
      <c r="C79" s="3" t="s">
        <v>1963</v>
      </c>
      <c r="D79" s="3"/>
      <c r="E79" s="11" t="s">
        <v>20</v>
      </c>
      <c r="F79" s="11" t="s">
        <v>20</v>
      </c>
      <c r="G79" s="11" t="s">
        <v>20</v>
      </c>
      <c r="H79" s="3" t="s">
        <v>628</v>
      </c>
      <c r="I79" s="3" t="s">
        <v>629</v>
      </c>
      <c r="J79" s="3" t="s">
        <v>630</v>
      </c>
      <c r="K79" s="3" t="s">
        <v>644</v>
      </c>
      <c r="L79" s="3" t="s">
        <v>632</v>
      </c>
      <c r="M79" s="3" t="s">
        <v>632</v>
      </c>
      <c r="N79" s="3" t="s">
        <v>668</v>
      </c>
      <c r="O79" s="3" t="s">
        <v>632</v>
      </c>
      <c r="P79" s="3" t="s">
        <v>632</v>
      </c>
      <c r="Q79" s="3" t="s">
        <v>632</v>
      </c>
      <c r="R79" s="3" t="s">
        <v>632</v>
      </c>
      <c r="S79" s="3" t="s">
        <v>632</v>
      </c>
      <c r="T79" s="3" t="s">
        <v>632</v>
      </c>
      <c r="U79" s="3" t="s">
        <v>632</v>
      </c>
      <c r="V79" s="3"/>
    </row>
    <row r="80" spans="1:22" x14ac:dyDescent="0.4">
      <c r="A80" s="11">
        <f t="shared" si="1"/>
        <v>76</v>
      </c>
      <c r="B80" s="3" t="s">
        <v>1982</v>
      </c>
      <c r="C80" s="3" t="s">
        <v>1963</v>
      </c>
      <c r="D80" s="3"/>
      <c r="E80" s="11" t="s">
        <v>20</v>
      </c>
      <c r="F80" s="11" t="s">
        <v>20</v>
      </c>
      <c r="G80" s="11" t="s">
        <v>20</v>
      </c>
      <c r="H80" s="3" t="s">
        <v>628</v>
      </c>
      <c r="I80" s="3" t="s">
        <v>629</v>
      </c>
      <c r="J80" s="3" t="s">
        <v>630</v>
      </c>
      <c r="K80" s="3" t="s">
        <v>631</v>
      </c>
      <c r="L80" s="3" t="s">
        <v>632</v>
      </c>
      <c r="M80" s="3" t="s">
        <v>632</v>
      </c>
      <c r="N80" s="3" t="s">
        <v>634</v>
      </c>
      <c r="O80" s="3">
        <v>68</v>
      </c>
      <c r="P80" s="3">
        <v>67</v>
      </c>
      <c r="Q80" s="3" t="s">
        <v>632</v>
      </c>
      <c r="R80" s="3" t="s">
        <v>632</v>
      </c>
      <c r="S80" s="3" t="s">
        <v>632</v>
      </c>
      <c r="T80" s="3" t="s">
        <v>632</v>
      </c>
      <c r="U80" s="3" t="s">
        <v>632</v>
      </c>
      <c r="V80" s="3"/>
    </row>
    <row r="81" spans="1:22" x14ac:dyDescent="0.4">
      <c r="A81" s="11">
        <f t="shared" si="1"/>
        <v>77</v>
      </c>
      <c r="B81" s="3" t="s">
        <v>1983</v>
      </c>
      <c r="C81" s="3" t="s">
        <v>1984</v>
      </c>
      <c r="D81" s="3"/>
      <c r="E81" s="11" t="s">
        <v>36</v>
      </c>
      <c r="F81" s="11" t="s">
        <v>20</v>
      </c>
      <c r="G81" s="11" t="s">
        <v>36</v>
      </c>
      <c r="H81" s="3" t="s">
        <v>630</v>
      </c>
      <c r="I81" s="3" t="s">
        <v>629</v>
      </c>
      <c r="J81" s="3" t="s">
        <v>630</v>
      </c>
      <c r="K81" s="3" t="s">
        <v>644</v>
      </c>
      <c r="L81" s="3" t="s">
        <v>632</v>
      </c>
      <c r="M81" s="3" t="s">
        <v>632</v>
      </c>
      <c r="N81" s="3" t="s">
        <v>670</v>
      </c>
      <c r="O81" s="3" t="s">
        <v>632</v>
      </c>
      <c r="P81" s="3" t="s">
        <v>632</v>
      </c>
      <c r="Q81" s="3" t="s">
        <v>632</v>
      </c>
      <c r="R81" s="3" t="s">
        <v>632</v>
      </c>
      <c r="S81" s="3" t="s">
        <v>632</v>
      </c>
      <c r="T81" s="3" t="s">
        <v>632</v>
      </c>
      <c r="U81" s="3" t="s">
        <v>632</v>
      </c>
      <c r="V81" s="3"/>
    </row>
    <row r="82" spans="1:22" x14ac:dyDescent="0.4">
      <c r="A82" s="11">
        <f t="shared" si="1"/>
        <v>78</v>
      </c>
      <c r="B82" s="3" t="s">
        <v>1983</v>
      </c>
      <c r="C82" s="3" t="s">
        <v>1984</v>
      </c>
      <c r="D82" s="3"/>
      <c r="E82" s="11" t="s">
        <v>20</v>
      </c>
      <c r="F82" s="11" t="s">
        <v>36</v>
      </c>
      <c r="G82" s="11" t="s">
        <v>20</v>
      </c>
      <c r="H82" s="3" t="s">
        <v>630</v>
      </c>
      <c r="I82" s="3" t="s">
        <v>629</v>
      </c>
      <c r="J82" s="3" t="s">
        <v>630</v>
      </c>
      <c r="K82" s="3" t="s">
        <v>644</v>
      </c>
      <c r="L82" s="3" t="s">
        <v>632</v>
      </c>
      <c r="M82" s="3" t="s">
        <v>1907</v>
      </c>
      <c r="N82" s="3" t="s">
        <v>670</v>
      </c>
      <c r="O82" s="3" t="s">
        <v>632</v>
      </c>
      <c r="P82" s="3" t="s">
        <v>632</v>
      </c>
      <c r="Q82" s="3" t="s">
        <v>632</v>
      </c>
      <c r="R82" s="3" t="s">
        <v>632</v>
      </c>
      <c r="S82" s="3" t="s">
        <v>632</v>
      </c>
      <c r="T82" s="3" t="s">
        <v>632</v>
      </c>
      <c r="U82" s="3" t="s">
        <v>632</v>
      </c>
      <c r="V82" s="3"/>
    </row>
    <row r="83" spans="1:22" x14ac:dyDescent="0.4">
      <c r="A83" s="11">
        <f t="shared" si="1"/>
        <v>79</v>
      </c>
      <c r="B83" s="3" t="s">
        <v>1985</v>
      </c>
      <c r="C83" s="3" t="s">
        <v>1984</v>
      </c>
      <c r="D83" s="3"/>
      <c r="E83" s="11" t="s">
        <v>36</v>
      </c>
      <c r="F83" s="11" t="s">
        <v>20</v>
      </c>
      <c r="G83" s="11" t="s">
        <v>36</v>
      </c>
      <c r="H83" s="3" t="s">
        <v>630</v>
      </c>
      <c r="I83" s="3" t="s">
        <v>629</v>
      </c>
      <c r="J83" s="3" t="s">
        <v>630</v>
      </c>
      <c r="K83" s="3" t="s">
        <v>644</v>
      </c>
      <c r="L83" s="3" t="s">
        <v>632</v>
      </c>
      <c r="M83" s="3" t="s">
        <v>632</v>
      </c>
      <c r="N83" s="3" t="s">
        <v>668</v>
      </c>
      <c r="O83" s="3" t="s">
        <v>632</v>
      </c>
      <c r="P83" s="3" t="s">
        <v>632</v>
      </c>
      <c r="Q83" s="3" t="s">
        <v>632</v>
      </c>
      <c r="R83" s="3" t="s">
        <v>632</v>
      </c>
      <c r="S83" s="3" t="s">
        <v>632</v>
      </c>
      <c r="T83" s="3" t="s">
        <v>632</v>
      </c>
      <c r="U83" s="3" t="s">
        <v>632</v>
      </c>
      <c r="V83" s="3"/>
    </row>
    <row r="84" spans="1:22" x14ac:dyDescent="0.4">
      <c r="A84" s="11">
        <f t="shared" si="1"/>
        <v>80</v>
      </c>
      <c r="B84" s="3" t="s">
        <v>1985</v>
      </c>
      <c r="C84" s="3" t="s">
        <v>1984</v>
      </c>
      <c r="D84" s="3"/>
      <c r="E84" s="11" t="s">
        <v>20</v>
      </c>
      <c r="F84" s="11" t="s">
        <v>36</v>
      </c>
      <c r="G84" s="11" t="s">
        <v>20</v>
      </c>
      <c r="H84" s="3" t="s">
        <v>630</v>
      </c>
      <c r="I84" s="3" t="s">
        <v>629</v>
      </c>
      <c r="J84" s="3" t="s">
        <v>630</v>
      </c>
      <c r="K84" s="3" t="s">
        <v>644</v>
      </c>
      <c r="L84" s="3" t="s">
        <v>632</v>
      </c>
      <c r="M84" s="3" t="s">
        <v>1907</v>
      </c>
      <c r="N84" s="3" t="s">
        <v>668</v>
      </c>
      <c r="O84" s="3" t="s">
        <v>632</v>
      </c>
      <c r="P84" s="3" t="s">
        <v>632</v>
      </c>
      <c r="Q84" s="3" t="s">
        <v>632</v>
      </c>
      <c r="R84" s="3" t="s">
        <v>632</v>
      </c>
      <c r="S84" s="3" t="s">
        <v>632</v>
      </c>
      <c r="T84" s="3" t="s">
        <v>632</v>
      </c>
      <c r="U84" s="3" t="s">
        <v>632</v>
      </c>
      <c r="V84" s="3"/>
    </row>
    <row r="85" spans="1:22" x14ac:dyDescent="0.4">
      <c r="A85" s="11">
        <f t="shared" si="1"/>
        <v>81</v>
      </c>
      <c r="B85" s="3" t="s">
        <v>1986</v>
      </c>
      <c r="C85" s="3" t="s">
        <v>1987</v>
      </c>
      <c r="D85" s="3"/>
      <c r="E85" s="11" t="s">
        <v>20</v>
      </c>
      <c r="F85" s="11" t="s">
        <v>20</v>
      </c>
      <c r="G85" s="11" t="s">
        <v>20</v>
      </c>
      <c r="H85" s="3" t="s">
        <v>630</v>
      </c>
      <c r="I85" s="3" t="s">
        <v>629</v>
      </c>
      <c r="J85" s="3" t="s">
        <v>630</v>
      </c>
      <c r="K85" s="3" t="s">
        <v>631</v>
      </c>
      <c r="L85" s="3" t="s">
        <v>632</v>
      </c>
      <c r="M85" s="3" t="s">
        <v>632</v>
      </c>
      <c r="N85" s="3" t="s">
        <v>633</v>
      </c>
      <c r="O85" s="3" t="s">
        <v>1914</v>
      </c>
      <c r="P85" s="3" t="s">
        <v>632</v>
      </c>
      <c r="Q85" s="3" t="s">
        <v>632</v>
      </c>
      <c r="R85" s="3" t="s">
        <v>632</v>
      </c>
      <c r="S85" s="3" t="s">
        <v>632</v>
      </c>
      <c r="T85" s="3" t="s">
        <v>632</v>
      </c>
      <c r="U85" s="3" t="s">
        <v>632</v>
      </c>
      <c r="V85" s="3"/>
    </row>
    <row r="86" spans="1:22" x14ac:dyDescent="0.4">
      <c r="A86" s="11">
        <f t="shared" si="1"/>
        <v>82</v>
      </c>
      <c r="B86" s="3" t="s">
        <v>1988</v>
      </c>
      <c r="C86" s="3" t="s">
        <v>1987</v>
      </c>
      <c r="D86" s="3"/>
      <c r="E86" s="11" t="s">
        <v>20</v>
      </c>
      <c r="F86" s="11" t="s">
        <v>20</v>
      </c>
      <c r="G86" s="11" t="s">
        <v>20</v>
      </c>
      <c r="H86" s="3" t="s">
        <v>630</v>
      </c>
      <c r="I86" s="3" t="s">
        <v>629</v>
      </c>
      <c r="J86" s="3" t="s">
        <v>630</v>
      </c>
      <c r="K86" s="3" t="s">
        <v>631</v>
      </c>
      <c r="L86" s="3" t="s">
        <v>632</v>
      </c>
      <c r="M86" s="3" t="s">
        <v>632</v>
      </c>
      <c r="N86" s="3" t="s">
        <v>633</v>
      </c>
      <c r="O86" s="3" t="s">
        <v>1940</v>
      </c>
      <c r="P86" s="3" t="s">
        <v>632</v>
      </c>
      <c r="Q86" s="3" t="s">
        <v>632</v>
      </c>
      <c r="R86" s="3" t="s">
        <v>632</v>
      </c>
      <c r="S86" s="3" t="s">
        <v>632</v>
      </c>
      <c r="T86" s="3" t="s">
        <v>632</v>
      </c>
      <c r="U86" s="3" t="s">
        <v>632</v>
      </c>
      <c r="V86" s="3"/>
    </row>
    <row r="87" spans="1:22" x14ac:dyDescent="0.4">
      <c r="A87" s="11">
        <f t="shared" si="1"/>
        <v>83</v>
      </c>
      <c r="B87" s="3" t="s">
        <v>1989</v>
      </c>
      <c r="C87" s="3" t="s">
        <v>1989</v>
      </c>
      <c r="D87" s="3"/>
      <c r="E87" s="11" t="s">
        <v>20</v>
      </c>
      <c r="F87" s="11" t="s">
        <v>20</v>
      </c>
      <c r="G87" s="11" t="s">
        <v>36</v>
      </c>
      <c r="H87" s="3" t="s">
        <v>628</v>
      </c>
      <c r="I87" s="3" t="s">
        <v>629</v>
      </c>
      <c r="J87" s="3" t="s">
        <v>630</v>
      </c>
      <c r="K87" s="3" t="s">
        <v>632</v>
      </c>
      <c r="L87" s="3" t="s">
        <v>632</v>
      </c>
      <c r="M87" s="3" t="s">
        <v>632</v>
      </c>
      <c r="N87" s="3" t="s">
        <v>632</v>
      </c>
      <c r="O87" s="3" t="s">
        <v>632</v>
      </c>
      <c r="P87" s="3" t="s">
        <v>632</v>
      </c>
      <c r="Q87" s="3" t="s">
        <v>632</v>
      </c>
      <c r="R87" s="3" t="s">
        <v>632</v>
      </c>
      <c r="S87" s="3" t="s">
        <v>632</v>
      </c>
      <c r="T87" s="3" t="s">
        <v>1950</v>
      </c>
      <c r="U87" s="3" t="s">
        <v>1990</v>
      </c>
      <c r="V87" s="3"/>
    </row>
    <row r="88" spans="1:22" x14ac:dyDescent="0.4">
      <c r="A88" s="11">
        <f t="shared" si="1"/>
        <v>84</v>
      </c>
      <c r="B88" s="3" t="s">
        <v>1991</v>
      </c>
      <c r="C88" s="3" t="s">
        <v>1992</v>
      </c>
      <c r="D88" s="3"/>
      <c r="E88" s="11" t="s">
        <v>20</v>
      </c>
      <c r="F88" s="11" t="s">
        <v>20</v>
      </c>
      <c r="G88" s="11" t="s">
        <v>20</v>
      </c>
      <c r="H88" s="3" t="s">
        <v>630</v>
      </c>
      <c r="I88" s="3" t="s">
        <v>629</v>
      </c>
      <c r="J88" s="3" t="s">
        <v>630</v>
      </c>
      <c r="K88" s="3" t="s">
        <v>671</v>
      </c>
      <c r="L88" s="3" t="s">
        <v>632</v>
      </c>
      <c r="M88" s="3" t="s">
        <v>632</v>
      </c>
      <c r="N88" s="3" t="s">
        <v>633</v>
      </c>
      <c r="O88" s="3" t="s">
        <v>632</v>
      </c>
      <c r="P88" s="3" t="s">
        <v>632</v>
      </c>
      <c r="Q88" s="3" t="s">
        <v>632</v>
      </c>
      <c r="R88" s="3" t="s">
        <v>632</v>
      </c>
      <c r="S88" s="3" t="s">
        <v>632</v>
      </c>
      <c r="T88" s="3" t="s">
        <v>632</v>
      </c>
      <c r="U88" s="3" t="s">
        <v>632</v>
      </c>
      <c r="V88" s="3"/>
    </row>
    <row r="89" spans="1:22" x14ac:dyDescent="0.4">
      <c r="A89" s="11">
        <f t="shared" si="1"/>
        <v>85</v>
      </c>
      <c r="B89" s="3" t="s">
        <v>1993</v>
      </c>
      <c r="C89" s="3" t="s">
        <v>1993</v>
      </c>
      <c r="D89" s="3"/>
      <c r="E89" s="11" t="s">
        <v>20</v>
      </c>
      <c r="F89" s="11" t="s">
        <v>20</v>
      </c>
      <c r="G89" s="11" t="s">
        <v>20</v>
      </c>
      <c r="H89" s="3" t="s">
        <v>628</v>
      </c>
      <c r="I89" s="3" t="s">
        <v>629</v>
      </c>
      <c r="J89" s="3" t="s">
        <v>630</v>
      </c>
      <c r="K89" s="3" t="s">
        <v>632</v>
      </c>
      <c r="L89" s="3" t="s">
        <v>632</v>
      </c>
      <c r="M89" s="3" t="s">
        <v>632</v>
      </c>
      <c r="N89" s="3" t="s">
        <v>632</v>
      </c>
      <c r="O89" s="3" t="s">
        <v>632</v>
      </c>
      <c r="P89" s="3" t="s">
        <v>632</v>
      </c>
      <c r="Q89" s="3" t="s">
        <v>632</v>
      </c>
      <c r="R89" s="3" t="s">
        <v>632</v>
      </c>
      <c r="S89" s="3" t="s">
        <v>632</v>
      </c>
      <c r="T89" s="3" t="s">
        <v>1950</v>
      </c>
      <c r="U89" s="3" t="s">
        <v>1994</v>
      </c>
      <c r="V89" s="3"/>
    </row>
    <row r="90" spans="1:22" x14ac:dyDescent="0.4">
      <c r="A90" s="11">
        <f t="shared" si="1"/>
        <v>86</v>
      </c>
      <c r="B90" s="3" t="s">
        <v>672</v>
      </c>
      <c r="C90" s="3" t="s">
        <v>673</v>
      </c>
      <c r="D90" s="3"/>
      <c r="E90" s="11" t="s">
        <v>36</v>
      </c>
      <c r="F90" s="11" t="s">
        <v>36</v>
      </c>
      <c r="G90" s="11" t="s">
        <v>20</v>
      </c>
      <c r="H90" s="3" t="s">
        <v>628</v>
      </c>
      <c r="I90" s="3" t="s">
        <v>629</v>
      </c>
      <c r="J90" s="3" t="s">
        <v>630</v>
      </c>
      <c r="K90" s="3" t="s">
        <v>631</v>
      </c>
      <c r="L90" s="3" t="s">
        <v>632</v>
      </c>
      <c r="M90" s="3" t="s">
        <v>632</v>
      </c>
      <c r="N90" s="3" t="s">
        <v>634</v>
      </c>
      <c r="O90" s="3" t="s">
        <v>674</v>
      </c>
      <c r="P90" s="3" t="s">
        <v>632</v>
      </c>
      <c r="Q90" s="3" t="s">
        <v>632</v>
      </c>
      <c r="R90" s="3" t="s">
        <v>632</v>
      </c>
      <c r="S90" s="3" t="s">
        <v>632</v>
      </c>
      <c r="T90" s="3" t="s">
        <v>632</v>
      </c>
      <c r="U90" s="3" t="s">
        <v>632</v>
      </c>
      <c r="V90" s="3"/>
    </row>
    <row r="91" spans="1:22" x14ac:dyDescent="0.4">
      <c r="A91" s="11">
        <f t="shared" si="1"/>
        <v>87</v>
      </c>
      <c r="B91" s="3" t="s">
        <v>675</v>
      </c>
      <c r="C91" s="3" t="s">
        <v>673</v>
      </c>
      <c r="D91" s="3"/>
      <c r="E91" s="11" t="s">
        <v>36</v>
      </c>
      <c r="F91" s="11" t="s">
        <v>36</v>
      </c>
      <c r="G91" s="11" t="s">
        <v>20</v>
      </c>
      <c r="H91" s="3" t="s">
        <v>628</v>
      </c>
      <c r="I91" s="3" t="s">
        <v>629</v>
      </c>
      <c r="J91" s="3" t="s">
        <v>630</v>
      </c>
      <c r="K91" s="3" t="s">
        <v>644</v>
      </c>
      <c r="L91" s="3" t="s">
        <v>632</v>
      </c>
      <c r="M91" s="3" t="s">
        <v>1995</v>
      </c>
      <c r="N91" s="3" t="s">
        <v>633</v>
      </c>
      <c r="O91" s="3">
        <v>2869</v>
      </c>
      <c r="P91" s="3" t="s">
        <v>632</v>
      </c>
      <c r="Q91" s="3" t="s">
        <v>632</v>
      </c>
      <c r="R91" s="3" t="s">
        <v>632</v>
      </c>
      <c r="S91" s="3" t="s">
        <v>632</v>
      </c>
      <c r="T91" s="3" t="s">
        <v>632</v>
      </c>
      <c r="U91" s="3" t="s">
        <v>632</v>
      </c>
      <c r="V91" s="3"/>
    </row>
    <row r="92" spans="1:22" x14ac:dyDescent="0.4">
      <c r="A92" s="11">
        <f t="shared" si="1"/>
        <v>88</v>
      </c>
      <c r="B92" s="3" t="s">
        <v>1996</v>
      </c>
      <c r="C92" s="3" t="s">
        <v>673</v>
      </c>
      <c r="D92" s="3"/>
      <c r="E92" s="11" t="s">
        <v>20</v>
      </c>
      <c r="F92" s="11" t="s">
        <v>36</v>
      </c>
      <c r="G92" s="11" t="s">
        <v>36</v>
      </c>
      <c r="H92" s="3" t="s">
        <v>628</v>
      </c>
      <c r="I92" s="3" t="s">
        <v>629</v>
      </c>
      <c r="J92" s="3" t="s">
        <v>630</v>
      </c>
      <c r="K92" s="3" t="s">
        <v>644</v>
      </c>
      <c r="L92" s="3" t="s">
        <v>632</v>
      </c>
      <c r="M92" s="3" t="s">
        <v>1907</v>
      </c>
      <c r="N92" s="3" t="s">
        <v>633</v>
      </c>
      <c r="O92" s="3">
        <v>10246</v>
      </c>
      <c r="P92" s="3" t="s">
        <v>632</v>
      </c>
      <c r="Q92" s="3" t="s">
        <v>632</v>
      </c>
      <c r="R92" s="3" t="s">
        <v>632</v>
      </c>
      <c r="S92" s="3" t="s">
        <v>632</v>
      </c>
      <c r="T92" s="3" t="s">
        <v>632</v>
      </c>
      <c r="U92" s="3" t="s">
        <v>632</v>
      </c>
      <c r="V92" s="3"/>
    </row>
    <row r="93" spans="1:22" x14ac:dyDescent="0.4">
      <c r="A93" s="11">
        <f t="shared" si="1"/>
        <v>89</v>
      </c>
      <c r="B93" s="3" t="s">
        <v>1996</v>
      </c>
      <c r="C93" s="3" t="s">
        <v>673</v>
      </c>
      <c r="D93" s="3"/>
      <c r="E93" s="11" t="s">
        <v>36</v>
      </c>
      <c r="F93" s="11" t="s">
        <v>36</v>
      </c>
      <c r="G93" s="11" t="s">
        <v>20</v>
      </c>
      <c r="H93" s="3" t="s">
        <v>628</v>
      </c>
      <c r="I93" s="3" t="s">
        <v>629</v>
      </c>
      <c r="J93" s="3" t="s">
        <v>630</v>
      </c>
      <c r="K93" s="3" t="s">
        <v>644</v>
      </c>
      <c r="L93" s="3" t="s">
        <v>632</v>
      </c>
      <c r="M93" s="3" t="s">
        <v>1995</v>
      </c>
      <c r="N93" s="3" t="s">
        <v>633</v>
      </c>
      <c r="O93" s="3">
        <v>10246</v>
      </c>
      <c r="P93" s="3" t="s">
        <v>632</v>
      </c>
      <c r="Q93" s="3" t="s">
        <v>632</v>
      </c>
      <c r="R93" s="3" t="s">
        <v>632</v>
      </c>
      <c r="S93" s="3" t="s">
        <v>632</v>
      </c>
      <c r="T93" s="3" t="s">
        <v>632</v>
      </c>
      <c r="U93" s="3" t="s">
        <v>632</v>
      </c>
      <c r="V93" s="3"/>
    </row>
    <row r="94" spans="1:22" x14ac:dyDescent="0.4">
      <c r="A94" s="11">
        <f t="shared" si="1"/>
        <v>90</v>
      </c>
      <c r="B94" s="3" t="s">
        <v>1996</v>
      </c>
      <c r="C94" s="3" t="s">
        <v>673</v>
      </c>
      <c r="D94" s="3"/>
      <c r="E94" s="11" t="s">
        <v>36</v>
      </c>
      <c r="F94" s="11" t="s">
        <v>20</v>
      </c>
      <c r="G94" s="11" t="s">
        <v>36</v>
      </c>
      <c r="H94" s="3" t="s">
        <v>628</v>
      </c>
      <c r="I94" s="3" t="s">
        <v>629</v>
      </c>
      <c r="J94" s="3" t="s">
        <v>630</v>
      </c>
      <c r="K94" s="3" t="s">
        <v>644</v>
      </c>
      <c r="L94" s="3" t="s">
        <v>632</v>
      </c>
      <c r="M94" s="3" t="s">
        <v>632</v>
      </c>
      <c r="N94" s="3" t="s">
        <v>633</v>
      </c>
      <c r="O94" s="3">
        <v>10246</v>
      </c>
      <c r="P94" s="3" t="s">
        <v>632</v>
      </c>
      <c r="Q94" s="3" t="s">
        <v>632</v>
      </c>
      <c r="R94" s="3" t="s">
        <v>632</v>
      </c>
      <c r="S94" s="3" t="s">
        <v>632</v>
      </c>
      <c r="T94" s="3" t="s">
        <v>632</v>
      </c>
      <c r="U94" s="3" t="s">
        <v>632</v>
      </c>
      <c r="V94" s="3"/>
    </row>
    <row r="95" spans="1:22" x14ac:dyDescent="0.4">
      <c r="A95" s="11">
        <f t="shared" si="1"/>
        <v>91</v>
      </c>
      <c r="B95" s="3" t="s">
        <v>1997</v>
      </c>
      <c r="C95" s="3" t="s">
        <v>673</v>
      </c>
      <c r="D95" s="3"/>
      <c r="E95" s="11" t="s">
        <v>36</v>
      </c>
      <c r="F95" s="11" t="s">
        <v>36</v>
      </c>
      <c r="G95" s="11" t="s">
        <v>20</v>
      </c>
      <c r="H95" s="3" t="s">
        <v>628</v>
      </c>
      <c r="I95" s="3" t="s">
        <v>629</v>
      </c>
      <c r="J95" s="3" t="s">
        <v>630</v>
      </c>
      <c r="K95" s="3" t="s">
        <v>676</v>
      </c>
      <c r="L95" s="3" t="s">
        <v>632</v>
      </c>
      <c r="M95" s="3" t="s">
        <v>1995</v>
      </c>
      <c r="N95" s="3" t="s">
        <v>634</v>
      </c>
      <c r="O95" s="3" t="s">
        <v>632</v>
      </c>
      <c r="P95" s="3" t="s">
        <v>632</v>
      </c>
      <c r="Q95" s="3" t="s">
        <v>632</v>
      </c>
      <c r="R95" s="3" t="s">
        <v>632</v>
      </c>
      <c r="S95" s="3" t="s">
        <v>632</v>
      </c>
      <c r="T95" s="3" t="s">
        <v>632</v>
      </c>
      <c r="U95" s="3" t="s">
        <v>632</v>
      </c>
      <c r="V95" s="3"/>
    </row>
    <row r="96" spans="1:22" x14ac:dyDescent="0.4">
      <c r="A96" s="11">
        <f t="shared" si="1"/>
        <v>92</v>
      </c>
      <c r="B96" s="3" t="s">
        <v>1997</v>
      </c>
      <c r="C96" s="3" t="s">
        <v>673</v>
      </c>
      <c r="D96" s="3"/>
      <c r="E96" s="11" t="s">
        <v>20</v>
      </c>
      <c r="F96" s="11" t="s">
        <v>36</v>
      </c>
      <c r="G96" s="11" t="s">
        <v>36</v>
      </c>
      <c r="H96" s="3" t="s">
        <v>628</v>
      </c>
      <c r="I96" s="3" t="s">
        <v>629</v>
      </c>
      <c r="J96" s="3" t="s">
        <v>630</v>
      </c>
      <c r="K96" s="3" t="s">
        <v>676</v>
      </c>
      <c r="L96" s="3" t="s">
        <v>632</v>
      </c>
      <c r="M96" s="3" t="s">
        <v>1907</v>
      </c>
      <c r="N96" s="3" t="s">
        <v>634</v>
      </c>
      <c r="O96" s="3" t="s">
        <v>632</v>
      </c>
      <c r="P96" s="3" t="s">
        <v>632</v>
      </c>
      <c r="Q96" s="3" t="s">
        <v>632</v>
      </c>
      <c r="R96" s="3" t="s">
        <v>632</v>
      </c>
      <c r="S96" s="3" t="s">
        <v>632</v>
      </c>
      <c r="T96" s="3" t="s">
        <v>632</v>
      </c>
      <c r="U96" s="3" t="s">
        <v>632</v>
      </c>
      <c r="V96" s="3"/>
    </row>
    <row r="97" spans="1:22" x14ac:dyDescent="0.4">
      <c r="A97" s="11">
        <f t="shared" si="1"/>
        <v>93</v>
      </c>
      <c r="B97" s="3" t="s">
        <v>1997</v>
      </c>
      <c r="C97" s="3" t="s">
        <v>673</v>
      </c>
      <c r="D97" s="3"/>
      <c r="E97" s="11" t="s">
        <v>36</v>
      </c>
      <c r="F97" s="11" t="s">
        <v>20</v>
      </c>
      <c r="G97" s="11" t="s">
        <v>36</v>
      </c>
      <c r="H97" s="3" t="s">
        <v>628</v>
      </c>
      <c r="I97" s="3" t="s">
        <v>629</v>
      </c>
      <c r="J97" s="3" t="s">
        <v>630</v>
      </c>
      <c r="K97" s="3" t="s">
        <v>676</v>
      </c>
      <c r="L97" s="3" t="s">
        <v>632</v>
      </c>
      <c r="M97" s="3" t="s">
        <v>632</v>
      </c>
      <c r="N97" s="3" t="s">
        <v>634</v>
      </c>
      <c r="O97" s="3" t="s">
        <v>632</v>
      </c>
      <c r="P97" s="3" t="s">
        <v>632</v>
      </c>
      <c r="Q97" s="3" t="s">
        <v>632</v>
      </c>
      <c r="R97" s="3" t="s">
        <v>632</v>
      </c>
      <c r="S97" s="3" t="s">
        <v>632</v>
      </c>
      <c r="T97" s="3" t="s">
        <v>632</v>
      </c>
      <c r="U97" s="3" t="s">
        <v>632</v>
      </c>
      <c r="V97" s="3"/>
    </row>
    <row r="98" spans="1:22" x14ac:dyDescent="0.4">
      <c r="A98" s="11">
        <f t="shared" si="1"/>
        <v>94</v>
      </c>
      <c r="B98" s="3" t="s">
        <v>1998</v>
      </c>
      <c r="C98" s="3" t="s">
        <v>673</v>
      </c>
      <c r="D98" s="3"/>
      <c r="E98" s="11" t="s">
        <v>36</v>
      </c>
      <c r="F98" s="11" t="s">
        <v>20</v>
      </c>
      <c r="G98" s="11" t="s">
        <v>36</v>
      </c>
      <c r="H98" s="3" t="s">
        <v>628</v>
      </c>
      <c r="I98" s="3" t="s">
        <v>629</v>
      </c>
      <c r="J98" s="3" t="s">
        <v>630</v>
      </c>
      <c r="K98" s="3" t="s">
        <v>676</v>
      </c>
      <c r="L98" s="3" t="s">
        <v>632</v>
      </c>
      <c r="M98" s="3" t="s">
        <v>632</v>
      </c>
      <c r="N98" s="3" t="s">
        <v>633</v>
      </c>
      <c r="O98" s="3" t="s">
        <v>677</v>
      </c>
      <c r="P98" s="3" t="s">
        <v>632</v>
      </c>
      <c r="Q98" s="3" t="s">
        <v>632</v>
      </c>
      <c r="R98" s="3" t="s">
        <v>632</v>
      </c>
      <c r="S98" s="3" t="s">
        <v>632</v>
      </c>
      <c r="T98" s="3" t="s">
        <v>632</v>
      </c>
      <c r="U98" s="3" t="s">
        <v>632</v>
      </c>
      <c r="V98" s="3"/>
    </row>
    <row r="99" spans="1:22" x14ac:dyDescent="0.4">
      <c r="A99" s="11">
        <f t="shared" si="1"/>
        <v>95</v>
      </c>
      <c r="B99" s="3" t="s">
        <v>1998</v>
      </c>
      <c r="C99" s="3" t="s">
        <v>673</v>
      </c>
      <c r="D99" s="3"/>
      <c r="E99" s="11" t="s">
        <v>20</v>
      </c>
      <c r="F99" s="11" t="s">
        <v>36</v>
      </c>
      <c r="G99" s="11" t="s">
        <v>36</v>
      </c>
      <c r="H99" s="3" t="s">
        <v>628</v>
      </c>
      <c r="I99" s="3" t="s">
        <v>629</v>
      </c>
      <c r="J99" s="3" t="s">
        <v>630</v>
      </c>
      <c r="K99" s="3" t="s">
        <v>676</v>
      </c>
      <c r="L99" s="3" t="s">
        <v>632</v>
      </c>
      <c r="M99" s="3" t="s">
        <v>1907</v>
      </c>
      <c r="N99" s="3" t="s">
        <v>633</v>
      </c>
      <c r="O99" s="3" t="s">
        <v>677</v>
      </c>
      <c r="P99" s="3" t="s">
        <v>632</v>
      </c>
      <c r="Q99" s="3" t="s">
        <v>632</v>
      </c>
      <c r="R99" s="3" t="s">
        <v>632</v>
      </c>
      <c r="S99" s="3" t="s">
        <v>632</v>
      </c>
      <c r="T99" s="3" t="s">
        <v>632</v>
      </c>
      <c r="U99" s="3" t="s">
        <v>632</v>
      </c>
      <c r="V99" s="3"/>
    </row>
    <row r="100" spans="1:22" x14ac:dyDescent="0.4">
      <c r="A100" s="11">
        <f t="shared" si="1"/>
        <v>96</v>
      </c>
      <c r="B100" s="3" t="s">
        <v>1998</v>
      </c>
      <c r="C100" s="3" t="s">
        <v>673</v>
      </c>
      <c r="D100" s="3"/>
      <c r="E100" s="11" t="s">
        <v>36</v>
      </c>
      <c r="F100" s="11" t="s">
        <v>36</v>
      </c>
      <c r="G100" s="11" t="s">
        <v>20</v>
      </c>
      <c r="H100" s="3" t="s">
        <v>628</v>
      </c>
      <c r="I100" s="3" t="s">
        <v>629</v>
      </c>
      <c r="J100" s="3" t="s">
        <v>630</v>
      </c>
      <c r="K100" s="3" t="s">
        <v>676</v>
      </c>
      <c r="L100" s="3" t="s">
        <v>632</v>
      </c>
      <c r="M100" s="3" t="s">
        <v>1995</v>
      </c>
      <c r="N100" s="3" t="s">
        <v>633</v>
      </c>
      <c r="O100" s="3" t="s">
        <v>677</v>
      </c>
      <c r="P100" s="3" t="s">
        <v>632</v>
      </c>
      <c r="Q100" s="3" t="s">
        <v>632</v>
      </c>
      <c r="R100" s="3" t="s">
        <v>632</v>
      </c>
      <c r="S100" s="3" t="s">
        <v>632</v>
      </c>
      <c r="T100" s="3" t="s">
        <v>632</v>
      </c>
      <c r="U100" s="3" t="s">
        <v>632</v>
      </c>
      <c r="V100" s="3"/>
    </row>
    <row r="101" spans="1:22" x14ac:dyDescent="0.4">
      <c r="A101" s="11">
        <f t="shared" si="1"/>
        <v>97</v>
      </c>
      <c r="B101" s="3" t="s">
        <v>678</v>
      </c>
      <c r="C101" s="3" t="s">
        <v>673</v>
      </c>
      <c r="D101" s="3"/>
      <c r="E101" s="11" t="s">
        <v>20</v>
      </c>
      <c r="F101" s="11" t="s">
        <v>36</v>
      </c>
      <c r="G101" s="11" t="s">
        <v>20</v>
      </c>
      <c r="H101" s="3" t="s">
        <v>628</v>
      </c>
      <c r="I101" s="3" t="s">
        <v>629</v>
      </c>
      <c r="J101" s="3" t="s">
        <v>630</v>
      </c>
      <c r="K101" s="3" t="s">
        <v>631</v>
      </c>
      <c r="L101" s="3" t="s">
        <v>632</v>
      </c>
      <c r="M101" s="3" t="s">
        <v>1995</v>
      </c>
      <c r="N101" s="3" t="s">
        <v>633</v>
      </c>
      <c r="O101" s="3">
        <v>2177</v>
      </c>
      <c r="P101" s="3" t="s">
        <v>632</v>
      </c>
      <c r="Q101" s="3" t="s">
        <v>632</v>
      </c>
      <c r="R101" s="3" t="s">
        <v>632</v>
      </c>
      <c r="S101" s="3" t="s">
        <v>632</v>
      </c>
      <c r="T101" s="3" t="s">
        <v>632</v>
      </c>
      <c r="U101" s="3" t="s">
        <v>632</v>
      </c>
      <c r="V101" s="3"/>
    </row>
    <row r="102" spans="1:22" x14ac:dyDescent="0.4">
      <c r="A102" s="11">
        <f t="shared" si="1"/>
        <v>98</v>
      </c>
      <c r="B102" s="3" t="s">
        <v>679</v>
      </c>
      <c r="C102" s="3" t="s">
        <v>673</v>
      </c>
      <c r="D102" s="3"/>
      <c r="E102" s="11" t="s">
        <v>20</v>
      </c>
      <c r="F102" s="11" t="s">
        <v>36</v>
      </c>
      <c r="G102" s="11" t="s">
        <v>20</v>
      </c>
      <c r="H102" s="3" t="s">
        <v>628</v>
      </c>
      <c r="I102" s="3" t="s">
        <v>629</v>
      </c>
      <c r="J102" s="3" t="s">
        <v>630</v>
      </c>
      <c r="K102" s="3" t="s">
        <v>631</v>
      </c>
      <c r="L102" s="3" t="s">
        <v>632</v>
      </c>
      <c r="M102" s="3" t="s">
        <v>1995</v>
      </c>
      <c r="N102" s="3" t="s">
        <v>634</v>
      </c>
      <c r="O102" s="3">
        <v>2177</v>
      </c>
      <c r="P102" s="3" t="s">
        <v>632</v>
      </c>
      <c r="Q102" s="3" t="s">
        <v>632</v>
      </c>
      <c r="R102" s="3" t="s">
        <v>632</v>
      </c>
      <c r="S102" s="3" t="s">
        <v>632</v>
      </c>
      <c r="T102" s="3" t="s">
        <v>632</v>
      </c>
      <c r="U102" s="3" t="s">
        <v>632</v>
      </c>
      <c r="V102" s="3"/>
    </row>
    <row r="103" spans="1:22" x14ac:dyDescent="0.4">
      <c r="A103" s="11">
        <f t="shared" si="1"/>
        <v>99</v>
      </c>
      <c r="B103" s="3" t="s">
        <v>1999</v>
      </c>
      <c r="C103" s="3" t="s">
        <v>2000</v>
      </c>
      <c r="D103" s="3"/>
      <c r="E103" s="11" t="s">
        <v>36</v>
      </c>
      <c r="F103" s="11" t="s">
        <v>20</v>
      </c>
      <c r="G103" s="11" t="s">
        <v>20</v>
      </c>
      <c r="H103" s="3" t="s">
        <v>630</v>
      </c>
      <c r="I103" s="3" t="s">
        <v>629</v>
      </c>
      <c r="J103" s="3" t="s">
        <v>630</v>
      </c>
      <c r="K103" s="3" t="s">
        <v>631</v>
      </c>
      <c r="L103" s="3" t="s">
        <v>632</v>
      </c>
      <c r="M103" s="3" t="s">
        <v>1907</v>
      </c>
      <c r="N103" s="3" t="s">
        <v>634</v>
      </c>
      <c r="O103" s="3">
        <v>5355</v>
      </c>
      <c r="P103" s="3" t="s">
        <v>632</v>
      </c>
      <c r="Q103" s="3" t="s">
        <v>632</v>
      </c>
      <c r="R103" s="3" t="s">
        <v>632</v>
      </c>
      <c r="S103" s="3" t="s">
        <v>632</v>
      </c>
      <c r="T103" s="3" t="s">
        <v>632</v>
      </c>
      <c r="U103" s="3" t="s">
        <v>632</v>
      </c>
      <c r="V103" s="3"/>
    </row>
    <row r="104" spans="1:22" x14ac:dyDescent="0.4">
      <c r="A104" s="11">
        <f t="shared" si="1"/>
        <v>100</v>
      </c>
      <c r="B104" s="3" t="s">
        <v>1999</v>
      </c>
      <c r="C104" s="3" t="s">
        <v>2000</v>
      </c>
      <c r="D104" s="3"/>
      <c r="E104" s="11" t="s">
        <v>20</v>
      </c>
      <c r="F104" s="11" t="s">
        <v>36</v>
      </c>
      <c r="G104" s="11" t="s">
        <v>36</v>
      </c>
      <c r="H104" s="3" t="s">
        <v>628</v>
      </c>
      <c r="I104" s="3" t="s">
        <v>629</v>
      </c>
      <c r="J104" s="3" t="s">
        <v>630</v>
      </c>
      <c r="K104" s="3" t="s">
        <v>631</v>
      </c>
      <c r="L104" s="3" t="s">
        <v>632</v>
      </c>
      <c r="M104" s="3" t="s">
        <v>1907</v>
      </c>
      <c r="N104" s="3" t="s">
        <v>634</v>
      </c>
      <c r="O104" s="3">
        <v>5355</v>
      </c>
      <c r="P104" s="3" t="s">
        <v>632</v>
      </c>
      <c r="Q104" s="3" t="s">
        <v>632</v>
      </c>
      <c r="R104" s="3" t="s">
        <v>632</v>
      </c>
      <c r="S104" s="3" t="s">
        <v>632</v>
      </c>
      <c r="T104" s="3" t="s">
        <v>632</v>
      </c>
      <c r="U104" s="3" t="s">
        <v>632</v>
      </c>
      <c r="V104" s="3"/>
    </row>
    <row r="105" spans="1:22" x14ac:dyDescent="0.4">
      <c r="A105" s="11">
        <f t="shared" si="1"/>
        <v>101</v>
      </c>
      <c r="B105" s="3" t="s">
        <v>2001</v>
      </c>
      <c r="C105" s="3" t="s">
        <v>2000</v>
      </c>
      <c r="D105" s="3"/>
      <c r="E105" s="11" t="s">
        <v>36</v>
      </c>
      <c r="F105" s="11" t="s">
        <v>20</v>
      </c>
      <c r="G105" s="11" t="s">
        <v>20</v>
      </c>
      <c r="H105" s="3" t="s">
        <v>630</v>
      </c>
      <c r="I105" s="3" t="s">
        <v>629</v>
      </c>
      <c r="J105" s="3" t="s">
        <v>630</v>
      </c>
      <c r="K105" s="3" t="s">
        <v>644</v>
      </c>
      <c r="L105" s="3" t="s">
        <v>632</v>
      </c>
      <c r="M105" s="3" t="s">
        <v>632</v>
      </c>
      <c r="N105" s="3" t="s">
        <v>634</v>
      </c>
      <c r="O105" s="3">
        <v>138</v>
      </c>
      <c r="P105" s="3" t="s">
        <v>632</v>
      </c>
      <c r="Q105" s="3" t="s">
        <v>632</v>
      </c>
      <c r="R105" s="3" t="s">
        <v>632</v>
      </c>
      <c r="S105" s="3" t="s">
        <v>632</v>
      </c>
      <c r="T105" s="3" t="s">
        <v>632</v>
      </c>
      <c r="U105" s="3" t="s">
        <v>632</v>
      </c>
      <c r="V105" s="3"/>
    </row>
    <row r="106" spans="1:22" x14ac:dyDescent="0.4">
      <c r="A106" s="11">
        <f t="shared" si="1"/>
        <v>102</v>
      </c>
      <c r="B106" s="3" t="s">
        <v>2001</v>
      </c>
      <c r="C106" s="3" t="s">
        <v>2000</v>
      </c>
      <c r="D106" s="3"/>
      <c r="E106" s="11" t="s">
        <v>20</v>
      </c>
      <c r="F106" s="11" t="s">
        <v>36</v>
      </c>
      <c r="G106" s="11" t="s">
        <v>36</v>
      </c>
      <c r="H106" s="3" t="s">
        <v>628</v>
      </c>
      <c r="I106" s="3" t="s">
        <v>629</v>
      </c>
      <c r="J106" s="3" t="s">
        <v>630</v>
      </c>
      <c r="K106" s="3" t="s">
        <v>644</v>
      </c>
      <c r="L106" s="3" t="s">
        <v>632</v>
      </c>
      <c r="M106" s="3" t="s">
        <v>632</v>
      </c>
      <c r="N106" s="3" t="s">
        <v>634</v>
      </c>
      <c r="O106" s="3">
        <v>138</v>
      </c>
      <c r="P106" s="3" t="s">
        <v>632</v>
      </c>
      <c r="Q106" s="3" t="s">
        <v>632</v>
      </c>
      <c r="R106" s="3" t="s">
        <v>632</v>
      </c>
      <c r="S106" s="3" t="s">
        <v>632</v>
      </c>
      <c r="T106" s="3" t="s">
        <v>632</v>
      </c>
      <c r="U106" s="3" t="s">
        <v>632</v>
      </c>
      <c r="V106" s="3"/>
    </row>
    <row r="107" spans="1:22" x14ac:dyDescent="0.4">
      <c r="A107" s="11">
        <f t="shared" si="1"/>
        <v>103</v>
      </c>
      <c r="B107" s="3" t="s">
        <v>2002</v>
      </c>
      <c r="C107" s="3" t="s">
        <v>2000</v>
      </c>
      <c r="D107" s="3"/>
      <c r="E107" s="11" t="s">
        <v>36</v>
      </c>
      <c r="F107" s="11" t="s">
        <v>20</v>
      </c>
      <c r="G107" s="11" t="s">
        <v>20</v>
      </c>
      <c r="H107" s="3" t="s">
        <v>630</v>
      </c>
      <c r="I107" s="3" t="s">
        <v>629</v>
      </c>
      <c r="J107" s="3" t="s">
        <v>630</v>
      </c>
      <c r="K107" s="3" t="s">
        <v>644</v>
      </c>
      <c r="L107" s="3" t="s">
        <v>632</v>
      </c>
      <c r="M107" s="3" t="s">
        <v>632</v>
      </c>
      <c r="N107" s="3" t="s">
        <v>634</v>
      </c>
      <c r="O107" s="3">
        <v>137</v>
      </c>
      <c r="P107" s="3" t="s">
        <v>632</v>
      </c>
      <c r="Q107" s="3" t="s">
        <v>632</v>
      </c>
      <c r="R107" s="3" t="s">
        <v>632</v>
      </c>
      <c r="S107" s="3" t="s">
        <v>632</v>
      </c>
      <c r="T107" s="3" t="s">
        <v>632</v>
      </c>
      <c r="U107" s="3" t="s">
        <v>632</v>
      </c>
      <c r="V107" s="3"/>
    </row>
    <row r="108" spans="1:22" x14ac:dyDescent="0.4">
      <c r="A108" s="11">
        <f t="shared" si="1"/>
        <v>104</v>
      </c>
      <c r="B108" s="3" t="s">
        <v>2002</v>
      </c>
      <c r="C108" s="3" t="s">
        <v>2000</v>
      </c>
      <c r="D108" s="3"/>
      <c r="E108" s="11" t="s">
        <v>20</v>
      </c>
      <c r="F108" s="11" t="s">
        <v>36</v>
      </c>
      <c r="G108" s="11" t="s">
        <v>36</v>
      </c>
      <c r="H108" s="3" t="s">
        <v>628</v>
      </c>
      <c r="I108" s="3" t="s">
        <v>629</v>
      </c>
      <c r="J108" s="3" t="s">
        <v>630</v>
      </c>
      <c r="K108" s="3" t="s">
        <v>644</v>
      </c>
      <c r="L108" s="3" t="s">
        <v>632</v>
      </c>
      <c r="M108" s="3" t="s">
        <v>632</v>
      </c>
      <c r="N108" s="3" t="s">
        <v>634</v>
      </c>
      <c r="O108" s="3">
        <v>137</v>
      </c>
      <c r="P108" s="3" t="s">
        <v>632</v>
      </c>
      <c r="Q108" s="3" t="s">
        <v>632</v>
      </c>
      <c r="R108" s="3" t="s">
        <v>632</v>
      </c>
      <c r="S108" s="3" t="s">
        <v>632</v>
      </c>
      <c r="T108" s="3" t="s">
        <v>632</v>
      </c>
      <c r="U108" s="3" t="s">
        <v>632</v>
      </c>
      <c r="V108" s="3"/>
    </row>
    <row r="109" spans="1:22" x14ac:dyDescent="0.4">
      <c r="A109" s="11">
        <f t="shared" si="1"/>
        <v>105</v>
      </c>
      <c r="B109" s="3" t="s">
        <v>2003</v>
      </c>
      <c r="C109" s="3" t="s">
        <v>2000</v>
      </c>
      <c r="D109" s="3"/>
      <c r="E109" s="11" t="s">
        <v>20</v>
      </c>
      <c r="F109" s="11" t="s">
        <v>36</v>
      </c>
      <c r="G109" s="11" t="s">
        <v>36</v>
      </c>
      <c r="H109" s="3" t="s">
        <v>628</v>
      </c>
      <c r="I109" s="3" t="s">
        <v>629</v>
      </c>
      <c r="J109" s="3" t="s">
        <v>630</v>
      </c>
      <c r="K109" s="3" t="s">
        <v>631</v>
      </c>
      <c r="L109" s="3" t="s">
        <v>632</v>
      </c>
      <c r="M109" s="3" t="s">
        <v>1907</v>
      </c>
      <c r="N109" s="3" t="s">
        <v>634</v>
      </c>
      <c r="O109" s="3">
        <v>3702</v>
      </c>
      <c r="P109" s="3" t="s">
        <v>632</v>
      </c>
      <c r="Q109" s="3" t="s">
        <v>632</v>
      </c>
      <c r="R109" s="3" t="s">
        <v>632</v>
      </c>
      <c r="S109" s="3" t="s">
        <v>632</v>
      </c>
      <c r="T109" s="3" t="s">
        <v>632</v>
      </c>
      <c r="U109" s="3" t="s">
        <v>632</v>
      </c>
      <c r="V109" s="3"/>
    </row>
    <row r="110" spans="1:22" x14ac:dyDescent="0.4">
      <c r="A110" s="11">
        <f t="shared" si="1"/>
        <v>106</v>
      </c>
      <c r="B110" s="3" t="s">
        <v>2003</v>
      </c>
      <c r="C110" s="3" t="s">
        <v>2000</v>
      </c>
      <c r="D110" s="3"/>
      <c r="E110" s="11" t="s">
        <v>36</v>
      </c>
      <c r="F110" s="11" t="s">
        <v>20</v>
      </c>
      <c r="G110" s="11" t="s">
        <v>20</v>
      </c>
      <c r="H110" s="3" t="s">
        <v>630</v>
      </c>
      <c r="I110" s="3" t="s">
        <v>629</v>
      </c>
      <c r="J110" s="3" t="s">
        <v>630</v>
      </c>
      <c r="K110" s="3" t="s">
        <v>631</v>
      </c>
      <c r="L110" s="3" t="s">
        <v>632</v>
      </c>
      <c r="M110" s="3" t="s">
        <v>1907</v>
      </c>
      <c r="N110" s="3" t="s">
        <v>634</v>
      </c>
      <c r="O110" s="3">
        <v>3702</v>
      </c>
      <c r="P110" s="3" t="s">
        <v>632</v>
      </c>
      <c r="Q110" s="3" t="s">
        <v>632</v>
      </c>
      <c r="R110" s="3" t="s">
        <v>632</v>
      </c>
      <c r="S110" s="3" t="s">
        <v>632</v>
      </c>
      <c r="T110" s="3" t="s">
        <v>632</v>
      </c>
      <c r="U110" s="3" t="s">
        <v>632</v>
      </c>
      <c r="V110" s="3"/>
    </row>
    <row r="111" spans="1:22" x14ac:dyDescent="0.4">
      <c r="A111" s="11">
        <f t="shared" si="1"/>
        <v>107</v>
      </c>
      <c r="B111" s="3" t="s">
        <v>2004</v>
      </c>
      <c r="C111" s="3" t="s">
        <v>2000</v>
      </c>
      <c r="D111" s="3"/>
      <c r="E111" s="11" t="s">
        <v>20</v>
      </c>
      <c r="F111" s="11" t="s">
        <v>36</v>
      </c>
      <c r="G111" s="11" t="s">
        <v>36</v>
      </c>
      <c r="H111" s="3" t="s">
        <v>628</v>
      </c>
      <c r="I111" s="3" t="s">
        <v>629</v>
      </c>
      <c r="J111" s="3" t="s">
        <v>630</v>
      </c>
      <c r="K111" s="3" t="s">
        <v>631</v>
      </c>
      <c r="L111" s="3" t="s">
        <v>632</v>
      </c>
      <c r="M111" s="3" t="s">
        <v>1907</v>
      </c>
      <c r="N111" s="3" t="s">
        <v>634</v>
      </c>
      <c r="O111" s="3">
        <v>1900</v>
      </c>
      <c r="P111" s="3" t="s">
        <v>632</v>
      </c>
      <c r="Q111" s="3" t="s">
        <v>632</v>
      </c>
      <c r="R111" s="3" t="s">
        <v>632</v>
      </c>
      <c r="S111" s="3" t="s">
        <v>632</v>
      </c>
      <c r="T111" s="3" t="s">
        <v>632</v>
      </c>
      <c r="U111" s="3" t="s">
        <v>632</v>
      </c>
      <c r="V111" s="3"/>
    </row>
    <row r="112" spans="1:22" x14ac:dyDescent="0.4">
      <c r="A112" s="11">
        <f t="shared" si="1"/>
        <v>108</v>
      </c>
      <c r="B112" s="3" t="s">
        <v>2004</v>
      </c>
      <c r="C112" s="3" t="s">
        <v>2000</v>
      </c>
      <c r="D112" s="3"/>
      <c r="E112" s="11" t="s">
        <v>36</v>
      </c>
      <c r="F112" s="11" t="s">
        <v>20</v>
      </c>
      <c r="G112" s="11" t="s">
        <v>20</v>
      </c>
      <c r="H112" s="3" t="s">
        <v>630</v>
      </c>
      <c r="I112" s="3" t="s">
        <v>629</v>
      </c>
      <c r="J112" s="3" t="s">
        <v>630</v>
      </c>
      <c r="K112" s="3" t="s">
        <v>631</v>
      </c>
      <c r="L112" s="3" t="s">
        <v>632</v>
      </c>
      <c r="M112" s="3" t="s">
        <v>1907</v>
      </c>
      <c r="N112" s="3" t="s">
        <v>634</v>
      </c>
      <c r="O112" s="3">
        <v>1900</v>
      </c>
      <c r="P112" s="3" t="s">
        <v>632</v>
      </c>
      <c r="Q112" s="3" t="s">
        <v>632</v>
      </c>
      <c r="R112" s="3" t="s">
        <v>632</v>
      </c>
      <c r="S112" s="3" t="s">
        <v>632</v>
      </c>
      <c r="T112" s="3" t="s">
        <v>632</v>
      </c>
      <c r="U112" s="3" t="s">
        <v>632</v>
      </c>
      <c r="V112" s="3"/>
    </row>
    <row r="113" spans="1:22" x14ac:dyDescent="0.4">
      <c r="A113" s="11">
        <f t="shared" si="1"/>
        <v>109</v>
      </c>
      <c r="B113" s="3" t="s">
        <v>2005</v>
      </c>
      <c r="C113" s="3" t="s">
        <v>2000</v>
      </c>
      <c r="D113" s="3"/>
      <c r="E113" s="11" t="s">
        <v>20</v>
      </c>
      <c r="F113" s="11" t="s">
        <v>36</v>
      </c>
      <c r="G113" s="11" t="s">
        <v>36</v>
      </c>
      <c r="H113" s="3" t="s">
        <v>628</v>
      </c>
      <c r="I113" s="3" t="s">
        <v>629</v>
      </c>
      <c r="J113" s="3" t="s">
        <v>630</v>
      </c>
      <c r="K113" s="3" t="s">
        <v>644</v>
      </c>
      <c r="L113" s="3" t="s">
        <v>632</v>
      </c>
      <c r="M113" s="3" t="s">
        <v>632</v>
      </c>
      <c r="N113" s="3" t="s">
        <v>633</v>
      </c>
      <c r="O113" s="3">
        <v>2869</v>
      </c>
      <c r="P113" s="3" t="s">
        <v>632</v>
      </c>
      <c r="Q113" s="3" t="s">
        <v>632</v>
      </c>
      <c r="R113" s="3" t="s">
        <v>632</v>
      </c>
      <c r="S113" s="3" t="s">
        <v>632</v>
      </c>
      <c r="T113" s="3" t="s">
        <v>632</v>
      </c>
      <c r="U113" s="3" t="s">
        <v>632</v>
      </c>
      <c r="V113" s="3"/>
    </row>
    <row r="114" spans="1:22" x14ac:dyDescent="0.4">
      <c r="A114" s="11">
        <f t="shared" si="1"/>
        <v>110</v>
      </c>
      <c r="B114" s="3" t="s">
        <v>2005</v>
      </c>
      <c r="C114" s="3" t="s">
        <v>2000</v>
      </c>
      <c r="D114" s="3"/>
      <c r="E114" s="11" t="s">
        <v>36</v>
      </c>
      <c r="F114" s="11" t="s">
        <v>20</v>
      </c>
      <c r="G114" s="11" t="s">
        <v>20</v>
      </c>
      <c r="H114" s="3" t="s">
        <v>630</v>
      </c>
      <c r="I114" s="3" t="s">
        <v>629</v>
      </c>
      <c r="J114" s="3" t="s">
        <v>630</v>
      </c>
      <c r="K114" s="3" t="s">
        <v>644</v>
      </c>
      <c r="L114" s="3" t="s">
        <v>632</v>
      </c>
      <c r="M114" s="3" t="s">
        <v>632</v>
      </c>
      <c r="N114" s="3" t="s">
        <v>633</v>
      </c>
      <c r="O114" s="3">
        <v>2869</v>
      </c>
      <c r="P114" s="3" t="s">
        <v>632</v>
      </c>
      <c r="Q114" s="3" t="s">
        <v>632</v>
      </c>
      <c r="R114" s="3" t="s">
        <v>632</v>
      </c>
      <c r="S114" s="3" t="s">
        <v>632</v>
      </c>
      <c r="T114" s="3" t="s">
        <v>632</v>
      </c>
      <c r="U114" s="3" t="s">
        <v>632</v>
      </c>
      <c r="V114" s="3"/>
    </row>
    <row r="115" spans="1:22" x14ac:dyDescent="0.4">
      <c r="A115" s="11">
        <f t="shared" si="1"/>
        <v>111</v>
      </c>
      <c r="B115" s="3" t="s">
        <v>2006</v>
      </c>
      <c r="C115" s="3" t="s">
        <v>2000</v>
      </c>
      <c r="D115" s="3"/>
      <c r="E115" s="11" t="s">
        <v>36</v>
      </c>
      <c r="F115" s="11" t="s">
        <v>20</v>
      </c>
      <c r="G115" s="11" t="s">
        <v>20</v>
      </c>
      <c r="H115" s="3" t="s">
        <v>630</v>
      </c>
      <c r="I115" s="3" t="s">
        <v>629</v>
      </c>
      <c r="J115" s="3" t="s">
        <v>630</v>
      </c>
      <c r="K115" s="3" t="s">
        <v>644</v>
      </c>
      <c r="L115" s="3" t="s">
        <v>632</v>
      </c>
      <c r="M115" s="3" t="s">
        <v>632</v>
      </c>
      <c r="N115" s="3" t="s">
        <v>633</v>
      </c>
      <c r="O115" s="3">
        <v>5358</v>
      </c>
      <c r="P115" s="3" t="s">
        <v>632</v>
      </c>
      <c r="Q115" s="3" t="s">
        <v>632</v>
      </c>
      <c r="R115" s="3" t="s">
        <v>632</v>
      </c>
      <c r="S115" s="3" t="s">
        <v>632</v>
      </c>
      <c r="T115" s="3" t="s">
        <v>632</v>
      </c>
      <c r="U115" s="3" t="s">
        <v>632</v>
      </c>
      <c r="V115" s="3"/>
    </row>
    <row r="116" spans="1:22" x14ac:dyDescent="0.4">
      <c r="A116" s="11">
        <f t="shared" si="1"/>
        <v>112</v>
      </c>
      <c r="B116" s="3" t="s">
        <v>2006</v>
      </c>
      <c r="C116" s="3" t="s">
        <v>2000</v>
      </c>
      <c r="D116" s="3"/>
      <c r="E116" s="11" t="s">
        <v>20</v>
      </c>
      <c r="F116" s="11" t="s">
        <v>36</v>
      </c>
      <c r="G116" s="11" t="s">
        <v>36</v>
      </c>
      <c r="H116" s="3" t="s">
        <v>628</v>
      </c>
      <c r="I116" s="3" t="s">
        <v>629</v>
      </c>
      <c r="J116" s="3" t="s">
        <v>630</v>
      </c>
      <c r="K116" s="3" t="s">
        <v>644</v>
      </c>
      <c r="L116" s="3" t="s">
        <v>632</v>
      </c>
      <c r="M116" s="3" t="s">
        <v>632</v>
      </c>
      <c r="N116" s="3" t="s">
        <v>633</v>
      </c>
      <c r="O116" s="3">
        <v>5358</v>
      </c>
      <c r="P116" s="3" t="s">
        <v>632</v>
      </c>
      <c r="Q116" s="3" t="s">
        <v>632</v>
      </c>
      <c r="R116" s="3" t="s">
        <v>632</v>
      </c>
      <c r="S116" s="3" t="s">
        <v>632</v>
      </c>
      <c r="T116" s="3" t="s">
        <v>632</v>
      </c>
      <c r="U116" s="3" t="s">
        <v>632</v>
      </c>
      <c r="V116" s="3"/>
    </row>
    <row r="117" spans="1:22" x14ac:dyDescent="0.4">
      <c r="A117" s="11">
        <f t="shared" si="1"/>
        <v>113</v>
      </c>
      <c r="B117" s="3" t="s">
        <v>2007</v>
      </c>
      <c r="C117" s="3" t="s">
        <v>2000</v>
      </c>
      <c r="D117" s="3"/>
      <c r="E117" s="11" t="s">
        <v>36</v>
      </c>
      <c r="F117" s="11" t="s">
        <v>20</v>
      </c>
      <c r="G117" s="11" t="s">
        <v>20</v>
      </c>
      <c r="H117" s="3" t="s">
        <v>630</v>
      </c>
      <c r="I117" s="3" t="s">
        <v>629</v>
      </c>
      <c r="J117" s="3" t="s">
        <v>630</v>
      </c>
      <c r="K117" s="3" t="s">
        <v>644</v>
      </c>
      <c r="L117" s="3" t="s">
        <v>632</v>
      </c>
      <c r="M117" s="3" t="s">
        <v>632</v>
      </c>
      <c r="N117" s="3" t="s">
        <v>633</v>
      </c>
      <c r="O117" s="3">
        <v>5357</v>
      </c>
      <c r="P117" s="3" t="s">
        <v>632</v>
      </c>
      <c r="Q117" s="3" t="s">
        <v>632</v>
      </c>
      <c r="R117" s="3" t="s">
        <v>632</v>
      </c>
      <c r="S117" s="3" t="s">
        <v>632</v>
      </c>
      <c r="T117" s="3" t="s">
        <v>632</v>
      </c>
      <c r="U117" s="3" t="s">
        <v>632</v>
      </c>
      <c r="V117" s="3"/>
    </row>
    <row r="118" spans="1:22" x14ac:dyDescent="0.4">
      <c r="A118" s="11">
        <f t="shared" si="1"/>
        <v>114</v>
      </c>
      <c r="B118" s="3" t="s">
        <v>2007</v>
      </c>
      <c r="C118" s="3" t="s">
        <v>2000</v>
      </c>
      <c r="D118" s="3"/>
      <c r="E118" s="11" t="s">
        <v>20</v>
      </c>
      <c r="F118" s="11" t="s">
        <v>36</v>
      </c>
      <c r="G118" s="11" t="s">
        <v>36</v>
      </c>
      <c r="H118" s="3" t="s">
        <v>628</v>
      </c>
      <c r="I118" s="3" t="s">
        <v>629</v>
      </c>
      <c r="J118" s="3" t="s">
        <v>630</v>
      </c>
      <c r="K118" s="3" t="s">
        <v>644</v>
      </c>
      <c r="L118" s="3" t="s">
        <v>632</v>
      </c>
      <c r="M118" s="3" t="s">
        <v>632</v>
      </c>
      <c r="N118" s="3" t="s">
        <v>633</v>
      </c>
      <c r="O118" s="3">
        <v>5357</v>
      </c>
      <c r="P118" s="3" t="s">
        <v>632</v>
      </c>
      <c r="Q118" s="3" t="s">
        <v>632</v>
      </c>
      <c r="R118" s="3" t="s">
        <v>632</v>
      </c>
      <c r="S118" s="3" t="s">
        <v>632</v>
      </c>
      <c r="T118" s="3" t="s">
        <v>632</v>
      </c>
      <c r="U118" s="3" t="s">
        <v>632</v>
      </c>
      <c r="V118" s="3"/>
    </row>
    <row r="119" spans="1:22" x14ac:dyDescent="0.4">
      <c r="A119" s="11">
        <f t="shared" si="1"/>
        <v>115</v>
      </c>
      <c r="B119" s="3" t="s">
        <v>2008</v>
      </c>
      <c r="C119" s="3" t="s">
        <v>2000</v>
      </c>
      <c r="D119" s="3"/>
      <c r="E119" s="11" t="s">
        <v>20</v>
      </c>
      <c r="F119" s="11" t="s">
        <v>36</v>
      </c>
      <c r="G119" s="11" t="s">
        <v>36</v>
      </c>
      <c r="H119" s="3" t="s">
        <v>628</v>
      </c>
      <c r="I119" s="3" t="s">
        <v>629</v>
      </c>
      <c r="J119" s="3" t="s">
        <v>630</v>
      </c>
      <c r="K119" s="3" t="s">
        <v>631</v>
      </c>
      <c r="L119" s="3" t="s">
        <v>632</v>
      </c>
      <c r="M119" s="3" t="s">
        <v>1907</v>
      </c>
      <c r="N119" s="3" t="s">
        <v>634</v>
      </c>
      <c r="O119" s="3">
        <v>3702</v>
      </c>
      <c r="P119" s="3" t="s">
        <v>632</v>
      </c>
      <c r="Q119" s="3" t="s">
        <v>632</v>
      </c>
      <c r="R119" s="3" t="s">
        <v>632</v>
      </c>
      <c r="S119" s="3" t="s">
        <v>632</v>
      </c>
      <c r="T119" s="3" t="s">
        <v>632</v>
      </c>
      <c r="U119" s="3" t="s">
        <v>632</v>
      </c>
      <c r="V119" s="3"/>
    </row>
    <row r="120" spans="1:22" x14ac:dyDescent="0.4">
      <c r="A120" s="11">
        <f t="shared" si="1"/>
        <v>116</v>
      </c>
      <c r="B120" s="3" t="s">
        <v>2008</v>
      </c>
      <c r="C120" s="3" t="s">
        <v>2000</v>
      </c>
      <c r="D120" s="3"/>
      <c r="E120" s="11" t="s">
        <v>36</v>
      </c>
      <c r="F120" s="11" t="s">
        <v>20</v>
      </c>
      <c r="G120" s="11" t="s">
        <v>20</v>
      </c>
      <c r="H120" s="3" t="s">
        <v>630</v>
      </c>
      <c r="I120" s="3" t="s">
        <v>629</v>
      </c>
      <c r="J120" s="3" t="s">
        <v>630</v>
      </c>
      <c r="K120" s="3" t="s">
        <v>631</v>
      </c>
      <c r="L120" s="3" t="s">
        <v>632</v>
      </c>
      <c r="M120" s="3" t="s">
        <v>1907</v>
      </c>
      <c r="N120" s="3" t="s">
        <v>634</v>
      </c>
      <c r="O120" s="3">
        <v>3702</v>
      </c>
      <c r="P120" s="3" t="s">
        <v>632</v>
      </c>
      <c r="Q120" s="3" t="s">
        <v>632</v>
      </c>
      <c r="R120" s="3" t="s">
        <v>632</v>
      </c>
      <c r="S120" s="3" t="s">
        <v>632</v>
      </c>
      <c r="T120" s="3" t="s">
        <v>632</v>
      </c>
      <c r="U120" s="3" t="s">
        <v>632</v>
      </c>
      <c r="V120" s="3"/>
    </row>
    <row r="121" spans="1:22" x14ac:dyDescent="0.4">
      <c r="A121" s="11">
        <f t="shared" si="1"/>
        <v>117</v>
      </c>
      <c r="B121" s="3" t="s">
        <v>2009</v>
      </c>
      <c r="C121" s="3" t="s">
        <v>2010</v>
      </c>
      <c r="D121" s="3"/>
      <c r="E121" s="11" t="s">
        <v>20</v>
      </c>
      <c r="F121" s="11" t="s">
        <v>36</v>
      </c>
      <c r="G121" s="11" t="s">
        <v>20</v>
      </c>
      <c r="H121" s="3" t="s">
        <v>630</v>
      </c>
      <c r="I121" s="3" t="s">
        <v>629</v>
      </c>
      <c r="J121" s="3" t="s">
        <v>630</v>
      </c>
      <c r="K121" s="3" t="s">
        <v>639</v>
      </c>
      <c r="L121" s="3" t="s">
        <v>632</v>
      </c>
      <c r="M121" s="3" t="s">
        <v>1907</v>
      </c>
      <c r="N121" s="3" t="s">
        <v>633</v>
      </c>
      <c r="O121" s="3">
        <v>135</v>
      </c>
      <c r="P121" s="3" t="s">
        <v>632</v>
      </c>
      <c r="Q121" s="3" t="s">
        <v>632</v>
      </c>
      <c r="R121" s="3" t="s">
        <v>632</v>
      </c>
      <c r="S121" s="3" t="s">
        <v>632</v>
      </c>
      <c r="T121" s="3" t="s">
        <v>632</v>
      </c>
      <c r="U121" s="3" t="s">
        <v>632</v>
      </c>
      <c r="V121" s="3"/>
    </row>
    <row r="122" spans="1:22" x14ac:dyDescent="0.4">
      <c r="A122" s="11">
        <f t="shared" si="1"/>
        <v>118</v>
      </c>
      <c r="B122" s="3" t="s">
        <v>2009</v>
      </c>
      <c r="C122" s="3" t="s">
        <v>2010</v>
      </c>
      <c r="D122" s="3"/>
      <c r="E122" s="11" t="s">
        <v>36</v>
      </c>
      <c r="F122" s="11" t="s">
        <v>20</v>
      </c>
      <c r="G122" s="11" t="s">
        <v>36</v>
      </c>
      <c r="H122" s="3" t="s">
        <v>630</v>
      </c>
      <c r="I122" s="3" t="s">
        <v>629</v>
      </c>
      <c r="J122" s="3" t="s">
        <v>630</v>
      </c>
      <c r="K122" s="3" t="s">
        <v>639</v>
      </c>
      <c r="L122" s="3" t="s">
        <v>632</v>
      </c>
      <c r="M122" s="3" t="s">
        <v>632</v>
      </c>
      <c r="N122" s="3" t="s">
        <v>633</v>
      </c>
      <c r="O122" s="3">
        <v>135</v>
      </c>
      <c r="P122" s="3" t="s">
        <v>632</v>
      </c>
      <c r="Q122" s="3" t="s">
        <v>632</v>
      </c>
      <c r="R122" s="3" t="s">
        <v>632</v>
      </c>
      <c r="S122" s="3" t="s">
        <v>632</v>
      </c>
      <c r="T122" s="3" t="s">
        <v>632</v>
      </c>
      <c r="U122" s="3" t="s">
        <v>632</v>
      </c>
      <c r="V122" s="3"/>
    </row>
    <row r="123" spans="1:22" x14ac:dyDescent="0.4">
      <c r="A123" s="11">
        <f t="shared" si="1"/>
        <v>119</v>
      </c>
      <c r="B123" s="3" t="s">
        <v>2011</v>
      </c>
      <c r="C123" s="3" t="s">
        <v>2010</v>
      </c>
      <c r="D123" s="3"/>
      <c r="E123" s="11" t="s">
        <v>36</v>
      </c>
      <c r="F123" s="11" t="s">
        <v>20</v>
      </c>
      <c r="G123" s="11" t="s">
        <v>36</v>
      </c>
      <c r="H123" s="3" t="s">
        <v>630</v>
      </c>
      <c r="I123" s="3" t="s">
        <v>629</v>
      </c>
      <c r="J123" s="3" t="s">
        <v>630</v>
      </c>
      <c r="K123" s="3" t="s">
        <v>680</v>
      </c>
      <c r="L123" s="3" t="s">
        <v>632</v>
      </c>
      <c r="M123" s="3" t="s">
        <v>632</v>
      </c>
      <c r="N123" s="3" t="s">
        <v>633</v>
      </c>
      <c r="O123" s="3" t="s">
        <v>632</v>
      </c>
      <c r="P123" s="3" t="s">
        <v>632</v>
      </c>
      <c r="Q123" s="3" t="s">
        <v>632</v>
      </c>
      <c r="R123" s="3" t="s">
        <v>632</v>
      </c>
      <c r="S123" s="3" t="s">
        <v>632</v>
      </c>
      <c r="T123" s="3" t="s">
        <v>632</v>
      </c>
      <c r="U123" s="3" t="s">
        <v>632</v>
      </c>
      <c r="V123" s="3"/>
    </row>
    <row r="124" spans="1:22" x14ac:dyDescent="0.4">
      <c r="A124" s="11">
        <f t="shared" si="1"/>
        <v>120</v>
      </c>
      <c r="B124" s="3" t="s">
        <v>2011</v>
      </c>
      <c r="C124" s="3" t="s">
        <v>2010</v>
      </c>
      <c r="D124" s="3"/>
      <c r="E124" s="11" t="s">
        <v>20</v>
      </c>
      <c r="F124" s="11" t="s">
        <v>36</v>
      </c>
      <c r="G124" s="11" t="s">
        <v>20</v>
      </c>
      <c r="H124" s="3" t="s">
        <v>630</v>
      </c>
      <c r="I124" s="3" t="s">
        <v>629</v>
      </c>
      <c r="J124" s="3" t="s">
        <v>630</v>
      </c>
      <c r="K124" s="3" t="s">
        <v>680</v>
      </c>
      <c r="L124" s="3" t="s">
        <v>632</v>
      </c>
      <c r="M124" s="3" t="s">
        <v>1907</v>
      </c>
      <c r="N124" s="3" t="s">
        <v>633</v>
      </c>
      <c r="O124" s="3" t="s">
        <v>632</v>
      </c>
      <c r="P124" s="3" t="s">
        <v>632</v>
      </c>
      <c r="Q124" s="3" t="s">
        <v>632</v>
      </c>
      <c r="R124" s="3" t="s">
        <v>632</v>
      </c>
      <c r="S124" s="3" t="s">
        <v>632</v>
      </c>
      <c r="T124" s="3" t="s">
        <v>632</v>
      </c>
      <c r="U124" s="3" t="s">
        <v>632</v>
      </c>
      <c r="V124" s="3"/>
    </row>
    <row r="125" spans="1:22" x14ac:dyDescent="0.4">
      <c r="A125" s="11">
        <f t="shared" si="1"/>
        <v>121</v>
      </c>
      <c r="B125" s="3" t="s">
        <v>2012</v>
      </c>
      <c r="C125" s="3" t="s">
        <v>2013</v>
      </c>
      <c r="D125" s="3"/>
      <c r="E125" s="11" t="s">
        <v>20</v>
      </c>
      <c r="F125" s="11" t="s">
        <v>20</v>
      </c>
      <c r="G125" s="11" t="s">
        <v>20</v>
      </c>
      <c r="H125" s="3" t="s">
        <v>630</v>
      </c>
      <c r="I125" s="3" t="s">
        <v>629</v>
      </c>
      <c r="J125" s="3" t="s">
        <v>630</v>
      </c>
      <c r="K125" s="3" t="s">
        <v>631</v>
      </c>
      <c r="L125" s="3" t="s">
        <v>632</v>
      </c>
      <c r="M125" s="3" t="s">
        <v>1907</v>
      </c>
      <c r="N125" s="3" t="s">
        <v>634</v>
      </c>
      <c r="O125" s="3">
        <v>5355</v>
      </c>
      <c r="P125" s="3" t="s">
        <v>632</v>
      </c>
      <c r="Q125" s="3" t="s">
        <v>632</v>
      </c>
      <c r="R125" s="3" t="s">
        <v>632</v>
      </c>
      <c r="S125" s="3" t="s">
        <v>632</v>
      </c>
      <c r="T125" s="3" t="s">
        <v>632</v>
      </c>
      <c r="U125" s="3" t="s">
        <v>632</v>
      </c>
      <c r="V125" s="3"/>
    </row>
    <row r="126" spans="1:22" x14ac:dyDescent="0.4">
      <c r="A126" s="11">
        <f t="shared" si="1"/>
        <v>122</v>
      </c>
      <c r="B126" s="3" t="s">
        <v>2014</v>
      </c>
      <c r="C126" s="3" t="s">
        <v>2013</v>
      </c>
      <c r="D126" s="3"/>
      <c r="E126" s="11" t="s">
        <v>20</v>
      </c>
      <c r="F126" s="11" t="s">
        <v>20</v>
      </c>
      <c r="G126" s="11" t="s">
        <v>20</v>
      </c>
      <c r="H126" s="3" t="s">
        <v>630</v>
      </c>
      <c r="I126" s="3" t="s">
        <v>629</v>
      </c>
      <c r="J126" s="3" t="s">
        <v>630</v>
      </c>
      <c r="K126" s="3" t="s">
        <v>644</v>
      </c>
      <c r="L126" s="3" t="s">
        <v>632</v>
      </c>
      <c r="M126" s="3" t="s">
        <v>632</v>
      </c>
      <c r="N126" s="3" t="s">
        <v>633</v>
      </c>
      <c r="O126" s="3">
        <v>139</v>
      </c>
      <c r="P126" s="3" t="s">
        <v>632</v>
      </c>
      <c r="Q126" s="3" t="s">
        <v>632</v>
      </c>
      <c r="R126" s="3" t="s">
        <v>632</v>
      </c>
      <c r="S126" s="3" t="s">
        <v>632</v>
      </c>
      <c r="T126" s="3" t="s">
        <v>632</v>
      </c>
      <c r="U126" s="3" t="s">
        <v>632</v>
      </c>
      <c r="V126" s="3"/>
    </row>
    <row r="127" spans="1:22" x14ac:dyDescent="0.4">
      <c r="A127" s="11">
        <f t="shared" si="1"/>
        <v>123</v>
      </c>
      <c r="B127" s="3" t="s">
        <v>2015</v>
      </c>
      <c r="C127" s="3" t="s">
        <v>2013</v>
      </c>
      <c r="D127" s="3"/>
      <c r="E127" s="11" t="s">
        <v>20</v>
      </c>
      <c r="F127" s="11" t="s">
        <v>20</v>
      </c>
      <c r="G127" s="11" t="s">
        <v>20</v>
      </c>
      <c r="H127" s="3" t="s">
        <v>630</v>
      </c>
      <c r="I127" s="3" t="s">
        <v>629</v>
      </c>
      <c r="J127" s="3" t="s">
        <v>630</v>
      </c>
      <c r="K127" s="3" t="s">
        <v>644</v>
      </c>
      <c r="L127" s="3" t="s">
        <v>632</v>
      </c>
      <c r="M127" s="3" t="s">
        <v>632</v>
      </c>
      <c r="N127" s="3" t="s">
        <v>634</v>
      </c>
      <c r="O127" s="3">
        <v>138</v>
      </c>
      <c r="P127" s="3" t="s">
        <v>632</v>
      </c>
      <c r="Q127" s="3" t="s">
        <v>632</v>
      </c>
      <c r="R127" s="3" t="s">
        <v>632</v>
      </c>
      <c r="S127" s="3" t="s">
        <v>632</v>
      </c>
      <c r="T127" s="3" t="s">
        <v>632</v>
      </c>
      <c r="U127" s="3" t="s">
        <v>632</v>
      </c>
      <c r="V127" s="3"/>
    </row>
    <row r="128" spans="1:22" x14ac:dyDescent="0.4">
      <c r="A128" s="11">
        <f t="shared" si="1"/>
        <v>124</v>
      </c>
      <c r="B128" s="3" t="s">
        <v>2016</v>
      </c>
      <c r="C128" s="3" t="s">
        <v>2013</v>
      </c>
      <c r="D128" s="3"/>
      <c r="E128" s="11" t="s">
        <v>20</v>
      </c>
      <c r="F128" s="11" t="s">
        <v>20</v>
      </c>
      <c r="G128" s="11" t="s">
        <v>20</v>
      </c>
      <c r="H128" s="3" t="s">
        <v>630</v>
      </c>
      <c r="I128" s="3" t="s">
        <v>629</v>
      </c>
      <c r="J128" s="3" t="s">
        <v>630</v>
      </c>
      <c r="K128" s="3" t="s">
        <v>644</v>
      </c>
      <c r="L128" s="3" t="s">
        <v>632</v>
      </c>
      <c r="M128" s="3" t="s">
        <v>632</v>
      </c>
      <c r="N128" s="3" t="s">
        <v>634</v>
      </c>
      <c r="O128" s="3">
        <v>137</v>
      </c>
      <c r="P128" s="3" t="s">
        <v>632</v>
      </c>
      <c r="Q128" s="3" t="s">
        <v>632</v>
      </c>
      <c r="R128" s="3" t="s">
        <v>632</v>
      </c>
      <c r="S128" s="3" t="s">
        <v>632</v>
      </c>
      <c r="T128" s="3" t="s">
        <v>632</v>
      </c>
      <c r="U128" s="3" t="s">
        <v>632</v>
      </c>
      <c r="V128" s="3"/>
    </row>
    <row r="129" spans="1:22" x14ac:dyDescent="0.4">
      <c r="A129" s="11">
        <f t="shared" si="1"/>
        <v>125</v>
      </c>
      <c r="B129" s="3" t="s">
        <v>2017</v>
      </c>
      <c r="C129" s="3" t="s">
        <v>2013</v>
      </c>
      <c r="D129" s="3"/>
      <c r="E129" s="11" t="s">
        <v>20</v>
      </c>
      <c r="F129" s="11" t="s">
        <v>20</v>
      </c>
      <c r="G129" s="11" t="s">
        <v>20</v>
      </c>
      <c r="H129" s="3" t="s">
        <v>630</v>
      </c>
      <c r="I129" s="3" t="s">
        <v>629</v>
      </c>
      <c r="J129" s="3" t="s">
        <v>630</v>
      </c>
      <c r="K129" s="3" t="s">
        <v>644</v>
      </c>
      <c r="L129" s="3" t="s">
        <v>632</v>
      </c>
      <c r="M129" s="3" t="s">
        <v>632</v>
      </c>
      <c r="N129" s="3" t="s">
        <v>633</v>
      </c>
      <c r="O129" s="3">
        <v>445</v>
      </c>
      <c r="P129" s="3" t="s">
        <v>632</v>
      </c>
      <c r="Q129" s="3" t="s">
        <v>632</v>
      </c>
      <c r="R129" s="3" t="s">
        <v>632</v>
      </c>
      <c r="S129" s="3" t="s">
        <v>632</v>
      </c>
      <c r="T129" s="3" t="s">
        <v>632</v>
      </c>
      <c r="U129" s="3" t="s">
        <v>632</v>
      </c>
      <c r="V129" s="3"/>
    </row>
    <row r="130" spans="1:22" x14ac:dyDescent="0.4">
      <c r="A130" s="11">
        <f t="shared" si="1"/>
        <v>126</v>
      </c>
      <c r="B130" s="3" t="s">
        <v>2018</v>
      </c>
      <c r="C130" s="3" t="s">
        <v>2013</v>
      </c>
      <c r="D130" s="3"/>
      <c r="E130" s="11" t="s">
        <v>20</v>
      </c>
      <c r="F130" s="11" t="s">
        <v>20</v>
      </c>
      <c r="G130" s="11" t="s">
        <v>20</v>
      </c>
      <c r="H130" s="3" t="s">
        <v>630</v>
      </c>
      <c r="I130" s="3" t="s">
        <v>629</v>
      </c>
      <c r="J130" s="3" t="s">
        <v>630</v>
      </c>
      <c r="K130" s="3" t="s">
        <v>681</v>
      </c>
      <c r="L130" s="3" t="s">
        <v>632</v>
      </c>
      <c r="M130" s="3" t="s">
        <v>632</v>
      </c>
      <c r="N130" s="3" t="s">
        <v>633</v>
      </c>
      <c r="O130" s="3" t="s">
        <v>1914</v>
      </c>
      <c r="P130" s="3" t="s">
        <v>632</v>
      </c>
      <c r="Q130" s="3" t="s">
        <v>632</v>
      </c>
      <c r="R130" s="3" t="s">
        <v>632</v>
      </c>
      <c r="S130" s="3" t="s">
        <v>632</v>
      </c>
      <c r="T130" s="3" t="s">
        <v>632</v>
      </c>
      <c r="U130" s="3" t="s">
        <v>632</v>
      </c>
      <c r="V130" s="3"/>
    </row>
    <row r="131" spans="1:22" x14ac:dyDescent="0.4">
      <c r="A131" s="11">
        <f t="shared" si="1"/>
        <v>127</v>
      </c>
      <c r="B131" s="3" t="s">
        <v>2019</v>
      </c>
      <c r="C131" s="3" t="s">
        <v>2013</v>
      </c>
      <c r="D131" s="3"/>
      <c r="E131" s="11" t="s">
        <v>20</v>
      </c>
      <c r="F131" s="11" t="s">
        <v>20</v>
      </c>
      <c r="G131" s="11" t="s">
        <v>20</v>
      </c>
      <c r="H131" s="3" t="s">
        <v>630</v>
      </c>
      <c r="I131" s="3" t="s">
        <v>629</v>
      </c>
      <c r="J131" s="3" t="s">
        <v>630</v>
      </c>
      <c r="K131" s="3" t="s">
        <v>644</v>
      </c>
      <c r="L131" s="3" t="s">
        <v>632</v>
      </c>
      <c r="M131" s="3" t="s">
        <v>632</v>
      </c>
      <c r="N131" s="3" t="s">
        <v>670</v>
      </c>
      <c r="O131" s="3" t="s">
        <v>632</v>
      </c>
      <c r="P131" s="3" t="s">
        <v>632</v>
      </c>
      <c r="Q131" s="3" t="s">
        <v>632</v>
      </c>
      <c r="R131" s="3" t="s">
        <v>632</v>
      </c>
      <c r="S131" s="3" t="s">
        <v>632</v>
      </c>
      <c r="T131" s="3" t="s">
        <v>632</v>
      </c>
      <c r="U131" s="3" t="s">
        <v>632</v>
      </c>
      <c r="V131" s="3"/>
    </row>
    <row r="132" spans="1:22" x14ac:dyDescent="0.4">
      <c r="A132" s="11">
        <f t="shared" si="1"/>
        <v>128</v>
      </c>
      <c r="B132" s="3" t="s">
        <v>2020</v>
      </c>
      <c r="C132" s="3" t="s">
        <v>2013</v>
      </c>
      <c r="D132" s="3"/>
      <c r="E132" s="11" t="s">
        <v>20</v>
      </c>
      <c r="F132" s="11" t="s">
        <v>20</v>
      </c>
      <c r="G132" s="11" t="s">
        <v>20</v>
      </c>
      <c r="H132" s="3" t="s">
        <v>630</v>
      </c>
      <c r="I132" s="3" t="s">
        <v>629</v>
      </c>
      <c r="J132" s="3" t="s">
        <v>630</v>
      </c>
      <c r="K132" s="3" t="s">
        <v>644</v>
      </c>
      <c r="L132" s="3" t="s">
        <v>632</v>
      </c>
      <c r="M132" s="3" t="s">
        <v>632</v>
      </c>
      <c r="N132" s="3" t="s">
        <v>668</v>
      </c>
      <c r="O132" s="3" t="s">
        <v>632</v>
      </c>
      <c r="P132" s="3" t="s">
        <v>632</v>
      </c>
      <c r="Q132" s="3" t="s">
        <v>632</v>
      </c>
      <c r="R132" s="3" t="s">
        <v>632</v>
      </c>
      <c r="S132" s="3" t="s">
        <v>632</v>
      </c>
      <c r="T132" s="3" t="s">
        <v>632</v>
      </c>
      <c r="U132" s="3" t="s">
        <v>632</v>
      </c>
      <c r="V132" s="3"/>
    </row>
    <row r="133" spans="1:22" x14ac:dyDescent="0.4">
      <c r="A133" s="11">
        <f t="shared" si="1"/>
        <v>129</v>
      </c>
      <c r="B133" s="3" t="s">
        <v>2021</v>
      </c>
      <c r="C133" s="3" t="s">
        <v>2013</v>
      </c>
      <c r="D133" s="3"/>
      <c r="E133" s="11" t="s">
        <v>20</v>
      </c>
      <c r="F133" s="11" t="s">
        <v>20</v>
      </c>
      <c r="G133" s="11" t="s">
        <v>20</v>
      </c>
      <c r="H133" s="3" t="s">
        <v>630</v>
      </c>
      <c r="I133" s="3" t="s">
        <v>629</v>
      </c>
      <c r="J133" s="3" t="s">
        <v>630</v>
      </c>
      <c r="K133" s="3" t="s">
        <v>631</v>
      </c>
      <c r="L133" s="3" t="s">
        <v>632</v>
      </c>
      <c r="M133" s="3" t="s">
        <v>632</v>
      </c>
      <c r="N133" s="3" t="s">
        <v>633</v>
      </c>
      <c r="O133" s="3" t="s">
        <v>1940</v>
      </c>
      <c r="P133" s="3" t="s">
        <v>632</v>
      </c>
      <c r="Q133" s="3" t="s">
        <v>632</v>
      </c>
      <c r="R133" s="3" t="s">
        <v>632</v>
      </c>
      <c r="S133" s="3" t="s">
        <v>632</v>
      </c>
      <c r="T133" s="3" t="s">
        <v>632</v>
      </c>
      <c r="U133" s="3" t="s">
        <v>632</v>
      </c>
      <c r="V133" s="3"/>
    </row>
    <row r="134" spans="1:22" x14ac:dyDescent="0.4">
      <c r="A134" s="11">
        <f t="shared" si="1"/>
        <v>130</v>
      </c>
      <c r="B134" s="3" t="s">
        <v>2022</v>
      </c>
      <c r="C134" s="3" t="s">
        <v>2023</v>
      </c>
      <c r="D134" s="3"/>
      <c r="E134" s="11" t="s">
        <v>20</v>
      </c>
      <c r="F134" s="11" t="s">
        <v>20</v>
      </c>
      <c r="G134" s="11" t="s">
        <v>20</v>
      </c>
      <c r="H134" s="3" t="s">
        <v>630</v>
      </c>
      <c r="I134" s="3" t="s">
        <v>629</v>
      </c>
      <c r="J134" s="3" t="s">
        <v>630</v>
      </c>
      <c r="K134" s="3" t="s">
        <v>682</v>
      </c>
      <c r="L134" s="3" t="s">
        <v>632</v>
      </c>
      <c r="M134" s="3" t="s">
        <v>632</v>
      </c>
      <c r="N134" s="3" t="s">
        <v>633</v>
      </c>
      <c r="O134" s="3" t="s">
        <v>1914</v>
      </c>
      <c r="P134" s="3" t="s">
        <v>632</v>
      </c>
      <c r="Q134" s="3" t="s">
        <v>632</v>
      </c>
      <c r="R134" s="3" t="s">
        <v>632</v>
      </c>
      <c r="S134" s="3" t="s">
        <v>632</v>
      </c>
      <c r="T134" s="3" t="s">
        <v>632</v>
      </c>
      <c r="U134" s="3" t="s">
        <v>632</v>
      </c>
      <c r="V134" s="3"/>
    </row>
    <row r="135" spans="1:22" x14ac:dyDescent="0.4">
      <c r="A135" s="11">
        <f t="shared" ref="A135:A163" si="2">A134+1</f>
        <v>131</v>
      </c>
      <c r="B135" s="3" t="s">
        <v>2024</v>
      </c>
      <c r="C135" s="3" t="s">
        <v>2023</v>
      </c>
      <c r="D135" s="3"/>
      <c r="E135" s="11" t="s">
        <v>20</v>
      </c>
      <c r="F135" s="11" t="s">
        <v>20</v>
      </c>
      <c r="G135" s="11" t="s">
        <v>20</v>
      </c>
      <c r="H135" s="3" t="s">
        <v>630</v>
      </c>
      <c r="I135" s="3" t="s">
        <v>629</v>
      </c>
      <c r="J135" s="3" t="s">
        <v>630</v>
      </c>
      <c r="K135" s="3" t="s">
        <v>631</v>
      </c>
      <c r="L135" s="3" t="s">
        <v>632</v>
      </c>
      <c r="M135" s="3" t="s">
        <v>632</v>
      </c>
      <c r="N135" s="3" t="s">
        <v>633</v>
      </c>
      <c r="O135" s="3" t="s">
        <v>1940</v>
      </c>
      <c r="P135" s="3" t="s">
        <v>632</v>
      </c>
      <c r="Q135" s="3" t="s">
        <v>632</v>
      </c>
      <c r="R135" s="3" t="s">
        <v>632</v>
      </c>
      <c r="S135" s="3" t="s">
        <v>632</v>
      </c>
      <c r="T135" s="3" t="s">
        <v>632</v>
      </c>
      <c r="U135" s="3" t="s">
        <v>632</v>
      </c>
      <c r="V135" s="3"/>
    </row>
    <row r="136" spans="1:22" x14ac:dyDescent="0.4">
      <c r="A136" s="11">
        <f t="shared" si="2"/>
        <v>132</v>
      </c>
      <c r="B136" s="3" t="s">
        <v>2025</v>
      </c>
      <c r="C136" s="3" t="s">
        <v>2026</v>
      </c>
      <c r="D136" s="3"/>
      <c r="E136" s="11" t="s">
        <v>20</v>
      </c>
      <c r="F136" s="11" t="s">
        <v>20</v>
      </c>
      <c r="G136" s="11" t="s">
        <v>20</v>
      </c>
      <c r="H136" s="3" t="s">
        <v>630</v>
      </c>
      <c r="I136" s="3" t="s">
        <v>629</v>
      </c>
      <c r="J136" s="3" t="s">
        <v>630</v>
      </c>
      <c r="K136" s="3" t="s">
        <v>631</v>
      </c>
      <c r="L136" s="3" t="s">
        <v>632</v>
      </c>
      <c r="M136" s="3" t="s">
        <v>632</v>
      </c>
      <c r="N136" s="3" t="s">
        <v>633</v>
      </c>
      <c r="O136" s="3" t="s">
        <v>1940</v>
      </c>
      <c r="P136" s="3" t="s">
        <v>632</v>
      </c>
      <c r="Q136" s="3" t="s">
        <v>632</v>
      </c>
      <c r="R136" s="3" t="s">
        <v>632</v>
      </c>
      <c r="S136" s="3" t="s">
        <v>632</v>
      </c>
      <c r="T136" s="3" t="s">
        <v>632</v>
      </c>
      <c r="U136" s="3" t="s">
        <v>632</v>
      </c>
      <c r="V136" s="3"/>
    </row>
    <row r="137" spans="1:22" x14ac:dyDescent="0.4">
      <c r="A137" s="11">
        <f t="shared" si="2"/>
        <v>133</v>
      </c>
      <c r="B137" s="3" t="s">
        <v>2027</v>
      </c>
      <c r="C137" s="3" t="s">
        <v>2026</v>
      </c>
      <c r="D137" s="3"/>
      <c r="E137" s="11" t="s">
        <v>20</v>
      </c>
      <c r="F137" s="11" t="s">
        <v>20</v>
      </c>
      <c r="G137" s="11" t="s">
        <v>20</v>
      </c>
      <c r="H137" s="3" t="s">
        <v>630</v>
      </c>
      <c r="I137" s="3" t="s">
        <v>629</v>
      </c>
      <c r="J137" s="3" t="s">
        <v>630</v>
      </c>
      <c r="K137" s="3" t="s">
        <v>644</v>
      </c>
      <c r="L137" s="3" t="s">
        <v>632</v>
      </c>
      <c r="M137" s="3" t="s">
        <v>632</v>
      </c>
      <c r="N137" s="3" t="s">
        <v>633</v>
      </c>
      <c r="O137" s="3">
        <v>445</v>
      </c>
      <c r="P137" s="3" t="s">
        <v>632</v>
      </c>
      <c r="Q137" s="3" t="s">
        <v>632</v>
      </c>
      <c r="R137" s="3" t="s">
        <v>632</v>
      </c>
      <c r="S137" s="3" t="s">
        <v>632</v>
      </c>
      <c r="T137" s="3" t="s">
        <v>632</v>
      </c>
      <c r="U137" s="3" t="s">
        <v>632</v>
      </c>
      <c r="V137" s="3"/>
    </row>
    <row r="138" spans="1:22" x14ac:dyDescent="0.4">
      <c r="A138" s="11">
        <f t="shared" si="2"/>
        <v>134</v>
      </c>
      <c r="B138" s="3" t="s">
        <v>2028</v>
      </c>
      <c r="C138" s="3" t="s">
        <v>2026</v>
      </c>
      <c r="D138" s="3"/>
      <c r="E138" s="11" t="s">
        <v>20</v>
      </c>
      <c r="F138" s="11" t="s">
        <v>20</v>
      </c>
      <c r="G138" s="11" t="s">
        <v>20</v>
      </c>
      <c r="H138" s="3" t="s">
        <v>630</v>
      </c>
      <c r="I138" s="3" t="s">
        <v>629</v>
      </c>
      <c r="J138" s="3" t="s">
        <v>630</v>
      </c>
      <c r="K138" s="3" t="s">
        <v>631</v>
      </c>
      <c r="L138" s="3" t="s">
        <v>632</v>
      </c>
      <c r="M138" s="3" t="s">
        <v>632</v>
      </c>
      <c r="N138" s="3" t="s">
        <v>633</v>
      </c>
      <c r="O138" s="3" t="s">
        <v>1914</v>
      </c>
      <c r="P138" s="3" t="s">
        <v>632</v>
      </c>
      <c r="Q138" s="3" t="s">
        <v>632</v>
      </c>
      <c r="R138" s="3" t="s">
        <v>632</v>
      </c>
      <c r="S138" s="3" t="s">
        <v>632</v>
      </c>
      <c r="T138" s="3" t="s">
        <v>632</v>
      </c>
      <c r="U138" s="3" t="s">
        <v>632</v>
      </c>
      <c r="V138" s="3"/>
    </row>
    <row r="139" spans="1:22" x14ac:dyDescent="0.4">
      <c r="A139" s="11">
        <f t="shared" si="2"/>
        <v>135</v>
      </c>
      <c r="B139" s="3" t="s">
        <v>2029</v>
      </c>
      <c r="C139" s="3" t="s">
        <v>2030</v>
      </c>
      <c r="D139" s="3"/>
      <c r="E139" s="11" t="s">
        <v>20</v>
      </c>
      <c r="F139" s="11" t="s">
        <v>20</v>
      </c>
      <c r="G139" s="11" t="s">
        <v>20</v>
      </c>
      <c r="H139" s="3" t="s">
        <v>630</v>
      </c>
      <c r="I139" s="3" t="s">
        <v>629</v>
      </c>
      <c r="J139" s="3" t="s">
        <v>630</v>
      </c>
      <c r="K139" s="3" t="s">
        <v>644</v>
      </c>
      <c r="L139" s="3" t="s">
        <v>632</v>
      </c>
      <c r="M139" s="3" t="s">
        <v>632</v>
      </c>
      <c r="N139" s="3" t="s">
        <v>633</v>
      </c>
      <c r="O139" s="3">
        <v>445</v>
      </c>
      <c r="P139" s="3" t="s">
        <v>632</v>
      </c>
      <c r="Q139" s="3" t="s">
        <v>632</v>
      </c>
      <c r="R139" s="3" t="s">
        <v>632</v>
      </c>
      <c r="S139" s="3" t="s">
        <v>632</v>
      </c>
      <c r="T139" s="3" t="s">
        <v>632</v>
      </c>
      <c r="U139" s="3" t="s">
        <v>632</v>
      </c>
      <c r="V139" s="3"/>
    </row>
    <row r="140" spans="1:22" x14ac:dyDescent="0.4">
      <c r="A140" s="11">
        <f t="shared" si="2"/>
        <v>136</v>
      </c>
      <c r="B140" s="3" t="s">
        <v>2031</v>
      </c>
      <c r="C140" s="3" t="s">
        <v>2030</v>
      </c>
      <c r="D140" s="3"/>
      <c r="E140" s="11" t="s">
        <v>20</v>
      </c>
      <c r="F140" s="11" t="s">
        <v>20</v>
      </c>
      <c r="G140" s="11" t="s">
        <v>20</v>
      </c>
      <c r="H140" s="3" t="s">
        <v>630</v>
      </c>
      <c r="I140" s="3" t="s">
        <v>629</v>
      </c>
      <c r="J140" s="3" t="s">
        <v>630</v>
      </c>
      <c r="K140" s="3" t="s">
        <v>683</v>
      </c>
      <c r="L140" s="3" t="s">
        <v>632</v>
      </c>
      <c r="M140" s="3" t="s">
        <v>632</v>
      </c>
      <c r="N140" s="3" t="s">
        <v>633</v>
      </c>
      <c r="O140" s="3" t="s">
        <v>1914</v>
      </c>
      <c r="P140" s="3" t="s">
        <v>632</v>
      </c>
      <c r="Q140" s="3" t="s">
        <v>632</v>
      </c>
      <c r="R140" s="3" t="s">
        <v>632</v>
      </c>
      <c r="S140" s="3" t="s">
        <v>632</v>
      </c>
      <c r="T140" s="3" t="s">
        <v>632</v>
      </c>
      <c r="U140" s="3" t="s">
        <v>632</v>
      </c>
      <c r="V140" s="3"/>
    </row>
    <row r="141" spans="1:22" x14ac:dyDescent="0.4">
      <c r="A141" s="11">
        <f t="shared" si="2"/>
        <v>137</v>
      </c>
      <c r="B141" s="3" t="s">
        <v>2032</v>
      </c>
      <c r="C141" s="3" t="s">
        <v>2030</v>
      </c>
      <c r="D141" s="3"/>
      <c r="E141" s="11" t="s">
        <v>20</v>
      </c>
      <c r="F141" s="11" t="s">
        <v>20</v>
      </c>
      <c r="G141" s="11" t="s">
        <v>20</v>
      </c>
      <c r="H141" s="3" t="s">
        <v>630</v>
      </c>
      <c r="I141" s="3" t="s">
        <v>629</v>
      </c>
      <c r="J141" s="3" t="s">
        <v>630</v>
      </c>
      <c r="K141" s="3" t="s">
        <v>631</v>
      </c>
      <c r="L141" s="3" t="s">
        <v>632</v>
      </c>
      <c r="M141" s="3" t="s">
        <v>632</v>
      </c>
      <c r="N141" s="3" t="s">
        <v>633</v>
      </c>
      <c r="O141" s="3" t="s">
        <v>1940</v>
      </c>
      <c r="P141" s="3" t="s">
        <v>632</v>
      </c>
      <c r="Q141" s="3" t="s">
        <v>632</v>
      </c>
      <c r="R141" s="3" t="s">
        <v>632</v>
      </c>
      <c r="S141" s="3" t="s">
        <v>632</v>
      </c>
      <c r="T141" s="3" t="s">
        <v>632</v>
      </c>
      <c r="U141" s="3" t="s">
        <v>632</v>
      </c>
      <c r="V141" s="3"/>
    </row>
    <row r="142" spans="1:22" x14ac:dyDescent="0.4">
      <c r="A142" s="11">
        <f t="shared" si="2"/>
        <v>138</v>
      </c>
      <c r="B142" s="3" t="s">
        <v>2033</v>
      </c>
      <c r="C142" s="3" t="s">
        <v>2034</v>
      </c>
      <c r="D142" s="3"/>
      <c r="E142" s="11" t="s">
        <v>20</v>
      </c>
      <c r="F142" s="11" t="s">
        <v>20</v>
      </c>
      <c r="G142" s="11" t="s">
        <v>20</v>
      </c>
      <c r="H142" s="3" t="s">
        <v>630</v>
      </c>
      <c r="I142" s="3" t="s">
        <v>629</v>
      </c>
      <c r="J142" s="3" t="s">
        <v>630</v>
      </c>
      <c r="K142" s="3" t="s">
        <v>684</v>
      </c>
      <c r="L142" s="3" t="s">
        <v>632</v>
      </c>
      <c r="M142" s="3" t="s">
        <v>632</v>
      </c>
      <c r="N142" s="3" t="s">
        <v>633</v>
      </c>
      <c r="O142" s="3" t="s">
        <v>1940</v>
      </c>
      <c r="P142" s="3" t="s">
        <v>632</v>
      </c>
      <c r="Q142" s="3" t="s">
        <v>632</v>
      </c>
      <c r="R142" s="3" t="s">
        <v>632</v>
      </c>
      <c r="S142" s="3" t="s">
        <v>632</v>
      </c>
      <c r="T142" s="3" t="s">
        <v>632</v>
      </c>
      <c r="U142" s="3" t="s">
        <v>632</v>
      </c>
      <c r="V142" s="3"/>
    </row>
    <row r="143" spans="1:22" x14ac:dyDescent="0.4">
      <c r="A143" s="11">
        <f t="shared" si="2"/>
        <v>139</v>
      </c>
      <c r="B143" s="3" t="s">
        <v>2035</v>
      </c>
      <c r="C143" s="3" t="s">
        <v>2034</v>
      </c>
      <c r="D143" s="3"/>
      <c r="E143" s="11" t="s">
        <v>20</v>
      </c>
      <c r="F143" s="11" t="s">
        <v>20</v>
      </c>
      <c r="G143" s="11" t="s">
        <v>20</v>
      </c>
      <c r="H143" s="3" t="s">
        <v>630</v>
      </c>
      <c r="I143" s="3" t="s">
        <v>629</v>
      </c>
      <c r="J143" s="3" t="s">
        <v>630</v>
      </c>
      <c r="K143" s="3" t="s">
        <v>684</v>
      </c>
      <c r="L143" s="3" t="s">
        <v>632</v>
      </c>
      <c r="M143" s="3" t="s">
        <v>632</v>
      </c>
      <c r="N143" s="3" t="s">
        <v>633</v>
      </c>
      <c r="O143" s="3" t="s">
        <v>1914</v>
      </c>
      <c r="P143" s="3" t="s">
        <v>632</v>
      </c>
      <c r="Q143" s="3" t="s">
        <v>632</v>
      </c>
      <c r="R143" s="3" t="s">
        <v>632</v>
      </c>
      <c r="S143" s="3" t="s">
        <v>632</v>
      </c>
      <c r="T143" s="3" t="s">
        <v>632</v>
      </c>
      <c r="U143" s="3" t="s">
        <v>632</v>
      </c>
      <c r="V143" s="3"/>
    </row>
    <row r="144" spans="1:22" x14ac:dyDescent="0.4">
      <c r="A144" s="11">
        <f t="shared" si="2"/>
        <v>140</v>
      </c>
      <c r="B144" s="3" t="s">
        <v>2036</v>
      </c>
      <c r="C144" s="3" t="s">
        <v>2037</v>
      </c>
      <c r="D144" s="3"/>
      <c r="E144" s="11" t="s">
        <v>20</v>
      </c>
      <c r="F144" s="11" t="s">
        <v>20</v>
      </c>
      <c r="G144" s="11" t="s">
        <v>20</v>
      </c>
      <c r="H144" s="3" t="s">
        <v>628</v>
      </c>
      <c r="I144" s="3" t="s">
        <v>629</v>
      </c>
      <c r="J144" s="3" t="s">
        <v>630</v>
      </c>
      <c r="K144" s="3" t="s">
        <v>685</v>
      </c>
      <c r="L144" s="3" t="s">
        <v>632</v>
      </c>
      <c r="M144" s="3" t="s">
        <v>632</v>
      </c>
      <c r="N144" s="3" t="s">
        <v>633</v>
      </c>
      <c r="O144" s="3" t="s">
        <v>632</v>
      </c>
      <c r="P144" s="3" t="s">
        <v>632</v>
      </c>
      <c r="Q144" s="3" t="s">
        <v>632</v>
      </c>
      <c r="R144" s="3" t="s">
        <v>632</v>
      </c>
      <c r="S144" s="3" t="s">
        <v>632</v>
      </c>
      <c r="T144" s="3" t="s">
        <v>632</v>
      </c>
      <c r="U144" s="3" t="s">
        <v>632</v>
      </c>
      <c r="V144" s="3"/>
    </row>
    <row r="145" spans="1:22" x14ac:dyDescent="0.4">
      <c r="A145" s="11">
        <f t="shared" si="2"/>
        <v>141</v>
      </c>
      <c r="B145" s="3" t="s">
        <v>2038</v>
      </c>
      <c r="C145" s="3" t="s">
        <v>2037</v>
      </c>
      <c r="D145" s="3"/>
      <c r="E145" s="11" t="s">
        <v>20</v>
      </c>
      <c r="F145" s="11" t="s">
        <v>20</v>
      </c>
      <c r="G145" s="11" t="s">
        <v>20</v>
      </c>
      <c r="H145" s="3" t="s">
        <v>628</v>
      </c>
      <c r="I145" s="3" t="s">
        <v>629</v>
      </c>
      <c r="J145" s="3" t="s">
        <v>630</v>
      </c>
      <c r="K145" s="3" t="s">
        <v>631</v>
      </c>
      <c r="L145" s="3" t="s">
        <v>632</v>
      </c>
      <c r="M145" s="3" t="s">
        <v>632</v>
      </c>
      <c r="N145" s="3" t="s">
        <v>633</v>
      </c>
      <c r="O145" s="3">
        <v>3389</v>
      </c>
      <c r="P145" s="3" t="s">
        <v>632</v>
      </c>
      <c r="Q145" s="3" t="s">
        <v>632</v>
      </c>
      <c r="R145" s="3" t="s">
        <v>632</v>
      </c>
      <c r="S145" s="3" t="s">
        <v>632</v>
      </c>
      <c r="T145" s="3" t="s">
        <v>632</v>
      </c>
      <c r="U145" s="3" t="s">
        <v>632</v>
      </c>
      <c r="V145" s="3"/>
    </row>
    <row r="146" spans="1:22" x14ac:dyDescent="0.4">
      <c r="A146" s="11">
        <f t="shared" si="2"/>
        <v>142</v>
      </c>
      <c r="B146" s="3" t="s">
        <v>2039</v>
      </c>
      <c r="C146" s="3" t="s">
        <v>2037</v>
      </c>
      <c r="D146" s="3"/>
      <c r="E146" s="11" t="s">
        <v>20</v>
      </c>
      <c r="F146" s="11" t="s">
        <v>20</v>
      </c>
      <c r="G146" s="11" t="s">
        <v>20</v>
      </c>
      <c r="H146" s="3" t="s">
        <v>628</v>
      </c>
      <c r="I146" s="3" t="s">
        <v>629</v>
      </c>
      <c r="J146" s="3" t="s">
        <v>630</v>
      </c>
      <c r="K146" s="3" t="s">
        <v>631</v>
      </c>
      <c r="L146" s="3" t="s">
        <v>632</v>
      </c>
      <c r="M146" s="3" t="s">
        <v>632</v>
      </c>
      <c r="N146" s="3" t="s">
        <v>634</v>
      </c>
      <c r="O146" s="3">
        <v>3389</v>
      </c>
      <c r="P146" s="3" t="s">
        <v>632</v>
      </c>
      <c r="Q146" s="3" t="s">
        <v>632</v>
      </c>
      <c r="R146" s="3" t="s">
        <v>632</v>
      </c>
      <c r="S146" s="3" t="s">
        <v>632</v>
      </c>
      <c r="T146" s="3" t="s">
        <v>632</v>
      </c>
      <c r="U146" s="3" t="s">
        <v>632</v>
      </c>
      <c r="V146" s="3"/>
    </row>
    <row r="147" spans="1:22" x14ac:dyDescent="0.4">
      <c r="A147" s="11">
        <f t="shared" si="2"/>
        <v>143</v>
      </c>
      <c r="B147" s="3" t="s">
        <v>2040</v>
      </c>
      <c r="C147" s="3" t="s">
        <v>2041</v>
      </c>
      <c r="D147" s="3"/>
      <c r="E147" s="11" t="s">
        <v>20</v>
      </c>
      <c r="F147" s="11" t="s">
        <v>20</v>
      </c>
      <c r="G147" s="11" t="s">
        <v>20</v>
      </c>
      <c r="H147" s="3" t="s">
        <v>630</v>
      </c>
      <c r="I147" s="3" t="s">
        <v>629</v>
      </c>
      <c r="J147" s="3" t="s">
        <v>630</v>
      </c>
      <c r="K147" s="3" t="s">
        <v>644</v>
      </c>
      <c r="L147" s="3" t="s">
        <v>632</v>
      </c>
      <c r="M147" s="3" t="s">
        <v>632</v>
      </c>
      <c r="N147" s="3" t="s">
        <v>633</v>
      </c>
      <c r="O147" s="3">
        <v>3387</v>
      </c>
      <c r="P147" s="3" t="s">
        <v>632</v>
      </c>
      <c r="Q147" s="3" t="s">
        <v>632</v>
      </c>
      <c r="R147" s="3" t="s">
        <v>632</v>
      </c>
      <c r="S147" s="3" t="s">
        <v>632</v>
      </c>
      <c r="T147" s="3" t="s">
        <v>632</v>
      </c>
      <c r="U147" s="3" t="s">
        <v>632</v>
      </c>
      <c r="V147" s="3"/>
    </row>
    <row r="148" spans="1:22" x14ac:dyDescent="0.4">
      <c r="A148" s="11">
        <f t="shared" si="2"/>
        <v>144</v>
      </c>
      <c r="B148" s="3" t="s">
        <v>2042</v>
      </c>
      <c r="C148" s="3" t="s">
        <v>2041</v>
      </c>
      <c r="D148" s="3"/>
      <c r="E148" s="11" t="s">
        <v>20</v>
      </c>
      <c r="F148" s="11" t="s">
        <v>20</v>
      </c>
      <c r="G148" s="11" t="s">
        <v>20</v>
      </c>
      <c r="H148" s="3" t="s">
        <v>630</v>
      </c>
      <c r="I148" s="3" t="s">
        <v>629</v>
      </c>
      <c r="J148" s="3" t="s">
        <v>630</v>
      </c>
      <c r="K148" s="3" t="s">
        <v>644</v>
      </c>
      <c r="L148" s="3" t="s">
        <v>632</v>
      </c>
      <c r="M148" s="3" t="s">
        <v>632</v>
      </c>
      <c r="N148" s="3" t="s">
        <v>633</v>
      </c>
      <c r="O148" s="3">
        <v>3392</v>
      </c>
      <c r="P148" s="3" t="s">
        <v>632</v>
      </c>
      <c r="Q148" s="3" t="s">
        <v>632</v>
      </c>
      <c r="R148" s="3" t="s">
        <v>632</v>
      </c>
      <c r="S148" s="3" t="s">
        <v>632</v>
      </c>
      <c r="T148" s="3" t="s">
        <v>632</v>
      </c>
      <c r="U148" s="3" t="s">
        <v>632</v>
      </c>
      <c r="V148" s="3"/>
    </row>
    <row r="149" spans="1:22" x14ac:dyDescent="0.4">
      <c r="A149" s="11">
        <f t="shared" si="2"/>
        <v>145</v>
      </c>
      <c r="B149" s="3" t="s">
        <v>2043</v>
      </c>
      <c r="C149" s="3" t="s">
        <v>2044</v>
      </c>
      <c r="D149" s="3"/>
      <c r="E149" s="11" t="s">
        <v>20</v>
      </c>
      <c r="F149" s="11" t="s">
        <v>20</v>
      </c>
      <c r="G149" s="11" t="s">
        <v>20</v>
      </c>
      <c r="H149" s="3" t="s">
        <v>630</v>
      </c>
      <c r="I149" s="3" t="s">
        <v>629</v>
      </c>
      <c r="J149" s="3" t="s">
        <v>630</v>
      </c>
      <c r="K149" s="3" t="s">
        <v>686</v>
      </c>
      <c r="L149" s="3" t="s">
        <v>632</v>
      </c>
      <c r="M149" s="3" t="s">
        <v>632</v>
      </c>
      <c r="N149" s="3" t="s">
        <v>633</v>
      </c>
      <c r="O149" s="3" t="s">
        <v>1914</v>
      </c>
      <c r="P149" s="3" t="s">
        <v>632</v>
      </c>
      <c r="Q149" s="3" t="s">
        <v>632</v>
      </c>
      <c r="R149" s="3" t="s">
        <v>632</v>
      </c>
      <c r="S149" s="3" t="s">
        <v>632</v>
      </c>
      <c r="T149" s="3" t="s">
        <v>632</v>
      </c>
      <c r="U149" s="3" t="s">
        <v>632</v>
      </c>
      <c r="V149" s="3"/>
    </row>
    <row r="150" spans="1:22" x14ac:dyDescent="0.4">
      <c r="A150" s="11">
        <f t="shared" si="2"/>
        <v>146</v>
      </c>
      <c r="B150" s="3" t="s">
        <v>2045</v>
      </c>
      <c r="C150" s="3" t="s">
        <v>2044</v>
      </c>
      <c r="D150" s="3"/>
      <c r="E150" s="11" t="s">
        <v>20</v>
      </c>
      <c r="F150" s="11" t="s">
        <v>20</v>
      </c>
      <c r="G150" s="11" t="s">
        <v>20</v>
      </c>
      <c r="H150" s="3" t="s">
        <v>630</v>
      </c>
      <c r="I150" s="3" t="s">
        <v>629</v>
      </c>
      <c r="J150" s="3" t="s">
        <v>630</v>
      </c>
      <c r="K150" s="3" t="s">
        <v>687</v>
      </c>
      <c r="L150" s="3" t="s">
        <v>632</v>
      </c>
      <c r="M150" s="3" t="s">
        <v>632</v>
      </c>
      <c r="N150" s="3" t="s">
        <v>633</v>
      </c>
      <c r="O150" s="3" t="s">
        <v>1914</v>
      </c>
      <c r="P150" s="3" t="s">
        <v>632</v>
      </c>
      <c r="Q150" s="3" t="s">
        <v>632</v>
      </c>
      <c r="R150" s="3" t="s">
        <v>632</v>
      </c>
      <c r="S150" s="3" t="s">
        <v>632</v>
      </c>
      <c r="T150" s="3" t="s">
        <v>632</v>
      </c>
      <c r="U150" s="3" t="s">
        <v>632</v>
      </c>
      <c r="V150" s="3"/>
    </row>
    <row r="151" spans="1:22" x14ac:dyDescent="0.4">
      <c r="A151" s="11">
        <f t="shared" si="2"/>
        <v>147</v>
      </c>
      <c r="B151" s="3" t="s">
        <v>2046</v>
      </c>
      <c r="C151" s="3" t="s">
        <v>2044</v>
      </c>
      <c r="D151" s="3"/>
      <c r="E151" s="11" t="s">
        <v>20</v>
      </c>
      <c r="F151" s="11" t="s">
        <v>20</v>
      </c>
      <c r="G151" s="11" t="s">
        <v>20</v>
      </c>
      <c r="H151" s="3" t="s">
        <v>630</v>
      </c>
      <c r="I151" s="3" t="s">
        <v>629</v>
      </c>
      <c r="J151" s="3" t="s">
        <v>630</v>
      </c>
      <c r="K151" s="3" t="s">
        <v>631</v>
      </c>
      <c r="L151" s="3" t="s">
        <v>632</v>
      </c>
      <c r="M151" s="3" t="s">
        <v>632</v>
      </c>
      <c r="N151" s="3" t="s">
        <v>633</v>
      </c>
      <c r="O151" s="3" t="s">
        <v>1940</v>
      </c>
      <c r="P151" s="3" t="s">
        <v>632</v>
      </c>
      <c r="Q151" s="3" t="s">
        <v>632</v>
      </c>
      <c r="R151" s="3" t="s">
        <v>632</v>
      </c>
      <c r="S151" s="3" t="s">
        <v>632</v>
      </c>
      <c r="T151" s="3" t="s">
        <v>632</v>
      </c>
      <c r="U151" s="3" t="s">
        <v>632</v>
      </c>
      <c r="V151" s="3"/>
    </row>
    <row r="152" spans="1:22" x14ac:dyDescent="0.4">
      <c r="A152" s="11">
        <f t="shared" si="2"/>
        <v>148</v>
      </c>
      <c r="B152" s="3" t="s">
        <v>2047</v>
      </c>
      <c r="C152" s="3" t="s">
        <v>2048</v>
      </c>
      <c r="D152" s="3"/>
      <c r="E152" s="11" t="s">
        <v>20</v>
      </c>
      <c r="F152" s="11" t="s">
        <v>20</v>
      </c>
      <c r="G152" s="11" t="s">
        <v>20</v>
      </c>
      <c r="H152" s="3" t="s">
        <v>630</v>
      </c>
      <c r="I152" s="3" t="s">
        <v>629</v>
      </c>
      <c r="J152" s="3" t="s">
        <v>630</v>
      </c>
      <c r="K152" s="3" t="s">
        <v>644</v>
      </c>
      <c r="L152" s="3" t="s">
        <v>632</v>
      </c>
      <c r="M152" s="3" t="s">
        <v>632</v>
      </c>
      <c r="N152" s="3" t="s">
        <v>688</v>
      </c>
      <c r="O152" s="3" t="s">
        <v>632</v>
      </c>
      <c r="P152" s="3" t="s">
        <v>632</v>
      </c>
      <c r="Q152" s="3" t="s">
        <v>632</v>
      </c>
      <c r="R152" s="3" t="s">
        <v>632</v>
      </c>
      <c r="S152" s="3" t="s">
        <v>632</v>
      </c>
      <c r="T152" s="3" t="s">
        <v>632</v>
      </c>
      <c r="U152" s="3" t="s">
        <v>632</v>
      </c>
      <c r="V152" s="3"/>
    </row>
    <row r="153" spans="1:22" x14ac:dyDescent="0.4">
      <c r="A153" s="11">
        <f t="shared" si="2"/>
        <v>149</v>
      </c>
      <c r="B153" s="3" t="s">
        <v>2049</v>
      </c>
      <c r="C153" s="3" t="s">
        <v>2048</v>
      </c>
      <c r="D153" s="3"/>
      <c r="E153" s="11" t="s">
        <v>20</v>
      </c>
      <c r="F153" s="11" t="s">
        <v>20</v>
      </c>
      <c r="G153" s="11" t="s">
        <v>20</v>
      </c>
      <c r="H153" s="3" t="s">
        <v>630</v>
      </c>
      <c r="I153" s="3" t="s">
        <v>629</v>
      </c>
      <c r="J153" s="3" t="s">
        <v>630</v>
      </c>
      <c r="K153" s="3" t="s">
        <v>644</v>
      </c>
      <c r="L153" s="3" t="s">
        <v>632</v>
      </c>
      <c r="M153" s="3" t="s">
        <v>632</v>
      </c>
      <c r="N153" s="3" t="s">
        <v>634</v>
      </c>
      <c r="O153" s="3">
        <v>1701</v>
      </c>
      <c r="P153" s="3" t="s">
        <v>632</v>
      </c>
      <c r="Q153" s="3" t="s">
        <v>632</v>
      </c>
      <c r="R153" s="3" t="s">
        <v>632</v>
      </c>
      <c r="S153" s="3" t="s">
        <v>632</v>
      </c>
      <c r="T153" s="3" t="s">
        <v>632</v>
      </c>
      <c r="U153" s="3" t="s">
        <v>632</v>
      </c>
      <c r="V153" s="3"/>
    </row>
    <row r="154" spans="1:22" x14ac:dyDescent="0.4">
      <c r="A154" s="11">
        <f t="shared" si="2"/>
        <v>150</v>
      </c>
      <c r="B154" s="3" t="s">
        <v>2050</v>
      </c>
      <c r="C154" s="3" t="s">
        <v>2048</v>
      </c>
      <c r="D154" s="3"/>
      <c r="E154" s="11" t="s">
        <v>20</v>
      </c>
      <c r="F154" s="11" t="s">
        <v>20</v>
      </c>
      <c r="G154" s="11" t="s">
        <v>20</v>
      </c>
      <c r="H154" s="3" t="s">
        <v>630</v>
      </c>
      <c r="I154" s="3" t="s">
        <v>629</v>
      </c>
      <c r="J154" s="3" t="s">
        <v>630</v>
      </c>
      <c r="K154" s="3" t="s">
        <v>644</v>
      </c>
      <c r="L154" s="3" t="s">
        <v>632</v>
      </c>
      <c r="M154" s="3" t="s">
        <v>632</v>
      </c>
      <c r="N154" s="3" t="s">
        <v>633</v>
      </c>
      <c r="O154" s="3">
        <v>1723</v>
      </c>
      <c r="P154" s="3" t="s">
        <v>632</v>
      </c>
      <c r="Q154" s="3" t="s">
        <v>632</v>
      </c>
      <c r="R154" s="3" t="s">
        <v>632</v>
      </c>
      <c r="S154" s="3" t="s">
        <v>632</v>
      </c>
      <c r="T154" s="3" t="s">
        <v>632</v>
      </c>
      <c r="U154" s="3" t="s">
        <v>632</v>
      </c>
      <c r="V154" s="3"/>
    </row>
    <row r="155" spans="1:22" x14ac:dyDescent="0.4">
      <c r="A155" s="11">
        <f t="shared" si="2"/>
        <v>151</v>
      </c>
      <c r="B155" s="3" t="s">
        <v>2051</v>
      </c>
      <c r="C155" s="3" t="s">
        <v>2052</v>
      </c>
      <c r="D155" s="3"/>
      <c r="E155" s="11" t="s">
        <v>20</v>
      </c>
      <c r="F155" s="11" t="s">
        <v>20</v>
      </c>
      <c r="G155" s="11" t="s">
        <v>20</v>
      </c>
      <c r="H155" s="3" t="s">
        <v>630</v>
      </c>
      <c r="I155" s="3" t="s">
        <v>629</v>
      </c>
      <c r="J155" s="3" t="s">
        <v>630</v>
      </c>
      <c r="K155" s="3" t="s">
        <v>631</v>
      </c>
      <c r="L155" s="3" t="s">
        <v>632</v>
      </c>
      <c r="M155" s="3" t="s">
        <v>632</v>
      </c>
      <c r="N155" s="3" t="s">
        <v>633</v>
      </c>
      <c r="O155" s="3">
        <v>135</v>
      </c>
      <c r="P155" s="3" t="s">
        <v>632</v>
      </c>
      <c r="Q155" s="3" t="s">
        <v>632</v>
      </c>
      <c r="R155" s="3" t="s">
        <v>632</v>
      </c>
      <c r="S155" s="3" t="s">
        <v>632</v>
      </c>
      <c r="T155" s="3" t="s">
        <v>632</v>
      </c>
      <c r="U155" s="3" t="s">
        <v>632</v>
      </c>
      <c r="V155" s="3"/>
    </row>
    <row r="156" spans="1:22" x14ac:dyDescent="0.4">
      <c r="A156" s="11">
        <f t="shared" si="2"/>
        <v>152</v>
      </c>
      <c r="B156" s="3" t="s">
        <v>2053</v>
      </c>
      <c r="C156" s="3" t="s">
        <v>2052</v>
      </c>
      <c r="D156" s="3"/>
      <c r="E156" s="11" t="s">
        <v>20</v>
      </c>
      <c r="F156" s="11" t="s">
        <v>20</v>
      </c>
      <c r="G156" s="11" t="s">
        <v>20</v>
      </c>
      <c r="H156" s="3" t="s">
        <v>630</v>
      </c>
      <c r="I156" s="3" t="s">
        <v>629</v>
      </c>
      <c r="J156" s="3" t="s">
        <v>630</v>
      </c>
      <c r="K156" s="3" t="s">
        <v>644</v>
      </c>
      <c r="L156" s="3" t="s">
        <v>632</v>
      </c>
      <c r="M156" s="3" t="s">
        <v>632</v>
      </c>
      <c r="N156" s="3" t="s">
        <v>633</v>
      </c>
      <c r="O156" s="3">
        <v>139</v>
      </c>
      <c r="P156" s="3" t="s">
        <v>632</v>
      </c>
      <c r="Q156" s="3" t="s">
        <v>632</v>
      </c>
      <c r="R156" s="3" t="s">
        <v>632</v>
      </c>
      <c r="S156" s="3" t="s">
        <v>632</v>
      </c>
      <c r="T156" s="3" t="s">
        <v>632</v>
      </c>
      <c r="U156" s="3" t="s">
        <v>632</v>
      </c>
      <c r="V156" s="3"/>
    </row>
    <row r="157" spans="1:22" x14ac:dyDescent="0.4">
      <c r="A157" s="11">
        <f t="shared" si="2"/>
        <v>153</v>
      </c>
      <c r="B157" s="3" t="s">
        <v>2054</v>
      </c>
      <c r="C157" s="3" t="s">
        <v>2052</v>
      </c>
      <c r="D157" s="3"/>
      <c r="E157" s="11" t="s">
        <v>20</v>
      </c>
      <c r="F157" s="11" t="s">
        <v>20</v>
      </c>
      <c r="G157" s="11" t="s">
        <v>20</v>
      </c>
      <c r="H157" s="3" t="s">
        <v>630</v>
      </c>
      <c r="I157" s="3" t="s">
        <v>629</v>
      </c>
      <c r="J157" s="3" t="s">
        <v>630</v>
      </c>
      <c r="K157" s="3" t="s">
        <v>631</v>
      </c>
      <c r="L157" s="3" t="s">
        <v>632</v>
      </c>
      <c r="M157" s="3" t="s">
        <v>632</v>
      </c>
      <c r="N157" s="3" t="s">
        <v>633</v>
      </c>
      <c r="O157" s="3" t="s">
        <v>1914</v>
      </c>
      <c r="P157" s="3" t="s">
        <v>632</v>
      </c>
      <c r="Q157" s="3" t="s">
        <v>632</v>
      </c>
      <c r="R157" s="3" t="s">
        <v>632</v>
      </c>
      <c r="S157" s="3" t="s">
        <v>632</v>
      </c>
      <c r="T157" s="3" t="s">
        <v>632</v>
      </c>
      <c r="U157" s="3" t="s">
        <v>632</v>
      </c>
      <c r="V157" s="3"/>
    </row>
    <row r="158" spans="1:22" x14ac:dyDescent="0.4">
      <c r="A158" s="11">
        <f t="shared" si="2"/>
        <v>154</v>
      </c>
      <c r="B158" s="3" t="s">
        <v>2055</v>
      </c>
      <c r="C158" s="3" t="s">
        <v>2052</v>
      </c>
      <c r="D158" s="3"/>
      <c r="E158" s="11" t="s">
        <v>20</v>
      </c>
      <c r="F158" s="11" t="s">
        <v>20</v>
      </c>
      <c r="G158" s="11" t="s">
        <v>20</v>
      </c>
      <c r="H158" s="3" t="s">
        <v>630</v>
      </c>
      <c r="I158" s="3" t="s">
        <v>629</v>
      </c>
      <c r="J158" s="3" t="s">
        <v>630</v>
      </c>
      <c r="K158" s="3" t="s">
        <v>644</v>
      </c>
      <c r="L158" s="3" t="s">
        <v>632</v>
      </c>
      <c r="M158" s="3" t="s">
        <v>632</v>
      </c>
      <c r="N158" s="3" t="s">
        <v>670</v>
      </c>
      <c r="O158" s="3" t="s">
        <v>632</v>
      </c>
      <c r="P158" s="3" t="s">
        <v>632</v>
      </c>
      <c r="Q158" s="3" t="s">
        <v>632</v>
      </c>
      <c r="R158" s="3" t="s">
        <v>632</v>
      </c>
      <c r="S158" s="3" t="s">
        <v>632</v>
      </c>
      <c r="T158" s="3" t="s">
        <v>632</v>
      </c>
      <c r="U158" s="3" t="s">
        <v>632</v>
      </c>
      <c r="V158" s="3"/>
    </row>
    <row r="159" spans="1:22" x14ac:dyDescent="0.4">
      <c r="A159" s="11">
        <f t="shared" si="2"/>
        <v>155</v>
      </c>
      <c r="B159" s="3" t="s">
        <v>2056</v>
      </c>
      <c r="C159" s="3" t="s">
        <v>2052</v>
      </c>
      <c r="D159" s="3"/>
      <c r="E159" s="11" t="s">
        <v>20</v>
      </c>
      <c r="F159" s="11" t="s">
        <v>20</v>
      </c>
      <c r="G159" s="11" t="s">
        <v>20</v>
      </c>
      <c r="H159" s="3" t="s">
        <v>630</v>
      </c>
      <c r="I159" s="3" t="s">
        <v>629</v>
      </c>
      <c r="J159" s="3" t="s">
        <v>630</v>
      </c>
      <c r="K159" s="3" t="s">
        <v>644</v>
      </c>
      <c r="L159" s="3" t="s">
        <v>632</v>
      </c>
      <c r="M159" s="3" t="s">
        <v>632</v>
      </c>
      <c r="N159" s="3" t="s">
        <v>668</v>
      </c>
      <c r="O159" s="3" t="s">
        <v>632</v>
      </c>
      <c r="P159" s="3" t="s">
        <v>632</v>
      </c>
      <c r="Q159" s="3" t="s">
        <v>632</v>
      </c>
      <c r="R159" s="3" t="s">
        <v>632</v>
      </c>
      <c r="S159" s="3" t="s">
        <v>632</v>
      </c>
      <c r="T159" s="3" t="s">
        <v>632</v>
      </c>
      <c r="U159" s="3" t="s">
        <v>632</v>
      </c>
      <c r="V159" s="3"/>
    </row>
    <row r="160" spans="1:22" x14ac:dyDescent="0.4">
      <c r="A160" s="11">
        <f t="shared" si="2"/>
        <v>156</v>
      </c>
      <c r="B160" s="3" t="s">
        <v>2057</v>
      </c>
      <c r="C160" s="3" t="s">
        <v>2057</v>
      </c>
      <c r="D160" s="3"/>
      <c r="E160" s="11" t="s">
        <v>20</v>
      </c>
      <c r="F160" s="11" t="s">
        <v>20</v>
      </c>
      <c r="G160" s="11" t="s">
        <v>36</v>
      </c>
      <c r="H160" s="3" t="s">
        <v>628</v>
      </c>
      <c r="I160" s="3" t="s">
        <v>629</v>
      </c>
      <c r="J160" s="3" t="s">
        <v>630</v>
      </c>
      <c r="K160" s="3" t="s">
        <v>632</v>
      </c>
      <c r="L160" s="3" t="s">
        <v>632</v>
      </c>
      <c r="M160" s="3" t="s">
        <v>632</v>
      </c>
      <c r="N160" s="3" t="s">
        <v>632</v>
      </c>
      <c r="O160" s="3" t="s">
        <v>632</v>
      </c>
      <c r="P160" s="3" t="s">
        <v>632</v>
      </c>
      <c r="Q160" s="3" t="s">
        <v>632</v>
      </c>
      <c r="R160" s="3" t="s">
        <v>632</v>
      </c>
      <c r="S160" s="3" t="s">
        <v>632</v>
      </c>
      <c r="T160" s="3" t="s">
        <v>1950</v>
      </c>
      <c r="U160" s="3" t="s">
        <v>2058</v>
      </c>
      <c r="V160" s="3"/>
    </row>
    <row r="161" spans="1:22" x14ac:dyDescent="0.4">
      <c r="A161" s="11">
        <f t="shared" si="2"/>
        <v>157</v>
      </c>
      <c r="B161" s="3" t="s">
        <v>2059</v>
      </c>
      <c r="C161" s="3" t="s">
        <v>2060</v>
      </c>
      <c r="D161" s="3"/>
      <c r="E161" s="11" t="s">
        <v>20</v>
      </c>
      <c r="F161" s="11" t="s">
        <v>20</v>
      </c>
      <c r="G161" s="11" t="s">
        <v>20</v>
      </c>
      <c r="H161" s="3" t="s">
        <v>630</v>
      </c>
      <c r="I161" s="3" t="s">
        <v>629</v>
      </c>
      <c r="J161" s="3" t="s">
        <v>630</v>
      </c>
      <c r="K161" s="3" t="s">
        <v>631</v>
      </c>
      <c r="L161" s="3" t="s">
        <v>632</v>
      </c>
      <c r="M161" s="3" t="s">
        <v>632</v>
      </c>
      <c r="N161" s="3" t="s">
        <v>633</v>
      </c>
      <c r="O161" s="3" t="s">
        <v>1914</v>
      </c>
      <c r="P161" s="3" t="s">
        <v>632</v>
      </c>
      <c r="Q161" s="3" t="s">
        <v>632</v>
      </c>
      <c r="R161" s="3" t="s">
        <v>632</v>
      </c>
      <c r="S161" s="3" t="s">
        <v>632</v>
      </c>
      <c r="T161" s="3" t="s">
        <v>632</v>
      </c>
      <c r="U161" s="3" t="s">
        <v>632</v>
      </c>
      <c r="V161" s="3"/>
    </row>
    <row r="162" spans="1:22" x14ac:dyDescent="0.4">
      <c r="A162" s="11">
        <f t="shared" si="2"/>
        <v>158</v>
      </c>
      <c r="B162" s="3" t="s">
        <v>2061</v>
      </c>
      <c r="C162" s="3" t="s">
        <v>2060</v>
      </c>
      <c r="D162" s="3"/>
      <c r="E162" s="11" t="s">
        <v>20</v>
      </c>
      <c r="F162" s="11" t="s">
        <v>20</v>
      </c>
      <c r="G162" s="11" t="s">
        <v>20</v>
      </c>
      <c r="H162" s="3" t="s">
        <v>630</v>
      </c>
      <c r="I162" s="3" t="s">
        <v>629</v>
      </c>
      <c r="J162" s="3" t="s">
        <v>630</v>
      </c>
      <c r="K162" s="3" t="s">
        <v>631</v>
      </c>
      <c r="L162" s="3" t="s">
        <v>632</v>
      </c>
      <c r="M162" s="3" t="s">
        <v>632</v>
      </c>
      <c r="N162" s="3" t="s">
        <v>633</v>
      </c>
      <c r="O162" s="3" t="s">
        <v>1940</v>
      </c>
      <c r="P162" s="3" t="s">
        <v>632</v>
      </c>
      <c r="Q162" s="3" t="s">
        <v>632</v>
      </c>
      <c r="R162" s="3" t="s">
        <v>632</v>
      </c>
      <c r="S162" s="3" t="s">
        <v>632</v>
      </c>
      <c r="T162" s="3" t="s">
        <v>632</v>
      </c>
      <c r="U162" s="3" t="s">
        <v>632</v>
      </c>
      <c r="V162" s="3"/>
    </row>
    <row r="163" spans="1:22" x14ac:dyDescent="0.4">
      <c r="A163" s="11">
        <f t="shared" si="2"/>
        <v>159</v>
      </c>
      <c r="B163" s="3" t="s">
        <v>2062</v>
      </c>
      <c r="C163" s="3" t="s">
        <v>2060</v>
      </c>
      <c r="D163" s="3"/>
      <c r="E163" s="11" t="s">
        <v>20</v>
      </c>
      <c r="F163" s="11" t="s">
        <v>20</v>
      </c>
      <c r="G163" s="11" t="s">
        <v>20</v>
      </c>
      <c r="H163" s="3" t="s">
        <v>630</v>
      </c>
      <c r="I163" s="3" t="s">
        <v>629</v>
      </c>
      <c r="J163" s="3" t="s">
        <v>630</v>
      </c>
      <c r="K163" s="3" t="s">
        <v>689</v>
      </c>
      <c r="L163" s="3" t="s">
        <v>632</v>
      </c>
      <c r="M163" s="3" t="s">
        <v>632</v>
      </c>
      <c r="N163" s="3" t="s">
        <v>633</v>
      </c>
      <c r="O163" s="3" t="s">
        <v>632</v>
      </c>
      <c r="P163" s="3" t="s">
        <v>632</v>
      </c>
      <c r="Q163" s="3" t="s">
        <v>632</v>
      </c>
      <c r="R163" s="3" t="s">
        <v>632</v>
      </c>
      <c r="S163" s="3" t="s">
        <v>632</v>
      </c>
      <c r="T163" s="3" t="s">
        <v>632</v>
      </c>
      <c r="U163" s="3" t="s">
        <v>632</v>
      </c>
      <c r="V163" s="3"/>
    </row>
  </sheetData>
  <phoneticPr fontId="1"/>
  <dataValidations count="4">
    <dataValidation type="list" allowBlank="1" showInputMessage="1" showErrorMessage="1" sqref="Q7:R48 E5:G163" xr:uid="{3E571772-6C47-A84A-8BD1-0A0F6BA0A3F8}">
      <formula1>work_チェックボックス</formula1>
    </dataValidation>
    <dataValidation type="list" allowBlank="1" showInputMessage="1" showErrorMessage="1" sqref="D5:D163" xr:uid="{F6738148-0182-49DA-85F3-4455010FEB2F}">
      <formula1>"-,変更"</formula1>
    </dataValidation>
    <dataValidation type="list" allowBlank="1" showInputMessage="1" showErrorMessage="1" sqref="H5:H163" xr:uid="{11575004-BEAA-4A2E-9E97-27AEC52CAF30}">
      <formula1>"はい,いいえ"</formula1>
    </dataValidation>
    <dataValidation type="list" allowBlank="1" showInputMessage="1" showErrorMessage="1" sqref="I5:I163" xr:uid="{B3E4DD30-510D-4DEC-B267-C2F80CE87FD7}">
      <formula1>"許可,保護されている場合、許可,ブロック"</formula1>
    </dataValidation>
  </dataValidations>
  <pageMargins left="0.7" right="0.7" top="0.75" bottom="0.75" header="0.3" footer="0.3"/>
  <pageSetup paperSize="9" orientation="portrait" horizontalDpi="0" verticalDpi="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F838B7-7B5C-9B40-8FA1-0DB52B478466}">
  <dimension ref="A1:U120"/>
  <sheetViews>
    <sheetView zoomScale="90" zoomScaleNormal="90" workbookViewId="0">
      <pane ySplit="4" topLeftCell="A5" activePane="bottomLeft" state="frozen"/>
      <selection pane="bottomLeft" activeCell="A5" sqref="A5"/>
    </sheetView>
  </sheetViews>
  <sheetFormatPr defaultColWidth="11.5546875" defaultRowHeight="19.5" x14ac:dyDescent="0.4"/>
  <cols>
    <col min="1" max="1" width="4.6640625" customWidth="1"/>
    <col min="2" max="2" width="70.44140625" bestFit="1" customWidth="1"/>
    <col min="3" max="3" width="59.33203125" bestFit="1" customWidth="1"/>
    <col min="4" max="4" width="8.6640625" bestFit="1" customWidth="1"/>
    <col min="5" max="5" width="12.33203125" bestFit="1" customWidth="1"/>
    <col min="6" max="6" width="8.5546875" bestFit="1" customWidth="1"/>
    <col min="7" max="7" width="23" bestFit="1" customWidth="1"/>
    <col min="8" max="8" width="7.109375" bestFit="1" customWidth="1"/>
    <col min="9" max="9" width="5.109375" bestFit="1" customWidth="1"/>
    <col min="10" max="10" width="7.109375" bestFit="1" customWidth="1"/>
    <col min="11" max="11" width="54.5546875" bestFit="1" customWidth="1"/>
    <col min="12" max="12" width="16.88671875" bestFit="1" customWidth="1"/>
    <col min="13" max="13" width="34.6640625" bestFit="1" customWidth="1"/>
    <col min="14" max="14" width="10.5546875" bestFit="1" customWidth="1"/>
    <col min="15" max="16" width="14.88671875" bestFit="1" customWidth="1"/>
    <col min="17" max="17" width="27.88671875" bestFit="1" customWidth="1"/>
    <col min="18" max="18" width="30.44140625" bestFit="1" customWidth="1"/>
    <col min="19" max="19" width="25.33203125" bestFit="1" customWidth="1"/>
    <col min="20" max="20" width="26.6640625" bestFit="1" customWidth="1"/>
  </cols>
  <sheetData>
    <row r="1" spans="1:21" x14ac:dyDescent="0.4">
      <c r="A1" s="1" t="str">
        <f ca="1">RIGHT(CELL("filename",A1),LEN(CELL("filename",A1))-FIND("]",CELL("filename",A1)))</f>
        <v>3.2.2.ファイアウォール規則(送信)</v>
      </c>
    </row>
    <row r="3" spans="1:21" x14ac:dyDescent="0.4">
      <c r="A3" s="62" t="s">
        <v>3</v>
      </c>
      <c r="B3" s="211" t="s">
        <v>428</v>
      </c>
      <c r="C3" s="211" t="s">
        <v>1894</v>
      </c>
      <c r="D3" s="211" t="s">
        <v>2913</v>
      </c>
      <c r="E3" s="207" t="s">
        <v>2761</v>
      </c>
      <c r="F3" s="207"/>
      <c r="G3" s="207"/>
      <c r="H3" s="211" t="s">
        <v>181</v>
      </c>
      <c r="I3" s="211" t="s">
        <v>624</v>
      </c>
      <c r="J3" s="211" t="s">
        <v>625</v>
      </c>
      <c r="K3" s="211" t="s">
        <v>626</v>
      </c>
      <c r="L3" s="211" t="s">
        <v>1895</v>
      </c>
      <c r="M3" s="211" t="s">
        <v>1896</v>
      </c>
      <c r="N3" s="211" t="s">
        <v>627</v>
      </c>
      <c r="O3" s="211" t="s">
        <v>1897</v>
      </c>
      <c r="P3" s="211" t="s">
        <v>1898</v>
      </c>
      <c r="Q3" s="211" t="s">
        <v>1900</v>
      </c>
      <c r="R3" s="211" t="s">
        <v>1901</v>
      </c>
      <c r="S3" s="211" t="s">
        <v>1902</v>
      </c>
      <c r="T3" s="211" t="s">
        <v>1903</v>
      </c>
      <c r="U3" s="211" t="s">
        <v>3025</v>
      </c>
    </row>
    <row r="4" spans="1:21" ht="20.25" thickBot="1" x14ac:dyDescent="0.45">
      <c r="A4" s="118"/>
      <c r="B4" s="213"/>
      <c r="C4" s="213"/>
      <c r="D4" s="213"/>
      <c r="E4" s="215" t="s">
        <v>1698</v>
      </c>
      <c r="F4" s="215" t="s">
        <v>28</v>
      </c>
      <c r="G4" s="215" t="s">
        <v>96</v>
      </c>
      <c r="H4" s="213"/>
      <c r="I4" s="213"/>
      <c r="J4" s="213"/>
      <c r="K4" s="213"/>
      <c r="L4" s="213"/>
      <c r="M4" s="213"/>
      <c r="N4" s="213"/>
      <c r="O4" s="213"/>
      <c r="P4" s="213"/>
      <c r="Q4" s="213"/>
      <c r="R4" s="213"/>
      <c r="S4" s="213"/>
      <c r="T4" s="213"/>
      <c r="U4" s="213"/>
    </row>
    <row r="5" spans="1:21" ht="20.25" thickTop="1" x14ac:dyDescent="0.4">
      <c r="A5" s="212">
        <v>1</v>
      </c>
      <c r="B5" s="20" t="s">
        <v>2063</v>
      </c>
      <c r="C5" s="20" t="s">
        <v>1905</v>
      </c>
      <c r="D5" s="20"/>
      <c r="E5" s="11" t="s">
        <v>20</v>
      </c>
      <c r="F5" s="11" t="s">
        <v>20</v>
      </c>
      <c r="G5" s="11" t="s">
        <v>36</v>
      </c>
      <c r="H5" s="20" t="s">
        <v>628</v>
      </c>
      <c r="I5" s="20" t="s">
        <v>629</v>
      </c>
      <c r="J5" s="20" t="s">
        <v>630</v>
      </c>
      <c r="K5" s="20" t="s">
        <v>631</v>
      </c>
      <c r="L5" s="20" t="s">
        <v>632</v>
      </c>
      <c r="M5" s="20" t="s">
        <v>632</v>
      </c>
      <c r="N5" s="20" t="s">
        <v>633</v>
      </c>
      <c r="O5" s="20" t="s">
        <v>632</v>
      </c>
      <c r="P5" s="20" t="s">
        <v>632</v>
      </c>
      <c r="Q5" s="20" t="s">
        <v>632</v>
      </c>
      <c r="R5" s="20" t="s">
        <v>632</v>
      </c>
      <c r="S5" s="20" t="s">
        <v>632</v>
      </c>
      <c r="T5" s="20" t="s">
        <v>632</v>
      </c>
      <c r="U5" s="20"/>
    </row>
    <row r="6" spans="1:21" x14ac:dyDescent="0.4">
      <c r="A6" s="11">
        <f>A5+1</f>
        <v>2</v>
      </c>
      <c r="B6" s="3" t="s">
        <v>2064</v>
      </c>
      <c r="C6" s="3" t="s">
        <v>1905</v>
      </c>
      <c r="D6" s="3"/>
      <c r="E6" s="11" t="s">
        <v>20</v>
      </c>
      <c r="F6" s="11" t="s">
        <v>20</v>
      </c>
      <c r="G6" s="11" t="s">
        <v>36</v>
      </c>
      <c r="H6" s="3" t="s">
        <v>628</v>
      </c>
      <c r="I6" s="3" t="s">
        <v>629</v>
      </c>
      <c r="J6" s="3" t="s">
        <v>630</v>
      </c>
      <c r="K6" s="3" t="s">
        <v>631</v>
      </c>
      <c r="L6" s="3" t="s">
        <v>632</v>
      </c>
      <c r="M6" s="3" t="s">
        <v>632</v>
      </c>
      <c r="N6" s="3" t="s">
        <v>634</v>
      </c>
      <c r="O6" s="3" t="s">
        <v>632</v>
      </c>
      <c r="P6" s="3" t="s">
        <v>632</v>
      </c>
      <c r="Q6" s="3" t="s">
        <v>632</v>
      </c>
      <c r="R6" s="3" t="s">
        <v>632</v>
      </c>
      <c r="S6" s="3" t="s">
        <v>632</v>
      </c>
      <c r="T6" s="3" t="s">
        <v>632</v>
      </c>
      <c r="U6" s="3"/>
    </row>
    <row r="7" spans="1:21" x14ac:dyDescent="0.4">
      <c r="A7" s="11">
        <f t="shared" ref="A7:A70" si="0">A6+1</f>
        <v>3</v>
      </c>
      <c r="B7" s="3" t="s">
        <v>690</v>
      </c>
      <c r="C7" s="3" t="s">
        <v>636</v>
      </c>
      <c r="D7" s="3"/>
      <c r="E7" s="11" t="s">
        <v>20</v>
      </c>
      <c r="F7" s="11" t="s">
        <v>20</v>
      </c>
      <c r="G7" s="11" t="s">
        <v>20</v>
      </c>
      <c r="H7" s="3" t="s">
        <v>630</v>
      </c>
      <c r="I7" s="3" t="s">
        <v>629</v>
      </c>
      <c r="J7" s="3" t="s">
        <v>630</v>
      </c>
      <c r="K7" s="3" t="s">
        <v>86</v>
      </c>
      <c r="L7" s="3" t="s">
        <v>632</v>
      </c>
      <c r="M7" s="3" t="s">
        <v>632</v>
      </c>
      <c r="N7" s="3" t="s">
        <v>633</v>
      </c>
      <c r="O7" s="3" t="s">
        <v>632</v>
      </c>
      <c r="P7" s="3">
        <v>80</v>
      </c>
      <c r="Q7" s="3" t="s">
        <v>632</v>
      </c>
      <c r="R7" s="3" t="s">
        <v>632</v>
      </c>
      <c r="S7" s="3" t="s">
        <v>632</v>
      </c>
      <c r="T7" s="3" t="s">
        <v>632</v>
      </c>
      <c r="U7" s="3"/>
    </row>
    <row r="8" spans="1:21" x14ac:dyDescent="0.4">
      <c r="A8" s="11">
        <f t="shared" si="0"/>
        <v>4</v>
      </c>
      <c r="B8" s="3" t="s">
        <v>691</v>
      </c>
      <c r="C8" s="3" t="s">
        <v>638</v>
      </c>
      <c r="D8" s="3"/>
      <c r="E8" s="11" t="s">
        <v>20</v>
      </c>
      <c r="F8" s="11" t="s">
        <v>20</v>
      </c>
      <c r="G8" s="11" t="s">
        <v>20</v>
      </c>
      <c r="H8" s="3" t="s">
        <v>630</v>
      </c>
      <c r="I8" s="3" t="s">
        <v>629</v>
      </c>
      <c r="J8" s="3" t="s">
        <v>630</v>
      </c>
      <c r="K8" s="3" t="s">
        <v>639</v>
      </c>
      <c r="L8" s="3" t="s">
        <v>632</v>
      </c>
      <c r="M8" s="3" t="s">
        <v>1907</v>
      </c>
      <c r="N8" s="3" t="s">
        <v>634</v>
      </c>
      <c r="O8" s="3" t="s">
        <v>632</v>
      </c>
      <c r="P8" s="3">
        <v>3702</v>
      </c>
      <c r="Q8" s="3" t="s">
        <v>632</v>
      </c>
      <c r="R8" s="3" t="s">
        <v>632</v>
      </c>
      <c r="S8" s="3" t="s">
        <v>632</v>
      </c>
      <c r="T8" s="3" t="s">
        <v>632</v>
      </c>
      <c r="U8" s="3"/>
    </row>
    <row r="9" spans="1:21" x14ac:dyDescent="0.4">
      <c r="A9" s="11">
        <f t="shared" si="0"/>
        <v>5</v>
      </c>
      <c r="B9" s="3" t="s">
        <v>692</v>
      </c>
      <c r="C9" s="3" t="s">
        <v>693</v>
      </c>
      <c r="D9" s="3"/>
      <c r="E9" s="11" t="s">
        <v>20</v>
      </c>
      <c r="F9" s="11" t="s">
        <v>20</v>
      </c>
      <c r="G9" s="11" t="s">
        <v>20</v>
      </c>
      <c r="H9" s="3" t="s">
        <v>630</v>
      </c>
      <c r="I9" s="3" t="s">
        <v>629</v>
      </c>
      <c r="J9" s="3" t="s">
        <v>630</v>
      </c>
      <c r="K9" s="3" t="s">
        <v>86</v>
      </c>
      <c r="L9" s="3" t="s">
        <v>632</v>
      </c>
      <c r="M9" s="3" t="s">
        <v>632</v>
      </c>
      <c r="N9" s="3" t="s">
        <v>633</v>
      </c>
      <c r="O9" s="3" t="s">
        <v>632</v>
      </c>
      <c r="P9" s="3" t="s">
        <v>640</v>
      </c>
      <c r="Q9" s="3" t="s">
        <v>632</v>
      </c>
      <c r="R9" s="3" t="s">
        <v>632</v>
      </c>
      <c r="S9" s="3" t="s">
        <v>632</v>
      </c>
      <c r="T9" s="3" t="s">
        <v>632</v>
      </c>
      <c r="U9" s="3"/>
    </row>
    <row r="10" spans="1:21" x14ac:dyDescent="0.4">
      <c r="A10" s="11">
        <f t="shared" si="0"/>
        <v>6</v>
      </c>
      <c r="B10" s="3" t="s">
        <v>2065</v>
      </c>
      <c r="C10" s="3" t="s">
        <v>1909</v>
      </c>
      <c r="D10" s="3"/>
      <c r="E10" s="11" t="s">
        <v>20</v>
      </c>
      <c r="F10" s="11" t="s">
        <v>20</v>
      </c>
      <c r="G10" s="11" t="s">
        <v>20</v>
      </c>
      <c r="H10" s="3" t="s">
        <v>630</v>
      </c>
      <c r="I10" s="3" t="s">
        <v>629</v>
      </c>
      <c r="J10" s="3" t="s">
        <v>630</v>
      </c>
      <c r="K10" s="3" t="s">
        <v>86</v>
      </c>
      <c r="L10" s="3" t="s">
        <v>632</v>
      </c>
      <c r="M10" s="3" t="s">
        <v>632</v>
      </c>
      <c r="N10" s="3" t="s">
        <v>633</v>
      </c>
      <c r="O10" s="3" t="s">
        <v>640</v>
      </c>
      <c r="P10" s="3" t="s">
        <v>632</v>
      </c>
      <c r="Q10" s="3" t="s">
        <v>632</v>
      </c>
      <c r="R10" s="3" t="s">
        <v>632</v>
      </c>
      <c r="S10" s="3" t="s">
        <v>632</v>
      </c>
      <c r="T10" s="3" t="s">
        <v>632</v>
      </c>
      <c r="U10" s="3"/>
    </row>
    <row r="11" spans="1:21" x14ac:dyDescent="0.4">
      <c r="A11" s="11">
        <f t="shared" si="0"/>
        <v>7</v>
      </c>
      <c r="B11" s="3" t="s">
        <v>452</v>
      </c>
      <c r="C11" s="3" t="s">
        <v>694</v>
      </c>
      <c r="D11" s="3"/>
      <c r="E11" s="11" t="s">
        <v>20</v>
      </c>
      <c r="F11" s="11" t="s">
        <v>20</v>
      </c>
      <c r="G11" s="11" t="s">
        <v>20</v>
      </c>
      <c r="H11" s="3" t="s">
        <v>628</v>
      </c>
      <c r="I11" s="3" t="s">
        <v>629</v>
      </c>
      <c r="J11" s="3" t="s">
        <v>630</v>
      </c>
      <c r="K11" s="3" t="s">
        <v>631</v>
      </c>
      <c r="L11" s="3" t="s">
        <v>632</v>
      </c>
      <c r="M11" s="3" t="s">
        <v>632</v>
      </c>
      <c r="N11" s="3" t="s">
        <v>633</v>
      </c>
      <c r="O11" s="3" t="s">
        <v>632</v>
      </c>
      <c r="P11" s="3">
        <v>443</v>
      </c>
      <c r="Q11" s="3" t="s">
        <v>632</v>
      </c>
      <c r="R11" s="3" t="s">
        <v>632</v>
      </c>
      <c r="S11" s="3" t="s">
        <v>632</v>
      </c>
      <c r="T11" s="3" t="s">
        <v>632</v>
      </c>
      <c r="U11" s="3"/>
    </row>
    <row r="12" spans="1:21" x14ac:dyDescent="0.4">
      <c r="A12" s="11">
        <f t="shared" si="0"/>
        <v>8</v>
      </c>
      <c r="B12" s="3" t="s">
        <v>2066</v>
      </c>
      <c r="C12" s="3" t="s">
        <v>1918</v>
      </c>
      <c r="D12" s="3"/>
      <c r="E12" s="11" t="s">
        <v>20</v>
      </c>
      <c r="F12" s="11" t="s">
        <v>20</v>
      </c>
      <c r="G12" s="11" t="s">
        <v>20</v>
      </c>
      <c r="H12" s="3" t="s">
        <v>630</v>
      </c>
      <c r="I12" s="3" t="s">
        <v>629</v>
      </c>
      <c r="J12" s="3" t="s">
        <v>630</v>
      </c>
      <c r="K12" s="3" t="s">
        <v>631</v>
      </c>
      <c r="L12" s="3" t="s">
        <v>632</v>
      </c>
      <c r="M12" s="3" t="s">
        <v>632</v>
      </c>
      <c r="N12" s="3" t="s">
        <v>633</v>
      </c>
      <c r="O12" s="3" t="s">
        <v>632</v>
      </c>
      <c r="P12" s="3" t="s">
        <v>632</v>
      </c>
      <c r="Q12" s="3" t="s">
        <v>632</v>
      </c>
      <c r="R12" s="3" t="s">
        <v>632</v>
      </c>
      <c r="S12" s="3" t="s">
        <v>632</v>
      </c>
      <c r="T12" s="3" t="s">
        <v>632</v>
      </c>
      <c r="U12" s="3"/>
    </row>
    <row r="13" spans="1:21" x14ac:dyDescent="0.4">
      <c r="A13" s="11">
        <f t="shared" si="0"/>
        <v>9</v>
      </c>
      <c r="B13" s="3" t="s">
        <v>695</v>
      </c>
      <c r="C13" s="3" t="s">
        <v>646</v>
      </c>
      <c r="D13" s="3"/>
      <c r="E13" s="11" t="s">
        <v>20</v>
      </c>
      <c r="F13" s="11" t="s">
        <v>36</v>
      </c>
      <c r="G13" s="11" t="s">
        <v>36</v>
      </c>
      <c r="H13" s="3" t="s">
        <v>628</v>
      </c>
      <c r="I13" s="3" t="s">
        <v>629</v>
      </c>
      <c r="J13" s="3" t="s">
        <v>630</v>
      </c>
      <c r="K13" s="3" t="s">
        <v>631</v>
      </c>
      <c r="L13" s="3" t="s">
        <v>632</v>
      </c>
      <c r="M13" s="3" t="s">
        <v>1907</v>
      </c>
      <c r="N13" s="3" t="s">
        <v>634</v>
      </c>
      <c r="O13" s="3" t="s">
        <v>632</v>
      </c>
      <c r="P13" s="3">
        <v>5353</v>
      </c>
      <c r="Q13" s="3" t="s">
        <v>632</v>
      </c>
      <c r="R13" s="3" t="s">
        <v>632</v>
      </c>
      <c r="S13" s="3" t="s">
        <v>632</v>
      </c>
      <c r="T13" s="3" t="s">
        <v>632</v>
      </c>
      <c r="U13" s="3"/>
    </row>
    <row r="14" spans="1:21" x14ac:dyDescent="0.4">
      <c r="A14" s="11">
        <f t="shared" si="0"/>
        <v>10</v>
      </c>
      <c r="B14" s="3" t="s">
        <v>695</v>
      </c>
      <c r="C14" s="3" t="s">
        <v>646</v>
      </c>
      <c r="D14" s="3"/>
      <c r="E14" s="11" t="s">
        <v>36</v>
      </c>
      <c r="F14" s="11" t="s">
        <v>36</v>
      </c>
      <c r="G14" s="11" t="s">
        <v>20</v>
      </c>
      <c r="H14" s="3" t="s">
        <v>628</v>
      </c>
      <c r="I14" s="3" t="s">
        <v>629</v>
      </c>
      <c r="J14" s="3" t="s">
        <v>630</v>
      </c>
      <c r="K14" s="3" t="s">
        <v>631</v>
      </c>
      <c r="L14" s="3" t="s">
        <v>632</v>
      </c>
      <c r="M14" s="3" t="s">
        <v>1907</v>
      </c>
      <c r="N14" s="3" t="s">
        <v>634</v>
      </c>
      <c r="O14" s="3" t="s">
        <v>632</v>
      </c>
      <c r="P14" s="3">
        <v>5353</v>
      </c>
      <c r="Q14" s="3" t="s">
        <v>632</v>
      </c>
      <c r="R14" s="3" t="s">
        <v>632</v>
      </c>
      <c r="S14" s="3" t="s">
        <v>632</v>
      </c>
      <c r="T14" s="3" t="s">
        <v>632</v>
      </c>
      <c r="U14" s="3"/>
    </row>
    <row r="15" spans="1:21" x14ac:dyDescent="0.4">
      <c r="A15" s="11">
        <f t="shared" si="0"/>
        <v>11</v>
      </c>
      <c r="B15" s="3" t="s">
        <v>695</v>
      </c>
      <c r="C15" s="3" t="s">
        <v>646</v>
      </c>
      <c r="D15" s="3"/>
      <c r="E15" s="11" t="s">
        <v>36</v>
      </c>
      <c r="F15" s="11" t="s">
        <v>20</v>
      </c>
      <c r="G15" s="11" t="s">
        <v>36</v>
      </c>
      <c r="H15" s="3" t="s">
        <v>628</v>
      </c>
      <c r="I15" s="3" t="s">
        <v>629</v>
      </c>
      <c r="J15" s="3" t="s">
        <v>630</v>
      </c>
      <c r="K15" s="3" t="s">
        <v>631</v>
      </c>
      <c r="L15" s="3" t="s">
        <v>632</v>
      </c>
      <c r="M15" s="3" t="s">
        <v>632</v>
      </c>
      <c r="N15" s="3" t="s">
        <v>634</v>
      </c>
      <c r="O15" s="3" t="s">
        <v>632</v>
      </c>
      <c r="P15" s="3">
        <v>5353</v>
      </c>
      <c r="Q15" s="3" t="s">
        <v>632</v>
      </c>
      <c r="R15" s="3" t="s">
        <v>632</v>
      </c>
      <c r="S15" s="3" t="s">
        <v>632</v>
      </c>
      <c r="T15" s="3" t="s">
        <v>632</v>
      </c>
      <c r="U15" s="3"/>
    </row>
    <row r="16" spans="1:21" x14ac:dyDescent="0.4">
      <c r="A16" s="11">
        <f t="shared" si="0"/>
        <v>12</v>
      </c>
      <c r="B16" s="3" t="s">
        <v>2067</v>
      </c>
      <c r="C16" s="3" t="s">
        <v>1922</v>
      </c>
      <c r="D16" s="3"/>
      <c r="E16" s="11" t="s">
        <v>20</v>
      </c>
      <c r="F16" s="11" t="s">
        <v>20</v>
      </c>
      <c r="G16" s="11" t="s">
        <v>20</v>
      </c>
      <c r="H16" s="3" t="s">
        <v>628</v>
      </c>
      <c r="I16" s="3" t="s">
        <v>629</v>
      </c>
      <c r="J16" s="3" t="s">
        <v>630</v>
      </c>
      <c r="K16" s="3" t="s">
        <v>631</v>
      </c>
      <c r="L16" s="3" t="s">
        <v>632</v>
      </c>
      <c r="M16" s="3" t="s">
        <v>1907</v>
      </c>
      <c r="N16" s="3" t="s">
        <v>633</v>
      </c>
      <c r="O16" s="3" t="s">
        <v>632</v>
      </c>
      <c r="P16" s="3" t="s">
        <v>1923</v>
      </c>
      <c r="Q16" s="3" t="s">
        <v>632</v>
      </c>
      <c r="R16" s="3" t="s">
        <v>632</v>
      </c>
      <c r="S16" s="3" t="s">
        <v>632</v>
      </c>
      <c r="T16" s="3" t="s">
        <v>632</v>
      </c>
      <c r="U16" s="3"/>
    </row>
    <row r="17" spans="1:21" x14ac:dyDescent="0.4">
      <c r="A17" s="11">
        <f t="shared" si="0"/>
        <v>13</v>
      </c>
      <c r="B17" s="3" t="s">
        <v>2068</v>
      </c>
      <c r="C17" s="3" t="s">
        <v>1930</v>
      </c>
      <c r="D17" s="3"/>
      <c r="E17" s="11" t="s">
        <v>20</v>
      </c>
      <c r="F17" s="11" t="s">
        <v>20</v>
      </c>
      <c r="G17" s="11" t="s">
        <v>20</v>
      </c>
      <c r="H17" s="3" t="s">
        <v>630</v>
      </c>
      <c r="I17" s="3" t="s">
        <v>629</v>
      </c>
      <c r="J17" s="3" t="s">
        <v>630</v>
      </c>
      <c r="K17" s="3" t="s">
        <v>644</v>
      </c>
      <c r="L17" s="3" t="s">
        <v>632</v>
      </c>
      <c r="M17" s="3" t="s">
        <v>632</v>
      </c>
      <c r="N17" s="3" t="s">
        <v>634</v>
      </c>
      <c r="O17" s="3" t="s">
        <v>632</v>
      </c>
      <c r="P17" s="3">
        <v>443</v>
      </c>
      <c r="Q17" s="3" t="s">
        <v>632</v>
      </c>
      <c r="R17" s="3" t="s">
        <v>632</v>
      </c>
      <c r="S17" s="3" t="s">
        <v>632</v>
      </c>
      <c r="T17" s="3" t="s">
        <v>632</v>
      </c>
      <c r="U17" s="3"/>
    </row>
    <row r="18" spans="1:21" x14ac:dyDescent="0.4">
      <c r="A18" s="11">
        <f t="shared" si="0"/>
        <v>14</v>
      </c>
      <c r="B18" s="3" t="s">
        <v>2069</v>
      </c>
      <c r="C18" s="3" t="s">
        <v>1935</v>
      </c>
      <c r="D18" s="3"/>
      <c r="E18" s="11" t="s">
        <v>20</v>
      </c>
      <c r="F18" s="11" t="s">
        <v>36</v>
      </c>
      <c r="G18" s="11" t="s">
        <v>20</v>
      </c>
      <c r="H18" s="3" t="s">
        <v>630</v>
      </c>
      <c r="I18" s="3" t="s">
        <v>629</v>
      </c>
      <c r="J18" s="3" t="s">
        <v>630</v>
      </c>
      <c r="K18" s="3" t="s">
        <v>651</v>
      </c>
      <c r="L18" s="3" t="s">
        <v>632</v>
      </c>
      <c r="M18" s="3" t="s">
        <v>1907</v>
      </c>
      <c r="N18" s="3" t="s">
        <v>633</v>
      </c>
      <c r="O18" s="3" t="s">
        <v>632</v>
      </c>
      <c r="P18" s="3" t="s">
        <v>632</v>
      </c>
      <c r="Q18" s="3" t="s">
        <v>632</v>
      </c>
      <c r="R18" s="3" t="s">
        <v>632</v>
      </c>
      <c r="S18" s="3" t="s">
        <v>632</v>
      </c>
      <c r="T18" s="3" t="s">
        <v>632</v>
      </c>
      <c r="U18" s="3"/>
    </row>
    <row r="19" spans="1:21" x14ac:dyDescent="0.4">
      <c r="A19" s="11">
        <f t="shared" si="0"/>
        <v>15</v>
      </c>
      <c r="B19" s="3" t="s">
        <v>2069</v>
      </c>
      <c r="C19" s="3" t="s">
        <v>1935</v>
      </c>
      <c r="D19" s="3"/>
      <c r="E19" s="11" t="s">
        <v>36</v>
      </c>
      <c r="F19" s="11" t="s">
        <v>20</v>
      </c>
      <c r="G19" s="11" t="s">
        <v>36</v>
      </c>
      <c r="H19" s="3" t="s">
        <v>630</v>
      </c>
      <c r="I19" s="3" t="s">
        <v>629</v>
      </c>
      <c r="J19" s="3" t="s">
        <v>630</v>
      </c>
      <c r="K19" s="3" t="s">
        <v>651</v>
      </c>
      <c r="L19" s="3" t="s">
        <v>632</v>
      </c>
      <c r="M19" s="3" t="s">
        <v>632</v>
      </c>
      <c r="N19" s="3" t="s">
        <v>633</v>
      </c>
      <c r="O19" s="3" t="s">
        <v>632</v>
      </c>
      <c r="P19" s="3" t="s">
        <v>632</v>
      </c>
      <c r="Q19" s="3" t="s">
        <v>632</v>
      </c>
      <c r="R19" s="3" t="s">
        <v>632</v>
      </c>
      <c r="S19" s="3" t="s">
        <v>632</v>
      </c>
      <c r="T19" s="3" t="s">
        <v>632</v>
      </c>
      <c r="U19" s="3"/>
    </row>
    <row r="20" spans="1:21" x14ac:dyDescent="0.4">
      <c r="A20" s="11">
        <f t="shared" si="0"/>
        <v>16</v>
      </c>
      <c r="B20" s="3" t="s">
        <v>2070</v>
      </c>
      <c r="C20" s="3" t="s">
        <v>2070</v>
      </c>
      <c r="D20" s="3"/>
      <c r="E20" s="11" t="s">
        <v>20</v>
      </c>
      <c r="F20" s="11" t="s">
        <v>20</v>
      </c>
      <c r="G20" s="11" t="s">
        <v>20</v>
      </c>
      <c r="H20" s="3" t="s">
        <v>628</v>
      </c>
      <c r="I20" s="3" t="s">
        <v>629</v>
      </c>
      <c r="J20" s="3" t="s">
        <v>630</v>
      </c>
      <c r="K20" s="3" t="s">
        <v>632</v>
      </c>
      <c r="L20" s="3" t="s">
        <v>632</v>
      </c>
      <c r="M20" s="3" t="s">
        <v>632</v>
      </c>
      <c r="N20" s="3" t="s">
        <v>632</v>
      </c>
      <c r="O20" s="3" t="s">
        <v>632</v>
      </c>
      <c r="P20" s="3" t="s">
        <v>632</v>
      </c>
      <c r="Q20" s="3" t="s">
        <v>632</v>
      </c>
      <c r="R20" s="3" t="s">
        <v>632</v>
      </c>
      <c r="S20" s="3" t="s">
        <v>1950</v>
      </c>
      <c r="T20" s="3" t="s">
        <v>2071</v>
      </c>
      <c r="U20" s="3"/>
    </row>
    <row r="21" spans="1:21" x14ac:dyDescent="0.4">
      <c r="A21" s="11">
        <f t="shared" si="0"/>
        <v>17</v>
      </c>
      <c r="B21" s="3" t="s">
        <v>2072</v>
      </c>
      <c r="C21" s="3" t="s">
        <v>2072</v>
      </c>
      <c r="D21" s="3"/>
      <c r="E21" s="11" t="s">
        <v>20</v>
      </c>
      <c r="F21" s="11" t="s">
        <v>20</v>
      </c>
      <c r="G21" s="11" t="s">
        <v>20</v>
      </c>
      <c r="H21" s="3" t="s">
        <v>628</v>
      </c>
      <c r="I21" s="3" t="s">
        <v>629</v>
      </c>
      <c r="J21" s="3" t="s">
        <v>630</v>
      </c>
      <c r="K21" s="3" t="s">
        <v>632</v>
      </c>
      <c r="L21" s="3" t="s">
        <v>632</v>
      </c>
      <c r="M21" s="3" t="s">
        <v>632</v>
      </c>
      <c r="N21" s="3" t="s">
        <v>632</v>
      </c>
      <c r="O21" s="3" t="s">
        <v>632</v>
      </c>
      <c r="P21" s="3" t="s">
        <v>632</v>
      </c>
      <c r="Q21" s="3" t="s">
        <v>632</v>
      </c>
      <c r="R21" s="3" t="s">
        <v>632</v>
      </c>
      <c r="S21" s="3" t="s">
        <v>1950</v>
      </c>
      <c r="T21" s="3" t="s">
        <v>2073</v>
      </c>
      <c r="U21" s="3"/>
    </row>
    <row r="22" spans="1:21" x14ac:dyDescent="0.4">
      <c r="A22" s="11">
        <f t="shared" si="0"/>
        <v>18</v>
      </c>
      <c r="B22" s="3" t="s">
        <v>696</v>
      </c>
      <c r="C22" s="3" t="s">
        <v>653</v>
      </c>
      <c r="D22" s="3"/>
      <c r="E22" s="11" t="s">
        <v>20</v>
      </c>
      <c r="F22" s="11" t="s">
        <v>20</v>
      </c>
      <c r="G22" s="11" t="s">
        <v>20</v>
      </c>
      <c r="H22" s="3" t="s">
        <v>630</v>
      </c>
      <c r="I22" s="3" t="s">
        <v>629</v>
      </c>
      <c r="J22" s="3" t="s">
        <v>630</v>
      </c>
      <c r="K22" s="3" t="s">
        <v>631</v>
      </c>
      <c r="L22" s="3" t="s">
        <v>632</v>
      </c>
      <c r="M22" s="3" t="s">
        <v>632</v>
      </c>
      <c r="N22" s="3" t="s">
        <v>633</v>
      </c>
      <c r="O22" s="3" t="s">
        <v>632</v>
      </c>
      <c r="P22" s="3" t="s">
        <v>632</v>
      </c>
      <c r="Q22" s="3" t="s">
        <v>632</v>
      </c>
      <c r="R22" s="3" t="s">
        <v>632</v>
      </c>
      <c r="S22" s="3" t="s">
        <v>632</v>
      </c>
      <c r="T22" s="3" t="s">
        <v>632</v>
      </c>
      <c r="U22" s="3"/>
    </row>
    <row r="23" spans="1:21" x14ac:dyDescent="0.4">
      <c r="A23" s="11">
        <f t="shared" si="0"/>
        <v>19</v>
      </c>
      <c r="B23" s="3" t="s">
        <v>697</v>
      </c>
      <c r="C23" s="3" t="s">
        <v>658</v>
      </c>
      <c r="D23" s="3"/>
      <c r="E23" s="11" t="s">
        <v>20</v>
      </c>
      <c r="F23" s="11" t="s">
        <v>20</v>
      </c>
      <c r="G23" s="11" t="s">
        <v>20</v>
      </c>
      <c r="H23" s="3" t="s">
        <v>630</v>
      </c>
      <c r="I23" s="3" t="s">
        <v>629</v>
      </c>
      <c r="J23" s="3" t="s">
        <v>630</v>
      </c>
      <c r="K23" s="3" t="s">
        <v>659</v>
      </c>
      <c r="L23" s="3" t="s">
        <v>632</v>
      </c>
      <c r="M23" s="3" t="s">
        <v>632</v>
      </c>
      <c r="N23" s="3" t="s">
        <v>633</v>
      </c>
      <c r="O23" s="3" t="s">
        <v>632</v>
      </c>
      <c r="P23" s="3" t="s">
        <v>632</v>
      </c>
      <c r="Q23" s="3" t="s">
        <v>632</v>
      </c>
      <c r="R23" s="3" t="s">
        <v>632</v>
      </c>
      <c r="S23" s="3" t="s">
        <v>632</v>
      </c>
      <c r="T23" s="3" t="s">
        <v>632</v>
      </c>
      <c r="U23" s="3"/>
    </row>
    <row r="24" spans="1:21" x14ac:dyDescent="0.4">
      <c r="A24" s="11">
        <f t="shared" si="0"/>
        <v>20</v>
      </c>
      <c r="B24" s="3" t="s">
        <v>698</v>
      </c>
      <c r="C24" s="3" t="s">
        <v>658</v>
      </c>
      <c r="D24" s="3"/>
      <c r="E24" s="11" t="s">
        <v>20</v>
      </c>
      <c r="F24" s="11" t="s">
        <v>20</v>
      </c>
      <c r="G24" s="11" t="s">
        <v>20</v>
      </c>
      <c r="H24" s="3" t="s">
        <v>630</v>
      </c>
      <c r="I24" s="3" t="s">
        <v>629</v>
      </c>
      <c r="J24" s="3" t="s">
        <v>630</v>
      </c>
      <c r="K24" s="3" t="s">
        <v>659</v>
      </c>
      <c r="L24" s="3" t="s">
        <v>632</v>
      </c>
      <c r="M24" s="3" t="s">
        <v>632</v>
      </c>
      <c r="N24" s="3" t="s">
        <v>634</v>
      </c>
      <c r="O24" s="3" t="s">
        <v>632</v>
      </c>
      <c r="P24" s="3" t="s">
        <v>632</v>
      </c>
      <c r="Q24" s="3" t="s">
        <v>632</v>
      </c>
      <c r="R24" s="3" t="s">
        <v>632</v>
      </c>
      <c r="S24" s="3" t="s">
        <v>632</v>
      </c>
      <c r="T24" s="3" t="s">
        <v>632</v>
      </c>
      <c r="U24" s="3"/>
    </row>
    <row r="25" spans="1:21" x14ac:dyDescent="0.4">
      <c r="A25" s="11">
        <f t="shared" si="0"/>
        <v>21</v>
      </c>
      <c r="B25" s="3" t="s">
        <v>699</v>
      </c>
      <c r="C25" s="3" t="s">
        <v>658</v>
      </c>
      <c r="D25" s="3"/>
      <c r="E25" s="11" t="s">
        <v>20</v>
      </c>
      <c r="F25" s="11" t="s">
        <v>20</v>
      </c>
      <c r="G25" s="11" t="s">
        <v>20</v>
      </c>
      <c r="H25" s="3" t="s">
        <v>630</v>
      </c>
      <c r="I25" s="3" t="s">
        <v>629</v>
      </c>
      <c r="J25" s="3" t="s">
        <v>630</v>
      </c>
      <c r="K25" s="3" t="s">
        <v>661</v>
      </c>
      <c r="L25" s="3" t="s">
        <v>632</v>
      </c>
      <c r="M25" s="3" t="s">
        <v>632</v>
      </c>
      <c r="N25" s="3" t="s">
        <v>633</v>
      </c>
      <c r="O25" s="3" t="s">
        <v>632</v>
      </c>
      <c r="P25" s="3" t="s">
        <v>632</v>
      </c>
      <c r="Q25" s="3" t="s">
        <v>632</v>
      </c>
      <c r="R25" s="3" t="s">
        <v>632</v>
      </c>
      <c r="S25" s="3" t="s">
        <v>632</v>
      </c>
      <c r="T25" s="3" t="s">
        <v>632</v>
      </c>
      <c r="U25" s="3"/>
    </row>
    <row r="26" spans="1:21" x14ac:dyDescent="0.4">
      <c r="A26" s="11">
        <f t="shared" si="0"/>
        <v>22</v>
      </c>
      <c r="B26" s="3" t="s">
        <v>700</v>
      </c>
      <c r="C26" s="3" t="s">
        <v>658</v>
      </c>
      <c r="D26" s="3"/>
      <c r="E26" s="11" t="s">
        <v>20</v>
      </c>
      <c r="F26" s="11" t="s">
        <v>20</v>
      </c>
      <c r="G26" s="11" t="s">
        <v>20</v>
      </c>
      <c r="H26" s="3" t="s">
        <v>630</v>
      </c>
      <c r="I26" s="3" t="s">
        <v>629</v>
      </c>
      <c r="J26" s="3" t="s">
        <v>630</v>
      </c>
      <c r="K26" s="3" t="s">
        <v>661</v>
      </c>
      <c r="L26" s="3" t="s">
        <v>632</v>
      </c>
      <c r="M26" s="3" t="s">
        <v>632</v>
      </c>
      <c r="N26" s="3" t="s">
        <v>634</v>
      </c>
      <c r="O26" s="3" t="s">
        <v>632</v>
      </c>
      <c r="P26" s="3" t="s">
        <v>632</v>
      </c>
      <c r="Q26" s="3" t="s">
        <v>632</v>
      </c>
      <c r="R26" s="3" t="s">
        <v>632</v>
      </c>
      <c r="S26" s="3" t="s">
        <v>632</v>
      </c>
      <c r="T26" s="3" t="s">
        <v>632</v>
      </c>
      <c r="U26" s="3"/>
    </row>
    <row r="27" spans="1:21" x14ac:dyDescent="0.4">
      <c r="A27" s="11">
        <f t="shared" si="0"/>
        <v>23</v>
      </c>
      <c r="B27" s="3" t="s">
        <v>2074</v>
      </c>
      <c r="C27" s="3" t="s">
        <v>1942</v>
      </c>
      <c r="D27" s="3"/>
      <c r="E27" s="11" t="s">
        <v>20</v>
      </c>
      <c r="F27" s="3"/>
      <c r="G27" s="11" t="s">
        <v>20</v>
      </c>
      <c r="H27" s="3" t="s">
        <v>630</v>
      </c>
      <c r="I27" s="3" t="s">
        <v>629</v>
      </c>
      <c r="J27" s="3" t="s">
        <v>630</v>
      </c>
      <c r="K27" s="3" t="s">
        <v>644</v>
      </c>
      <c r="L27" s="3" t="s">
        <v>632</v>
      </c>
      <c r="M27" s="3" t="s">
        <v>1907</v>
      </c>
      <c r="N27" s="3" t="s">
        <v>633</v>
      </c>
      <c r="O27" s="3" t="s">
        <v>632</v>
      </c>
      <c r="P27" s="3">
        <v>10243</v>
      </c>
      <c r="Q27" s="3" t="s">
        <v>632</v>
      </c>
      <c r="R27" s="3" t="s">
        <v>632</v>
      </c>
      <c r="S27" s="3" t="s">
        <v>632</v>
      </c>
      <c r="T27" s="3" t="s">
        <v>632</v>
      </c>
      <c r="U27" s="3"/>
    </row>
    <row r="28" spans="1:21" x14ac:dyDescent="0.4">
      <c r="A28" s="11">
        <f t="shared" si="0"/>
        <v>24</v>
      </c>
      <c r="B28" s="3" t="s">
        <v>2074</v>
      </c>
      <c r="C28" s="3" t="s">
        <v>1942</v>
      </c>
      <c r="D28" s="3"/>
      <c r="E28" s="3"/>
      <c r="F28" s="11" t="s">
        <v>20</v>
      </c>
      <c r="G28" s="11" t="s">
        <v>36</v>
      </c>
      <c r="H28" s="3" t="s">
        <v>630</v>
      </c>
      <c r="I28" s="3" t="s">
        <v>629</v>
      </c>
      <c r="J28" s="3" t="s">
        <v>630</v>
      </c>
      <c r="K28" s="3" t="s">
        <v>644</v>
      </c>
      <c r="L28" s="3" t="s">
        <v>632</v>
      </c>
      <c r="M28" s="3" t="s">
        <v>632</v>
      </c>
      <c r="N28" s="3" t="s">
        <v>633</v>
      </c>
      <c r="O28" s="3" t="s">
        <v>632</v>
      </c>
      <c r="P28" s="3">
        <v>10243</v>
      </c>
      <c r="Q28" s="3" t="s">
        <v>632</v>
      </c>
      <c r="R28" s="3" t="s">
        <v>632</v>
      </c>
      <c r="S28" s="3" t="s">
        <v>632</v>
      </c>
      <c r="T28" s="3" t="s">
        <v>632</v>
      </c>
      <c r="U28" s="3"/>
    </row>
    <row r="29" spans="1:21" x14ac:dyDescent="0.4">
      <c r="A29" s="11">
        <f t="shared" si="0"/>
        <v>25</v>
      </c>
      <c r="B29" s="3" t="s">
        <v>2075</v>
      </c>
      <c r="C29" s="3" t="s">
        <v>1942</v>
      </c>
      <c r="D29" s="3"/>
      <c r="E29" s="11" t="s">
        <v>20</v>
      </c>
      <c r="F29" s="3"/>
      <c r="G29" s="11" t="s">
        <v>20</v>
      </c>
      <c r="H29" s="3" t="s">
        <v>630</v>
      </c>
      <c r="I29" s="3" t="s">
        <v>629</v>
      </c>
      <c r="J29" s="3" t="s">
        <v>630</v>
      </c>
      <c r="K29" s="3" t="s">
        <v>631</v>
      </c>
      <c r="L29" s="3" t="s">
        <v>632</v>
      </c>
      <c r="M29" s="3" t="s">
        <v>1907</v>
      </c>
      <c r="N29" s="3" t="s">
        <v>633</v>
      </c>
      <c r="O29" s="3" t="s">
        <v>632</v>
      </c>
      <c r="P29" s="3">
        <v>2177</v>
      </c>
      <c r="Q29" s="3" t="s">
        <v>632</v>
      </c>
      <c r="R29" s="3" t="s">
        <v>632</v>
      </c>
      <c r="S29" s="3" t="s">
        <v>632</v>
      </c>
      <c r="T29" s="3" t="s">
        <v>632</v>
      </c>
      <c r="U29" s="3"/>
    </row>
    <row r="30" spans="1:21" x14ac:dyDescent="0.4">
      <c r="A30" s="11">
        <f t="shared" si="0"/>
        <v>26</v>
      </c>
      <c r="B30" s="3" t="s">
        <v>2075</v>
      </c>
      <c r="C30" s="3" t="s">
        <v>1942</v>
      </c>
      <c r="D30" s="3"/>
      <c r="E30" s="3"/>
      <c r="F30" s="11" t="s">
        <v>20</v>
      </c>
      <c r="G30" s="11" t="s">
        <v>36</v>
      </c>
      <c r="H30" s="3" t="s">
        <v>630</v>
      </c>
      <c r="I30" s="3" t="s">
        <v>629</v>
      </c>
      <c r="J30" s="3" t="s">
        <v>630</v>
      </c>
      <c r="K30" s="3" t="s">
        <v>631</v>
      </c>
      <c r="L30" s="3" t="s">
        <v>632</v>
      </c>
      <c r="M30" s="3" t="s">
        <v>632</v>
      </c>
      <c r="N30" s="3" t="s">
        <v>633</v>
      </c>
      <c r="O30" s="3" t="s">
        <v>632</v>
      </c>
      <c r="P30" s="3">
        <v>2177</v>
      </c>
      <c r="Q30" s="3" t="s">
        <v>632</v>
      </c>
      <c r="R30" s="3" t="s">
        <v>632</v>
      </c>
      <c r="S30" s="3" t="s">
        <v>632</v>
      </c>
      <c r="T30" s="3" t="s">
        <v>632</v>
      </c>
      <c r="U30" s="3"/>
    </row>
    <row r="31" spans="1:21" x14ac:dyDescent="0.4">
      <c r="A31" s="11">
        <f t="shared" si="0"/>
        <v>27</v>
      </c>
      <c r="B31" s="3" t="s">
        <v>2076</v>
      </c>
      <c r="C31" s="3" t="s">
        <v>1942</v>
      </c>
      <c r="D31" s="3"/>
      <c r="E31" s="11" t="s">
        <v>20</v>
      </c>
      <c r="F31" s="3"/>
      <c r="G31" s="11" t="s">
        <v>20</v>
      </c>
      <c r="H31" s="3" t="s">
        <v>630</v>
      </c>
      <c r="I31" s="3" t="s">
        <v>629</v>
      </c>
      <c r="J31" s="3" t="s">
        <v>630</v>
      </c>
      <c r="K31" s="3" t="s">
        <v>631</v>
      </c>
      <c r="L31" s="3" t="s">
        <v>632</v>
      </c>
      <c r="M31" s="3" t="s">
        <v>1907</v>
      </c>
      <c r="N31" s="3" t="s">
        <v>634</v>
      </c>
      <c r="O31" s="3" t="s">
        <v>632</v>
      </c>
      <c r="P31" s="3">
        <v>2177</v>
      </c>
      <c r="Q31" s="3" t="s">
        <v>632</v>
      </c>
      <c r="R31" s="3" t="s">
        <v>632</v>
      </c>
      <c r="S31" s="3" t="s">
        <v>632</v>
      </c>
      <c r="T31" s="3" t="s">
        <v>632</v>
      </c>
      <c r="U31" s="3"/>
    </row>
    <row r="32" spans="1:21" x14ac:dyDescent="0.4">
      <c r="A32" s="11">
        <f t="shared" si="0"/>
        <v>28</v>
      </c>
      <c r="B32" s="3" t="s">
        <v>2076</v>
      </c>
      <c r="C32" s="3" t="s">
        <v>1942</v>
      </c>
      <c r="D32" s="3"/>
      <c r="E32" s="3"/>
      <c r="F32" s="11" t="s">
        <v>20</v>
      </c>
      <c r="G32" s="11" t="s">
        <v>36</v>
      </c>
      <c r="H32" s="3" t="s">
        <v>630</v>
      </c>
      <c r="I32" s="3" t="s">
        <v>629</v>
      </c>
      <c r="J32" s="3" t="s">
        <v>630</v>
      </c>
      <c r="K32" s="3" t="s">
        <v>631</v>
      </c>
      <c r="L32" s="3" t="s">
        <v>632</v>
      </c>
      <c r="M32" s="3" t="s">
        <v>632</v>
      </c>
      <c r="N32" s="3" t="s">
        <v>634</v>
      </c>
      <c r="O32" s="3" t="s">
        <v>632</v>
      </c>
      <c r="P32" s="3">
        <v>2177</v>
      </c>
      <c r="Q32" s="3" t="s">
        <v>632</v>
      </c>
      <c r="R32" s="3" t="s">
        <v>632</v>
      </c>
      <c r="S32" s="3" t="s">
        <v>632</v>
      </c>
      <c r="T32" s="3" t="s">
        <v>632</v>
      </c>
      <c r="U32" s="3"/>
    </row>
    <row r="33" spans="1:21" x14ac:dyDescent="0.4">
      <c r="A33" s="11">
        <f t="shared" si="0"/>
        <v>29</v>
      </c>
      <c r="B33" s="3" t="s">
        <v>2077</v>
      </c>
      <c r="C33" s="3" t="s">
        <v>1942</v>
      </c>
      <c r="D33" s="3"/>
      <c r="E33" s="11" t="s">
        <v>20</v>
      </c>
      <c r="F33" s="11" t="s">
        <v>20</v>
      </c>
      <c r="G33" s="11" t="s">
        <v>20</v>
      </c>
      <c r="H33" s="3" t="s">
        <v>630</v>
      </c>
      <c r="I33" s="3" t="s">
        <v>629</v>
      </c>
      <c r="J33" s="3" t="s">
        <v>630</v>
      </c>
      <c r="K33" s="3" t="s">
        <v>631</v>
      </c>
      <c r="L33" s="3" t="s">
        <v>632</v>
      </c>
      <c r="M33" s="3" t="s">
        <v>1907</v>
      </c>
      <c r="N33" s="3" t="s">
        <v>634</v>
      </c>
      <c r="O33" s="3" t="s">
        <v>632</v>
      </c>
      <c r="P33" s="3">
        <v>1900</v>
      </c>
      <c r="Q33" s="3" t="s">
        <v>632</v>
      </c>
      <c r="R33" s="3" t="s">
        <v>632</v>
      </c>
      <c r="S33" s="3" t="s">
        <v>632</v>
      </c>
      <c r="T33" s="3" t="s">
        <v>632</v>
      </c>
      <c r="U33" s="3"/>
    </row>
    <row r="34" spans="1:21" x14ac:dyDescent="0.4">
      <c r="A34" s="11">
        <f t="shared" si="0"/>
        <v>30</v>
      </c>
      <c r="B34" s="3" t="s">
        <v>2078</v>
      </c>
      <c r="C34" s="3" t="s">
        <v>1942</v>
      </c>
      <c r="D34" s="3"/>
      <c r="E34" s="11" t="s">
        <v>20</v>
      </c>
      <c r="F34" s="3"/>
      <c r="G34" s="11" t="s">
        <v>20</v>
      </c>
      <c r="H34" s="3" t="s">
        <v>630</v>
      </c>
      <c r="I34" s="3" t="s">
        <v>629</v>
      </c>
      <c r="J34" s="3" t="s">
        <v>630</v>
      </c>
      <c r="K34" s="3" t="s">
        <v>662</v>
      </c>
      <c r="L34" s="3" t="s">
        <v>632</v>
      </c>
      <c r="M34" s="3" t="s">
        <v>1907</v>
      </c>
      <c r="N34" s="3" t="s">
        <v>633</v>
      </c>
      <c r="O34" s="3" t="s">
        <v>632</v>
      </c>
      <c r="P34" s="3" t="s">
        <v>632</v>
      </c>
      <c r="Q34" s="3" t="s">
        <v>632</v>
      </c>
      <c r="R34" s="3" t="s">
        <v>632</v>
      </c>
      <c r="S34" s="3" t="s">
        <v>632</v>
      </c>
      <c r="T34" s="3" t="s">
        <v>632</v>
      </c>
      <c r="U34" s="3"/>
    </row>
    <row r="35" spans="1:21" x14ac:dyDescent="0.4">
      <c r="A35" s="11">
        <f t="shared" si="0"/>
        <v>31</v>
      </c>
      <c r="B35" s="3" t="s">
        <v>2078</v>
      </c>
      <c r="C35" s="3" t="s">
        <v>1942</v>
      </c>
      <c r="D35" s="3"/>
      <c r="E35" s="3"/>
      <c r="F35" s="11" t="s">
        <v>20</v>
      </c>
      <c r="G35" s="11" t="s">
        <v>36</v>
      </c>
      <c r="H35" s="3" t="s">
        <v>630</v>
      </c>
      <c r="I35" s="3" t="s">
        <v>629</v>
      </c>
      <c r="J35" s="3" t="s">
        <v>630</v>
      </c>
      <c r="K35" s="3" t="s">
        <v>662</v>
      </c>
      <c r="L35" s="3" t="s">
        <v>632</v>
      </c>
      <c r="M35" s="3" t="s">
        <v>632</v>
      </c>
      <c r="N35" s="3" t="s">
        <v>633</v>
      </c>
      <c r="O35" s="3" t="s">
        <v>632</v>
      </c>
      <c r="P35" s="3" t="s">
        <v>632</v>
      </c>
      <c r="Q35" s="3" t="s">
        <v>632</v>
      </c>
      <c r="R35" s="3" t="s">
        <v>632</v>
      </c>
      <c r="S35" s="3" t="s">
        <v>632</v>
      </c>
      <c r="T35" s="3" t="s">
        <v>632</v>
      </c>
      <c r="U35" s="3"/>
    </row>
    <row r="36" spans="1:21" x14ac:dyDescent="0.4">
      <c r="A36" s="11">
        <f t="shared" si="0"/>
        <v>32</v>
      </c>
      <c r="B36" s="3" t="s">
        <v>2079</v>
      </c>
      <c r="C36" s="3" t="s">
        <v>1942</v>
      </c>
      <c r="D36" s="3"/>
      <c r="E36" s="11" t="s">
        <v>20</v>
      </c>
      <c r="F36" s="3"/>
      <c r="G36" s="11" t="s">
        <v>20</v>
      </c>
      <c r="H36" s="3" t="s">
        <v>630</v>
      </c>
      <c r="I36" s="3" t="s">
        <v>629</v>
      </c>
      <c r="J36" s="3" t="s">
        <v>630</v>
      </c>
      <c r="K36" s="3" t="s">
        <v>662</v>
      </c>
      <c r="L36" s="3" t="s">
        <v>632</v>
      </c>
      <c r="M36" s="3" t="s">
        <v>1907</v>
      </c>
      <c r="N36" s="3" t="s">
        <v>634</v>
      </c>
      <c r="O36" s="3" t="s">
        <v>632</v>
      </c>
      <c r="P36" s="3" t="s">
        <v>632</v>
      </c>
      <c r="Q36" s="3" t="s">
        <v>632</v>
      </c>
      <c r="R36" s="3" t="s">
        <v>632</v>
      </c>
      <c r="S36" s="3" t="s">
        <v>632</v>
      </c>
      <c r="T36" s="3" t="s">
        <v>632</v>
      </c>
      <c r="U36" s="3"/>
    </row>
    <row r="37" spans="1:21" x14ac:dyDescent="0.4">
      <c r="A37" s="11">
        <f t="shared" si="0"/>
        <v>33</v>
      </c>
      <c r="B37" s="3" t="s">
        <v>2079</v>
      </c>
      <c r="C37" s="3" t="s">
        <v>1942</v>
      </c>
      <c r="D37" s="3"/>
      <c r="E37" s="3"/>
      <c r="F37" s="11" t="s">
        <v>20</v>
      </c>
      <c r="G37" s="11" t="s">
        <v>36</v>
      </c>
      <c r="H37" s="3" t="s">
        <v>630</v>
      </c>
      <c r="I37" s="3" t="s">
        <v>629</v>
      </c>
      <c r="J37" s="3" t="s">
        <v>630</v>
      </c>
      <c r="K37" s="3" t="s">
        <v>662</v>
      </c>
      <c r="L37" s="3" t="s">
        <v>632</v>
      </c>
      <c r="M37" s="3" t="s">
        <v>632</v>
      </c>
      <c r="N37" s="3" t="s">
        <v>634</v>
      </c>
      <c r="O37" s="3" t="s">
        <v>632</v>
      </c>
      <c r="P37" s="3" t="s">
        <v>632</v>
      </c>
      <c r="Q37" s="3" t="s">
        <v>632</v>
      </c>
      <c r="R37" s="3" t="s">
        <v>632</v>
      </c>
      <c r="S37" s="3" t="s">
        <v>632</v>
      </c>
      <c r="T37" s="3" t="s">
        <v>632</v>
      </c>
      <c r="U37" s="3"/>
    </row>
    <row r="38" spans="1:21" x14ac:dyDescent="0.4">
      <c r="A38" s="11">
        <f t="shared" si="0"/>
        <v>34</v>
      </c>
      <c r="B38" s="3" t="s">
        <v>2080</v>
      </c>
      <c r="C38" s="3" t="s">
        <v>1942</v>
      </c>
      <c r="D38" s="3"/>
      <c r="E38" s="11" t="s">
        <v>20</v>
      </c>
      <c r="F38" s="11" t="s">
        <v>20</v>
      </c>
      <c r="G38" s="11" t="s">
        <v>20</v>
      </c>
      <c r="H38" s="3" t="s">
        <v>630</v>
      </c>
      <c r="I38" s="3" t="s">
        <v>629</v>
      </c>
      <c r="J38" s="3" t="s">
        <v>630</v>
      </c>
      <c r="K38" s="3" t="s">
        <v>644</v>
      </c>
      <c r="L38" s="3" t="s">
        <v>632</v>
      </c>
      <c r="M38" s="3" t="s">
        <v>1907</v>
      </c>
      <c r="N38" s="3" t="s">
        <v>633</v>
      </c>
      <c r="O38" s="3" t="s">
        <v>632</v>
      </c>
      <c r="P38" s="3" t="s">
        <v>632</v>
      </c>
      <c r="Q38" s="3" t="s">
        <v>632</v>
      </c>
      <c r="R38" s="3" t="s">
        <v>632</v>
      </c>
      <c r="S38" s="3" t="s">
        <v>632</v>
      </c>
      <c r="T38" s="3" t="s">
        <v>632</v>
      </c>
      <c r="U38" s="3"/>
    </row>
    <row r="39" spans="1:21" x14ac:dyDescent="0.4">
      <c r="A39" s="11">
        <f t="shared" si="0"/>
        <v>35</v>
      </c>
      <c r="B39" s="3" t="s">
        <v>2081</v>
      </c>
      <c r="C39" s="3" t="s">
        <v>1942</v>
      </c>
      <c r="D39" s="3"/>
      <c r="E39" s="11" t="s">
        <v>20</v>
      </c>
      <c r="F39" s="11" t="s">
        <v>20</v>
      </c>
      <c r="G39" s="11" t="s">
        <v>20</v>
      </c>
      <c r="H39" s="3" t="s">
        <v>630</v>
      </c>
      <c r="I39" s="3" t="s">
        <v>629</v>
      </c>
      <c r="J39" s="3" t="s">
        <v>630</v>
      </c>
      <c r="K39" s="3" t="s">
        <v>631</v>
      </c>
      <c r="L39" s="3" t="s">
        <v>632</v>
      </c>
      <c r="M39" s="3" t="s">
        <v>1907</v>
      </c>
      <c r="N39" s="3" t="s">
        <v>633</v>
      </c>
      <c r="O39" s="3" t="s">
        <v>632</v>
      </c>
      <c r="P39" s="3" t="s">
        <v>632</v>
      </c>
      <c r="Q39" s="3" t="s">
        <v>632</v>
      </c>
      <c r="R39" s="3" t="s">
        <v>632</v>
      </c>
      <c r="S39" s="3" t="s">
        <v>632</v>
      </c>
      <c r="T39" s="3" t="s">
        <v>632</v>
      </c>
      <c r="U39" s="3"/>
    </row>
    <row r="40" spans="1:21" x14ac:dyDescent="0.4">
      <c r="A40" s="11">
        <f t="shared" si="0"/>
        <v>36</v>
      </c>
      <c r="B40" s="3" t="s">
        <v>2082</v>
      </c>
      <c r="C40" s="3" t="s">
        <v>1942</v>
      </c>
      <c r="D40" s="3"/>
      <c r="E40" s="3"/>
      <c r="F40" s="11" t="s">
        <v>20</v>
      </c>
      <c r="G40" s="11" t="s">
        <v>36</v>
      </c>
      <c r="H40" s="3" t="s">
        <v>630</v>
      </c>
      <c r="I40" s="3" t="s">
        <v>629</v>
      </c>
      <c r="J40" s="3" t="s">
        <v>630</v>
      </c>
      <c r="K40" s="3" t="s">
        <v>663</v>
      </c>
      <c r="L40" s="3" t="s">
        <v>632</v>
      </c>
      <c r="M40" s="3" t="s">
        <v>632</v>
      </c>
      <c r="N40" s="3" t="s">
        <v>633</v>
      </c>
      <c r="O40" s="3" t="s">
        <v>632</v>
      </c>
      <c r="P40" s="3" t="s">
        <v>632</v>
      </c>
      <c r="Q40" s="3" t="s">
        <v>632</v>
      </c>
      <c r="R40" s="3" t="s">
        <v>632</v>
      </c>
      <c r="S40" s="3" t="s">
        <v>632</v>
      </c>
      <c r="T40" s="3" t="s">
        <v>632</v>
      </c>
      <c r="U40" s="3"/>
    </row>
    <row r="41" spans="1:21" x14ac:dyDescent="0.4">
      <c r="A41" s="11">
        <f t="shared" si="0"/>
        <v>37</v>
      </c>
      <c r="B41" s="3" t="s">
        <v>2082</v>
      </c>
      <c r="C41" s="3" t="s">
        <v>1942</v>
      </c>
      <c r="D41" s="3"/>
      <c r="E41" s="11" t="s">
        <v>20</v>
      </c>
      <c r="F41" s="3"/>
      <c r="G41" s="11" t="s">
        <v>20</v>
      </c>
      <c r="H41" s="3" t="s">
        <v>630</v>
      </c>
      <c r="I41" s="3" t="s">
        <v>629</v>
      </c>
      <c r="J41" s="3" t="s">
        <v>630</v>
      </c>
      <c r="K41" s="3" t="s">
        <v>663</v>
      </c>
      <c r="L41" s="3" t="s">
        <v>632</v>
      </c>
      <c r="M41" s="3" t="s">
        <v>1907</v>
      </c>
      <c r="N41" s="3" t="s">
        <v>633</v>
      </c>
      <c r="O41" s="3" t="s">
        <v>632</v>
      </c>
      <c r="P41" s="3" t="s">
        <v>632</v>
      </c>
      <c r="Q41" s="3" t="s">
        <v>632</v>
      </c>
      <c r="R41" s="3" t="s">
        <v>632</v>
      </c>
      <c r="S41" s="3" t="s">
        <v>632</v>
      </c>
      <c r="T41" s="3" t="s">
        <v>632</v>
      </c>
      <c r="U41" s="3"/>
    </row>
    <row r="42" spans="1:21" x14ac:dyDescent="0.4">
      <c r="A42" s="11">
        <f t="shared" si="0"/>
        <v>38</v>
      </c>
      <c r="B42" s="3" t="s">
        <v>2083</v>
      </c>
      <c r="C42" s="3" t="s">
        <v>1942</v>
      </c>
      <c r="D42" s="3"/>
      <c r="E42" s="3"/>
      <c r="F42" s="11" t="s">
        <v>20</v>
      </c>
      <c r="G42" s="11" t="s">
        <v>36</v>
      </c>
      <c r="H42" s="3" t="s">
        <v>630</v>
      </c>
      <c r="I42" s="3" t="s">
        <v>629</v>
      </c>
      <c r="J42" s="3" t="s">
        <v>630</v>
      </c>
      <c r="K42" s="3" t="s">
        <v>663</v>
      </c>
      <c r="L42" s="3" t="s">
        <v>632</v>
      </c>
      <c r="M42" s="3" t="s">
        <v>632</v>
      </c>
      <c r="N42" s="3" t="s">
        <v>634</v>
      </c>
      <c r="O42" s="3" t="s">
        <v>632</v>
      </c>
      <c r="P42" s="3" t="s">
        <v>632</v>
      </c>
      <c r="Q42" s="3" t="s">
        <v>632</v>
      </c>
      <c r="R42" s="3" t="s">
        <v>632</v>
      </c>
      <c r="S42" s="3" t="s">
        <v>632</v>
      </c>
      <c r="T42" s="3" t="s">
        <v>632</v>
      </c>
      <c r="U42" s="3"/>
    </row>
    <row r="43" spans="1:21" x14ac:dyDescent="0.4">
      <c r="A43" s="11">
        <f t="shared" si="0"/>
        <v>39</v>
      </c>
      <c r="B43" s="3" t="s">
        <v>2083</v>
      </c>
      <c r="C43" s="3" t="s">
        <v>1942</v>
      </c>
      <c r="D43" s="3"/>
      <c r="E43" s="11" t="s">
        <v>20</v>
      </c>
      <c r="F43" s="3"/>
      <c r="G43" s="11" t="s">
        <v>20</v>
      </c>
      <c r="H43" s="3" t="s">
        <v>630</v>
      </c>
      <c r="I43" s="3" t="s">
        <v>629</v>
      </c>
      <c r="J43" s="3" t="s">
        <v>630</v>
      </c>
      <c r="K43" s="3" t="s">
        <v>663</v>
      </c>
      <c r="L43" s="3" t="s">
        <v>632</v>
      </c>
      <c r="M43" s="3" t="s">
        <v>1907</v>
      </c>
      <c r="N43" s="3" t="s">
        <v>634</v>
      </c>
      <c r="O43" s="3" t="s">
        <v>632</v>
      </c>
      <c r="P43" s="3" t="s">
        <v>632</v>
      </c>
      <c r="Q43" s="3" t="s">
        <v>632</v>
      </c>
      <c r="R43" s="3" t="s">
        <v>632</v>
      </c>
      <c r="S43" s="3" t="s">
        <v>632</v>
      </c>
      <c r="T43" s="3" t="s">
        <v>632</v>
      </c>
      <c r="U43" s="3"/>
    </row>
    <row r="44" spans="1:21" x14ac:dyDescent="0.4">
      <c r="A44" s="11">
        <f t="shared" si="0"/>
        <v>40</v>
      </c>
      <c r="B44" s="3" t="s">
        <v>605</v>
      </c>
      <c r="C44" s="3" t="s">
        <v>605</v>
      </c>
      <c r="D44" s="3"/>
      <c r="E44" s="11" t="s">
        <v>20</v>
      </c>
      <c r="F44" s="11" t="s">
        <v>20</v>
      </c>
      <c r="G44" s="11" t="s">
        <v>20</v>
      </c>
      <c r="H44" s="3" t="s">
        <v>628</v>
      </c>
      <c r="I44" s="3" t="s">
        <v>629</v>
      </c>
      <c r="J44" s="3" t="s">
        <v>630</v>
      </c>
      <c r="K44" s="3" t="s">
        <v>632</v>
      </c>
      <c r="L44" s="3" t="s">
        <v>632</v>
      </c>
      <c r="M44" s="3" t="s">
        <v>632</v>
      </c>
      <c r="N44" s="3" t="s">
        <v>632</v>
      </c>
      <c r="O44" s="3" t="s">
        <v>632</v>
      </c>
      <c r="P44" s="3" t="s">
        <v>632</v>
      </c>
      <c r="Q44" s="3" t="s">
        <v>632</v>
      </c>
      <c r="R44" s="3" t="s">
        <v>632</v>
      </c>
      <c r="S44" s="3" t="s">
        <v>1950</v>
      </c>
      <c r="T44" s="3" t="s">
        <v>1951</v>
      </c>
      <c r="U44" s="3"/>
    </row>
    <row r="45" spans="1:21" x14ac:dyDescent="0.4">
      <c r="A45" s="11">
        <f t="shared" si="0"/>
        <v>41</v>
      </c>
      <c r="B45" s="3" t="s">
        <v>2084</v>
      </c>
      <c r="C45" s="3" t="s">
        <v>2084</v>
      </c>
      <c r="D45" s="3"/>
      <c r="E45" s="11" t="s">
        <v>20</v>
      </c>
      <c r="F45" s="11" t="s">
        <v>20</v>
      </c>
      <c r="G45" s="11" t="s">
        <v>20</v>
      </c>
      <c r="H45" s="3" t="s">
        <v>628</v>
      </c>
      <c r="I45" s="3" t="s">
        <v>629</v>
      </c>
      <c r="J45" s="3" t="s">
        <v>630</v>
      </c>
      <c r="K45" s="3" t="s">
        <v>632</v>
      </c>
      <c r="L45" s="3" t="s">
        <v>632</v>
      </c>
      <c r="M45" s="3" t="s">
        <v>632</v>
      </c>
      <c r="N45" s="3" t="s">
        <v>632</v>
      </c>
      <c r="O45" s="3" t="s">
        <v>632</v>
      </c>
      <c r="P45" s="3" t="s">
        <v>632</v>
      </c>
      <c r="Q45" s="3" t="s">
        <v>632</v>
      </c>
      <c r="R45" s="3" t="s">
        <v>632</v>
      </c>
      <c r="S45" s="3" t="s">
        <v>1950</v>
      </c>
      <c r="T45" s="3" t="s">
        <v>2085</v>
      </c>
      <c r="U45" s="3"/>
    </row>
    <row r="46" spans="1:21" x14ac:dyDescent="0.4">
      <c r="A46" s="11">
        <f t="shared" si="0"/>
        <v>42</v>
      </c>
      <c r="B46" s="3" t="s">
        <v>2084</v>
      </c>
      <c r="C46" s="3" t="s">
        <v>2084</v>
      </c>
      <c r="D46" s="3"/>
      <c r="E46" s="11" t="s">
        <v>20</v>
      </c>
      <c r="F46" s="11" t="s">
        <v>20</v>
      </c>
      <c r="G46" s="11" t="s">
        <v>20</v>
      </c>
      <c r="H46" s="3" t="s">
        <v>628</v>
      </c>
      <c r="I46" s="3" t="s">
        <v>629</v>
      </c>
      <c r="J46" s="3" t="s">
        <v>630</v>
      </c>
      <c r="K46" s="3" t="s">
        <v>632</v>
      </c>
      <c r="L46" s="3" t="s">
        <v>632</v>
      </c>
      <c r="M46" s="3" t="s">
        <v>632</v>
      </c>
      <c r="N46" s="3" t="s">
        <v>632</v>
      </c>
      <c r="O46" s="3" t="s">
        <v>632</v>
      </c>
      <c r="P46" s="3" t="s">
        <v>632</v>
      </c>
      <c r="Q46" s="3" t="s">
        <v>632</v>
      </c>
      <c r="R46" s="3" t="s">
        <v>632</v>
      </c>
      <c r="S46" s="3" t="s">
        <v>1950</v>
      </c>
      <c r="T46" s="3" t="s">
        <v>2086</v>
      </c>
      <c r="U46" s="3"/>
    </row>
    <row r="47" spans="1:21" x14ac:dyDescent="0.4">
      <c r="A47" s="11">
        <f t="shared" si="0"/>
        <v>43</v>
      </c>
      <c r="B47" s="3" t="s">
        <v>1952</v>
      </c>
      <c r="C47" s="3" t="s">
        <v>1952</v>
      </c>
      <c r="D47" s="3"/>
      <c r="E47" s="11" t="s">
        <v>20</v>
      </c>
      <c r="F47" s="11" t="s">
        <v>20</v>
      </c>
      <c r="G47" s="11" t="s">
        <v>20</v>
      </c>
      <c r="H47" s="3" t="s">
        <v>628</v>
      </c>
      <c r="I47" s="3" t="s">
        <v>629</v>
      </c>
      <c r="J47" s="3" t="s">
        <v>630</v>
      </c>
      <c r="K47" s="3" t="s">
        <v>632</v>
      </c>
      <c r="L47" s="3" t="s">
        <v>632</v>
      </c>
      <c r="M47" s="3" t="s">
        <v>632</v>
      </c>
      <c r="N47" s="3" t="s">
        <v>632</v>
      </c>
      <c r="O47" s="3" t="s">
        <v>632</v>
      </c>
      <c r="P47" s="3" t="s">
        <v>632</v>
      </c>
      <c r="Q47" s="3" t="s">
        <v>632</v>
      </c>
      <c r="R47" s="3" t="s">
        <v>632</v>
      </c>
      <c r="S47" s="3" t="s">
        <v>1950</v>
      </c>
      <c r="T47" s="3" t="s">
        <v>1953</v>
      </c>
      <c r="U47" s="3"/>
    </row>
    <row r="48" spans="1:21" x14ac:dyDescent="0.4">
      <c r="A48" s="11">
        <f t="shared" si="0"/>
        <v>44</v>
      </c>
      <c r="B48" s="3" t="s">
        <v>2087</v>
      </c>
      <c r="C48" s="3" t="s">
        <v>701</v>
      </c>
      <c r="D48" s="3"/>
      <c r="E48" s="11" t="s">
        <v>20</v>
      </c>
      <c r="F48" s="11" t="s">
        <v>20</v>
      </c>
      <c r="G48" s="11" t="s">
        <v>20</v>
      </c>
      <c r="H48" s="3" t="s">
        <v>628</v>
      </c>
      <c r="I48" s="3" t="s">
        <v>629</v>
      </c>
      <c r="J48" s="3" t="s">
        <v>630</v>
      </c>
      <c r="K48" s="3" t="s">
        <v>2088</v>
      </c>
      <c r="L48" s="3" t="s">
        <v>632</v>
      </c>
      <c r="M48" s="3" t="s">
        <v>632</v>
      </c>
      <c r="N48" s="3" t="s">
        <v>633</v>
      </c>
      <c r="O48" s="3" t="s">
        <v>632</v>
      </c>
      <c r="P48" s="3" t="s">
        <v>640</v>
      </c>
      <c r="Q48" s="3" t="s">
        <v>632</v>
      </c>
      <c r="R48" s="3" t="s">
        <v>632</v>
      </c>
      <c r="S48" s="3" t="s">
        <v>632</v>
      </c>
      <c r="T48" s="3" t="s">
        <v>632</v>
      </c>
      <c r="U48" s="3"/>
    </row>
    <row r="49" spans="1:21" x14ac:dyDescent="0.4">
      <c r="A49" s="11">
        <f t="shared" si="0"/>
        <v>45</v>
      </c>
      <c r="B49" s="3" t="s">
        <v>2089</v>
      </c>
      <c r="C49" s="3" t="s">
        <v>701</v>
      </c>
      <c r="D49" s="3"/>
      <c r="E49" s="11" t="s">
        <v>20</v>
      </c>
      <c r="F49" s="11" t="s">
        <v>20</v>
      </c>
      <c r="G49" s="11" t="s">
        <v>20</v>
      </c>
      <c r="H49" s="3" t="s">
        <v>628</v>
      </c>
      <c r="I49" s="3" t="s">
        <v>629</v>
      </c>
      <c r="J49" s="3" t="s">
        <v>630</v>
      </c>
      <c r="K49" s="3" t="s">
        <v>702</v>
      </c>
      <c r="L49" s="3" t="s">
        <v>632</v>
      </c>
      <c r="M49" s="3" t="s">
        <v>632</v>
      </c>
      <c r="N49" s="3" t="s">
        <v>633</v>
      </c>
      <c r="O49" s="3" t="s">
        <v>632</v>
      </c>
      <c r="P49" s="3" t="s">
        <v>632</v>
      </c>
      <c r="Q49" s="3" t="s">
        <v>632</v>
      </c>
      <c r="R49" s="3" t="s">
        <v>632</v>
      </c>
      <c r="S49" s="3" t="s">
        <v>632</v>
      </c>
      <c r="T49" s="3" t="s">
        <v>632</v>
      </c>
      <c r="U49" s="3"/>
    </row>
    <row r="50" spans="1:21" x14ac:dyDescent="0.4">
      <c r="A50" s="11">
        <f t="shared" si="0"/>
        <v>46</v>
      </c>
      <c r="B50" s="3" t="s">
        <v>2090</v>
      </c>
      <c r="C50" s="3" t="s">
        <v>701</v>
      </c>
      <c r="D50" s="3"/>
      <c r="E50" s="11" t="s">
        <v>20</v>
      </c>
      <c r="F50" s="11" t="s">
        <v>20</v>
      </c>
      <c r="G50" s="11" t="s">
        <v>20</v>
      </c>
      <c r="H50" s="3" t="s">
        <v>628</v>
      </c>
      <c r="I50" s="3" t="s">
        <v>629</v>
      </c>
      <c r="J50" s="3" t="s">
        <v>630</v>
      </c>
      <c r="K50" s="3" t="s">
        <v>631</v>
      </c>
      <c r="L50" s="3" t="s">
        <v>632</v>
      </c>
      <c r="M50" s="3" t="s">
        <v>632</v>
      </c>
      <c r="N50" s="3" t="s">
        <v>633</v>
      </c>
      <c r="O50" s="3" t="s">
        <v>632</v>
      </c>
      <c r="P50" s="3" t="s">
        <v>632</v>
      </c>
      <c r="Q50" s="3" t="s">
        <v>632</v>
      </c>
      <c r="R50" s="3" t="s">
        <v>632</v>
      </c>
      <c r="S50" s="3" t="s">
        <v>632</v>
      </c>
      <c r="T50" s="3" t="s">
        <v>632</v>
      </c>
      <c r="U50" s="3"/>
    </row>
    <row r="51" spans="1:21" x14ac:dyDescent="0.4">
      <c r="A51" s="11">
        <f t="shared" si="0"/>
        <v>47</v>
      </c>
      <c r="B51" s="3" t="s">
        <v>703</v>
      </c>
      <c r="C51" s="3" t="s">
        <v>701</v>
      </c>
      <c r="D51" s="3"/>
      <c r="E51" s="11" t="s">
        <v>20</v>
      </c>
      <c r="F51" s="11" t="s">
        <v>20</v>
      </c>
      <c r="G51" s="11" t="s">
        <v>20</v>
      </c>
      <c r="H51" s="3" t="s">
        <v>628</v>
      </c>
      <c r="I51" s="3" t="s">
        <v>629</v>
      </c>
      <c r="J51" s="3" t="s">
        <v>630</v>
      </c>
      <c r="K51" s="3" t="s">
        <v>704</v>
      </c>
      <c r="L51" s="3" t="s">
        <v>632</v>
      </c>
      <c r="M51" s="3" t="s">
        <v>632</v>
      </c>
      <c r="N51" s="3" t="s">
        <v>633</v>
      </c>
      <c r="O51" s="3" t="s">
        <v>632</v>
      </c>
      <c r="P51" s="3" t="s">
        <v>632</v>
      </c>
      <c r="Q51" s="3" t="s">
        <v>632</v>
      </c>
      <c r="R51" s="3" t="s">
        <v>632</v>
      </c>
      <c r="S51" s="3" t="s">
        <v>632</v>
      </c>
      <c r="T51" s="3" t="s">
        <v>632</v>
      </c>
      <c r="U51" s="3"/>
    </row>
    <row r="52" spans="1:21" x14ac:dyDescent="0.4">
      <c r="A52" s="11">
        <f t="shared" si="0"/>
        <v>48</v>
      </c>
      <c r="B52" s="3" t="s">
        <v>2091</v>
      </c>
      <c r="C52" s="3" t="s">
        <v>2091</v>
      </c>
      <c r="D52" s="3"/>
      <c r="E52" s="11" t="s">
        <v>20</v>
      </c>
      <c r="F52" s="11" t="s">
        <v>20</v>
      </c>
      <c r="G52" s="11" t="s">
        <v>20</v>
      </c>
      <c r="H52" s="3" t="s">
        <v>628</v>
      </c>
      <c r="I52" s="3" t="s">
        <v>629</v>
      </c>
      <c r="J52" s="3" t="s">
        <v>630</v>
      </c>
      <c r="K52" s="3" t="s">
        <v>632</v>
      </c>
      <c r="L52" s="3" t="s">
        <v>632</v>
      </c>
      <c r="M52" s="3" t="s">
        <v>632</v>
      </c>
      <c r="N52" s="3" t="s">
        <v>632</v>
      </c>
      <c r="O52" s="3" t="s">
        <v>632</v>
      </c>
      <c r="P52" s="3" t="s">
        <v>632</v>
      </c>
      <c r="Q52" s="3" t="s">
        <v>632</v>
      </c>
      <c r="R52" s="3" t="s">
        <v>632</v>
      </c>
      <c r="S52" s="3" t="s">
        <v>1950</v>
      </c>
      <c r="T52" s="3" t="s">
        <v>2092</v>
      </c>
      <c r="U52" s="3"/>
    </row>
    <row r="53" spans="1:21" x14ac:dyDescent="0.4">
      <c r="A53" s="11">
        <f t="shared" si="0"/>
        <v>49</v>
      </c>
      <c r="B53" s="3" t="s">
        <v>1958</v>
      </c>
      <c r="C53" s="3" t="s">
        <v>1958</v>
      </c>
      <c r="D53" s="3"/>
      <c r="E53" s="11" t="s">
        <v>20</v>
      </c>
      <c r="F53" s="11" t="s">
        <v>20</v>
      </c>
      <c r="G53" s="11" t="s">
        <v>20</v>
      </c>
      <c r="H53" s="3" t="s">
        <v>628</v>
      </c>
      <c r="I53" s="3" t="s">
        <v>629</v>
      </c>
      <c r="J53" s="3" t="s">
        <v>630</v>
      </c>
      <c r="K53" s="3" t="s">
        <v>632</v>
      </c>
      <c r="L53" s="3" t="s">
        <v>632</v>
      </c>
      <c r="M53" s="3" t="s">
        <v>632</v>
      </c>
      <c r="N53" s="3" t="s">
        <v>632</v>
      </c>
      <c r="O53" s="3" t="s">
        <v>632</v>
      </c>
      <c r="P53" s="3" t="s">
        <v>632</v>
      </c>
      <c r="Q53" s="3" t="s">
        <v>632</v>
      </c>
      <c r="R53" s="3" t="s">
        <v>632</v>
      </c>
      <c r="S53" s="3" t="s">
        <v>1950</v>
      </c>
      <c r="T53" s="3" t="s">
        <v>1959</v>
      </c>
      <c r="U53" s="3"/>
    </row>
    <row r="54" spans="1:21" x14ac:dyDescent="0.4">
      <c r="A54" s="11">
        <f t="shared" si="0"/>
        <v>50</v>
      </c>
      <c r="B54" s="3" t="s">
        <v>2093</v>
      </c>
      <c r="C54" s="3" t="s">
        <v>2093</v>
      </c>
      <c r="D54" s="3"/>
      <c r="E54" s="11" t="s">
        <v>20</v>
      </c>
      <c r="F54" s="11" t="s">
        <v>20</v>
      </c>
      <c r="G54" s="11" t="s">
        <v>20</v>
      </c>
      <c r="H54" s="3" t="s">
        <v>628</v>
      </c>
      <c r="I54" s="3" t="s">
        <v>629</v>
      </c>
      <c r="J54" s="3" t="s">
        <v>630</v>
      </c>
      <c r="K54" s="3" t="s">
        <v>632</v>
      </c>
      <c r="L54" s="3" t="s">
        <v>632</v>
      </c>
      <c r="M54" s="3" t="s">
        <v>632</v>
      </c>
      <c r="N54" s="3" t="s">
        <v>632</v>
      </c>
      <c r="O54" s="3" t="s">
        <v>632</v>
      </c>
      <c r="P54" s="3" t="s">
        <v>632</v>
      </c>
      <c r="Q54" s="3" t="s">
        <v>632</v>
      </c>
      <c r="R54" s="3" t="s">
        <v>632</v>
      </c>
      <c r="S54" s="3" t="s">
        <v>1950</v>
      </c>
      <c r="T54" s="3" t="s">
        <v>2094</v>
      </c>
      <c r="U54" s="3"/>
    </row>
    <row r="55" spans="1:21" x14ac:dyDescent="0.4">
      <c r="A55" s="11">
        <f t="shared" si="0"/>
        <v>51</v>
      </c>
      <c r="B55" s="3" t="s">
        <v>2095</v>
      </c>
      <c r="C55" s="3" t="s">
        <v>1963</v>
      </c>
      <c r="D55" s="3"/>
      <c r="E55" s="11" t="s">
        <v>20</v>
      </c>
      <c r="F55" s="11" t="s">
        <v>20</v>
      </c>
      <c r="G55" s="11" t="s">
        <v>20</v>
      </c>
      <c r="H55" s="3" t="s">
        <v>628</v>
      </c>
      <c r="I55" s="3" t="s">
        <v>629</v>
      </c>
      <c r="J55" s="3" t="s">
        <v>630</v>
      </c>
      <c r="K55" s="3" t="s">
        <v>631</v>
      </c>
      <c r="L55" s="3" t="s">
        <v>632</v>
      </c>
      <c r="M55" s="3" t="s">
        <v>632</v>
      </c>
      <c r="N55" s="3" t="s">
        <v>634</v>
      </c>
      <c r="O55" s="3" t="s">
        <v>632</v>
      </c>
      <c r="P55" s="3">
        <v>53</v>
      </c>
      <c r="Q55" s="3" t="s">
        <v>632</v>
      </c>
      <c r="R55" s="3" t="s">
        <v>632</v>
      </c>
      <c r="S55" s="3" t="s">
        <v>632</v>
      </c>
      <c r="T55" s="3" t="s">
        <v>632</v>
      </c>
      <c r="U55" s="3"/>
    </row>
    <row r="56" spans="1:21" x14ac:dyDescent="0.4">
      <c r="A56" s="11">
        <f t="shared" si="0"/>
        <v>52</v>
      </c>
      <c r="B56" s="3" t="s">
        <v>2096</v>
      </c>
      <c r="C56" s="3" t="s">
        <v>1963</v>
      </c>
      <c r="D56" s="3"/>
      <c r="E56" s="11" t="s">
        <v>20</v>
      </c>
      <c r="F56" s="11" t="s">
        <v>20</v>
      </c>
      <c r="G56" s="11" t="s">
        <v>20</v>
      </c>
      <c r="H56" s="3" t="s">
        <v>628</v>
      </c>
      <c r="I56" s="3" t="s">
        <v>629</v>
      </c>
      <c r="J56" s="3" t="s">
        <v>630</v>
      </c>
      <c r="K56" s="3" t="s">
        <v>631</v>
      </c>
      <c r="L56" s="3" t="s">
        <v>632</v>
      </c>
      <c r="M56" s="3" t="s">
        <v>632</v>
      </c>
      <c r="N56" s="3" t="s">
        <v>633</v>
      </c>
      <c r="O56" s="3" t="s">
        <v>632</v>
      </c>
      <c r="P56" s="3" t="s">
        <v>665</v>
      </c>
      <c r="Q56" s="3" t="s">
        <v>632</v>
      </c>
      <c r="R56" s="3" t="s">
        <v>632</v>
      </c>
      <c r="S56" s="3" t="s">
        <v>632</v>
      </c>
      <c r="T56" s="3" t="s">
        <v>632</v>
      </c>
      <c r="U56" s="3"/>
    </row>
    <row r="57" spans="1:21" x14ac:dyDescent="0.4">
      <c r="A57" s="11">
        <f t="shared" si="0"/>
        <v>53</v>
      </c>
      <c r="B57" s="3" t="s">
        <v>2097</v>
      </c>
      <c r="C57" s="3" t="s">
        <v>1963</v>
      </c>
      <c r="D57" s="3"/>
      <c r="E57" s="11" t="s">
        <v>20</v>
      </c>
      <c r="F57" s="11" t="s">
        <v>20</v>
      </c>
      <c r="G57" s="11" t="s">
        <v>20</v>
      </c>
      <c r="H57" s="3" t="s">
        <v>628</v>
      </c>
      <c r="I57" s="3" t="s">
        <v>629</v>
      </c>
      <c r="J57" s="3" t="s">
        <v>630</v>
      </c>
      <c r="K57" s="3" t="s">
        <v>644</v>
      </c>
      <c r="L57" s="3" t="s">
        <v>632</v>
      </c>
      <c r="M57" s="3" t="s">
        <v>632</v>
      </c>
      <c r="N57" s="3" t="s">
        <v>666</v>
      </c>
      <c r="O57" s="3" t="s">
        <v>632</v>
      </c>
      <c r="P57" s="3" t="s">
        <v>632</v>
      </c>
      <c r="Q57" s="3" t="s">
        <v>632</v>
      </c>
      <c r="R57" s="3" t="s">
        <v>632</v>
      </c>
      <c r="S57" s="3" t="s">
        <v>632</v>
      </c>
      <c r="T57" s="3" t="s">
        <v>632</v>
      </c>
      <c r="U57" s="3"/>
    </row>
    <row r="58" spans="1:21" x14ac:dyDescent="0.4">
      <c r="A58" s="11">
        <f t="shared" si="0"/>
        <v>54</v>
      </c>
      <c r="B58" s="3" t="s">
        <v>2098</v>
      </c>
      <c r="C58" s="3" t="s">
        <v>1963</v>
      </c>
      <c r="D58" s="3"/>
      <c r="E58" s="11" t="s">
        <v>20</v>
      </c>
      <c r="F58" s="11" t="s">
        <v>20</v>
      </c>
      <c r="G58" s="11" t="s">
        <v>20</v>
      </c>
      <c r="H58" s="3" t="s">
        <v>628</v>
      </c>
      <c r="I58" s="3" t="s">
        <v>629</v>
      </c>
      <c r="J58" s="3" t="s">
        <v>630</v>
      </c>
      <c r="K58" s="3" t="s">
        <v>631</v>
      </c>
      <c r="L58" s="3" t="s">
        <v>632</v>
      </c>
      <c r="M58" s="3" t="s">
        <v>632</v>
      </c>
      <c r="N58" s="3" t="s">
        <v>634</v>
      </c>
      <c r="O58" s="3">
        <v>546</v>
      </c>
      <c r="P58" s="3">
        <v>547</v>
      </c>
      <c r="Q58" s="3" t="s">
        <v>632</v>
      </c>
      <c r="R58" s="3" t="s">
        <v>632</v>
      </c>
      <c r="S58" s="3" t="s">
        <v>632</v>
      </c>
      <c r="T58" s="3" t="s">
        <v>632</v>
      </c>
      <c r="U58" s="3"/>
    </row>
    <row r="59" spans="1:21" x14ac:dyDescent="0.4">
      <c r="A59" s="11">
        <f t="shared" si="0"/>
        <v>55</v>
      </c>
      <c r="B59" s="3" t="s">
        <v>2099</v>
      </c>
      <c r="C59" s="3" t="s">
        <v>1963</v>
      </c>
      <c r="D59" s="3"/>
      <c r="E59" s="11" t="s">
        <v>20</v>
      </c>
      <c r="F59" s="11" t="s">
        <v>20</v>
      </c>
      <c r="G59" s="11" t="s">
        <v>20</v>
      </c>
      <c r="H59" s="3" t="s">
        <v>628</v>
      </c>
      <c r="I59" s="3" t="s">
        <v>629</v>
      </c>
      <c r="J59" s="3" t="s">
        <v>630</v>
      </c>
      <c r="K59" s="3" t="s">
        <v>631</v>
      </c>
      <c r="L59" s="3" t="s">
        <v>632</v>
      </c>
      <c r="M59" s="3" t="s">
        <v>632</v>
      </c>
      <c r="N59" s="3" t="s">
        <v>634</v>
      </c>
      <c r="O59" s="3" t="s">
        <v>632</v>
      </c>
      <c r="P59" s="3" t="s">
        <v>632</v>
      </c>
      <c r="Q59" s="3" t="s">
        <v>632</v>
      </c>
      <c r="R59" s="3" t="s">
        <v>632</v>
      </c>
      <c r="S59" s="3" t="s">
        <v>632</v>
      </c>
      <c r="T59" s="3" t="s">
        <v>632</v>
      </c>
      <c r="U59" s="3"/>
    </row>
    <row r="60" spans="1:21" x14ac:dyDescent="0.4">
      <c r="A60" s="11">
        <f t="shared" si="0"/>
        <v>56</v>
      </c>
      <c r="B60" s="3" t="s">
        <v>2100</v>
      </c>
      <c r="C60" s="3" t="s">
        <v>1963</v>
      </c>
      <c r="D60" s="3"/>
      <c r="E60" s="11" t="s">
        <v>20</v>
      </c>
      <c r="F60" s="11" t="s">
        <v>20</v>
      </c>
      <c r="G60" s="11" t="s">
        <v>20</v>
      </c>
      <c r="H60" s="3" t="s">
        <v>628</v>
      </c>
      <c r="I60" s="3" t="s">
        <v>629</v>
      </c>
      <c r="J60" s="3" t="s">
        <v>630</v>
      </c>
      <c r="K60" s="3" t="s">
        <v>644</v>
      </c>
      <c r="L60" s="3" t="s">
        <v>632</v>
      </c>
      <c r="M60" s="3" t="s">
        <v>632</v>
      </c>
      <c r="N60" s="3" t="s">
        <v>667</v>
      </c>
      <c r="O60" s="3" t="s">
        <v>632</v>
      </c>
      <c r="P60" s="3" t="s">
        <v>632</v>
      </c>
      <c r="Q60" s="3" t="s">
        <v>632</v>
      </c>
      <c r="R60" s="3" t="s">
        <v>632</v>
      </c>
      <c r="S60" s="3" t="s">
        <v>632</v>
      </c>
      <c r="T60" s="3" t="s">
        <v>632</v>
      </c>
      <c r="U60" s="3"/>
    </row>
    <row r="61" spans="1:21" x14ac:dyDescent="0.4">
      <c r="A61" s="11">
        <f t="shared" si="0"/>
        <v>57</v>
      </c>
      <c r="B61" s="3" t="s">
        <v>2101</v>
      </c>
      <c r="C61" s="3" t="s">
        <v>1963</v>
      </c>
      <c r="D61" s="3"/>
      <c r="E61" s="11" t="s">
        <v>36</v>
      </c>
      <c r="F61" s="11" t="s">
        <v>20</v>
      </c>
      <c r="G61" s="11" t="s">
        <v>36</v>
      </c>
      <c r="H61" s="3" t="s">
        <v>628</v>
      </c>
      <c r="I61" s="3" t="s">
        <v>629</v>
      </c>
      <c r="J61" s="3" t="s">
        <v>630</v>
      </c>
      <c r="K61" s="3" t="s">
        <v>705</v>
      </c>
      <c r="L61" s="3" t="s">
        <v>632</v>
      </c>
      <c r="M61" s="3" t="s">
        <v>632</v>
      </c>
      <c r="N61" s="3" t="s">
        <v>633</v>
      </c>
      <c r="O61" s="3" t="s">
        <v>632</v>
      </c>
      <c r="P61" s="3" t="s">
        <v>632</v>
      </c>
      <c r="Q61" s="3" t="s">
        <v>632</v>
      </c>
      <c r="R61" s="3" t="s">
        <v>632</v>
      </c>
      <c r="S61" s="3" t="s">
        <v>632</v>
      </c>
      <c r="T61" s="3" t="s">
        <v>632</v>
      </c>
      <c r="U61" s="3"/>
    </row>
    <row r="62" spans="1:21" x14ac:dyDescent="0.4">
      <c r="A62" s="11">
        <f t="shared" si="0"/>
        <v>58</v>
      </c>
      <c r="B62" s="3" t="s">
        <v>2102</v>
      </c>
      <c r="C62" s="3" t="s">
        <v>1963</v>
      </c>
      <c r="D62" s="3"/>
      <c r="E62" s="11" t="s">
        <v>36</v>
      </c>
      <c r="F62" s="11" t="s">
        <v>20</v>
      </c>
      <c r="G62" s="11" t="s">
        <v>36</v>
      </c>
      <c r="H62" s="3" t="s">
        <v>628</v>
      </c>
      <c r="I62" s="3" t="s">
        <v>629</v>
      </c>
      <c r="J62" s="3" t="s">
        <v>630</v>
      </c>
      <c r="K62" s="3" t="s">
        <v>644</v>
      </c>
      <c r="L62" s="3" t="s">
        <v>632</v>
      </c>
      <c r="M62" s="3" t="s">
        <v>632</v>
      </c>
      <c r="N62" s="3" t="s">
        <v>633</v>
      </c>
      <c r="O62" s="3" t="s">
        <v>632</v>
      </c>
      <c r="P62" s="3">
        <v>445</v>
      </c>
      <c r="Q62" s="3" t="s">
        <v>632</v>
      </c>
      <c r="R62" s="3" t="s">
        <v>632</v>
      </c>
      <c r="S62" s="3" t="s">
        <v>632</v>
      </c>
      <c r="T62" s="3" t="s">
        <v>632</v>
      </c>
      <c r="U62" s="3"/>
    </row>
    <row r="63" spans="1:21" x14ac:dyDescent="0.4">
      <c r="A63" s="11">
        <f t="shared" si="0"/>
        <v>59</v>
      </c>
      <c r="B63" s="3" t="s">
        <v>2103</v>
      </c>
      <c r="C63" s="3" t="s">
        <v>1963</v>
      </c>
      <c r="D63" s="3"/>
      <c r="E63" s="11" t="s">
        <v>36</v>
      </c>
      <c r="F63" s="11" t="s">
        <v>20</v>
      </c>
      <c r="G63" s="11" t="s">
        <v>36</v>
      </c>
      <c r="H63" s="3" t="s">
        <v>628</v>
      </c>
      <c r="I63" s="3" t="s">
        <v>629</v>
      </c>
      <c r="J63" s="3" t="s">
        <v>630</v>
      </c>
      <c r="K63" s="3" t="s">
        <v>631</v>
      </c>
      <c r="L63" s="3" t="s">
        <v>632</v>
      </c>
      <c r="M63" s="3" t="s">
        <v>632</v>
      </c>
      <c r="N63" s="3" t="s">
        <v>633</v>
      </c>
      <c r="O63" s="3" t="s">
        <v>632</v>
      </c>
      <c r="P63" s="3" t="s">
        <v>632</v>
      </c>
      <c r="Q63" s="3" t="s">
        <v>632</v>
      </c>
      <c r="R63" s="3" t="s">
        <v>632</v>
      </c>
      <c r="S63" s="3" t="s">
        <v>632</v>
      </c>
      <c r="T63" s="3" t="s">
        <v>632</v>
      </c>
      <c r="U63" s="3"/>
    </row>
    <row r="64" spans="1:21" x14ac:dyDescent="0.4">
      <c r="A64" s="11">
        <f t="shared" si="0"/>
        <v>60</v>
      </c>
      <c r="B64" s="3" t="s">
        <v>2104</v>
      </c>
      <c r="C64" s="3" t="s">
        <v>1963</v>
      </c>
      <c r="D64" s="3"/>
      <c r="E64" s="11" t="s">
        <v>20</v>
      </c>
      <c r="F64" s="11" t="s">
        <v>20</v>
      </c>
      <c r="G64" s="11" t="s">
        <v>20</v>
      </c>
      <c r="H64" s="3" t="s">
        <v>628</v>
      </c>
      <c r="I64" s="3" t="s">
        <v>629</v>
      </c>
      <c r="J64" s="3" t="s">
        <v>630</v>
      </c>
      <c r="K64" s="3" t="s">
        <v>644</v>
      </c>
      <c r="L64" s="3" t="s">
        <v>632</v>
      </c>
      <c r="M64" s="3" t="s">
        <v>632</v>
      </c>
      <c r="N64" s="3" t="s">
        <v>668</v>
      </c>
      <c r="O64" s="3" t="s">
        <v>632</v>
      </c>
      <c r="P64" s="3" t="s">
        <v>632</v>
      </c>
      <c r="Q64" s="3" t="s">
        <v>632</v>
      </c>
      <c r="R64" s="3" t="s">
        <v>632</v>
      </c>
      <c r="S64" s="3" t="s">
        <v>632</v>
      </c>
      <c r="T64" s="3" t="s">
        <v>632</v>
      </c>
      <c r="U64" s="3"/>
    </row>
    <row r="65" spans="1:21" x14ac:dyDescent="0.4">
      <c r="A65" s="11">
        <f t="shared" si="0"/>
        <v>61</v>
      </c>
      <c r="B65" s="3" t="s">
        <v>2105</v>
      </c>
      <c r="C65" s="3" t="s">
        <v>1963</v>
      </c>
      <c r="D65" s="3"/>
      <c r="E65" s="11" t="s">
        <v>20</v>
      </c>
      <c r="F65" s="11" t="s">
        <v>20</v>
      </c>
      <c r="G65" s="11" t="s">
        <v>20</v>
      </c>
      <c r="H65" s="3" t="s">
        <v>628</v>
      </c>
      <c r="I65" s="3" t="s">
        <v>629</v>
      </c>
      <c r="J65" s="3" t="s">
        <v>630</v>
      </c>
      <c r="K65" s="3" t="s">
        <v>644</v>
      </c>
      <c r="L65" s="3" t="s">
        <v>632</v>
      </c>
      <c r="M65" s="3" t="s">
        <v>632</v>
      </c>
      <c r="N65" s="3" t="s">
        <v>668</v>
      </c>
      <c r="O65" s="3" t="s">
        <v>632</v>
      </c>
      <c r="P65" s="3" t="s">
        <v>632</v>
      </c>
      <c r="Q65" s="3" t="s">
        <v>632</v>
      </c>
      <c r="R65" s="3" t="s">
        <v>632</v>
      </c>
      <c r="S65" s="3" t="s">
        <v>632</v>
      </c>
      <c r="T65" s="3" t="s">
        <v>632</v>
      </c>
      <c r="U65" s="3"/>
    </row>
    <row r="66" spans="1:21" x14ac:dyDescent="0.4">
      <c r="A66" s="11">
        <f t="shared" si="0"/>
        <v>62</v>
      </c>
      <c r="B66" s="3" t="s">
        <v>2106</v>
      </c>
      <c r="C66" s="3" t="s">
        <v>1963</v>
      </c>
      <c r="D66" s="3"/>
      <c r="E66" s="11" t="s">
        <v>20</v>
      </c>
      <c r="F66" s="11" t="s">
        <v>20</v>
      </c>
      <c r="G66" s="11" t="s">
        <v>20</v>
      </c>
      <c r="H66" s="3" t="s">
        <v>628</v>
      </c>
      <c r="I66" s="3" t="s">
        <v>629</v>
      </c>
      <c r="J66" s="3" t="s">
        <v>630</v>
      </c>
      <c r="K66" s="3" t="s">
        <v>644</v>
      </c>
      <c r="L66" s="3" t="s">
        <v>632</v>
      </c>
      <c r="M66" s="3" t="s">
        <v>1907</v>
      </c>
      <c r="N66" s="3" t="s">
        <v>668</v>
      </c>
      <c r="O66" s="3" t="s">
        <v>632</v>
      </c>
      <c r="P66" s="3" t="s">
        <v>632</v>
      </c>
      <c r="Q66" s="3" t="s">
        <v>632</v>
      </c>
      <c r="R66" s="3" t="s">
        <v>632</v>
      </c>
      <c r="S66" s="3" t="s">
        <v>632</v>
      </c>
      <c r="T66" s="3" t="s">
        <v>632</v>
      </c>
      <c r="U66" s="3"/>
    </row>
    <row r="67" spans="1:21" x14ac:dyDescent="0.4">
      <c r="A67" s="11">
        <f t="shared" si="0"/>
        <v>63</v>
      </c>
      <c r="B67" s="3" t="s">
        <v>2107</v>
      </c>
      <c r="C67" s="3" t="s">
        <v>1963</v>
      </c>
      <c r="D67" s="3"/>
      <c r="E67" s="11" t="s">
        <v>20</v>
      </c>
      <c r="F67" s="11" t="s">
        <v>20</v>
      </c>
      <c r="G67" s="11" t="s">
        <v>20</v>
      </c>
      <c r="H67" s="3" t="s">
        <v>628</v>
      </c>
      <c r="I67" s="3" t="s">
        <v>629</v>
      </c>
      <c r="J67" s="3" t="s">
        <v>630</v>
      </c>
      <c r="K67" s="3" t="s">
        <v>644</v>
      </c>
      <c r="L67" s="3" t="s">
        <v>632</v>
      </c>
      <c r="M67" s="3" t="s">
        <v>1907</v>
      </c>
      <c r="N67" s="3" t="s">
        <v>668</v>
      </c>
      <c r="O67" s="3" t="s">
        <v>632</v>
      </c>
      <c r="P67" s="3" t="s">
        <v>632</v>
      </c>
      <c r="Q67" s="3" t="s">
        <v>632</v>
      </c>
      <c r="R67" s="3" t="s">
        <v>632</v>
      </c>
      <c r="S67" s="3" t="s">
        <v>632</v>
      </c>
      <c r="T67" s="3" t="s">
        <v>632</v>
      </c>
      <c r="U67" s="3"/>
    </row>
    <row r="68" spans="1:21" x14ac:dyDescent="0.4">
      <c r="A68" s="11">
        <f t="shared" si="0"/>
        <v>64</v>
      </c>
      <c r="B68" s="3" t="s">
        <v>2108</v>
      </c>
      <c r="C68" s="3" t="s">
        <v>1963</v>
      </c>
      <c r="D68" s="3"/>
      <c r="E68" s="11" t="s">
        <v>20</v>
      </c>
      <c r="F68" s="11" t="s">
        <v>20</v>
      </c>
      <c r="G68" s="11" t="s">
        <v>20</v>
      </c>
      <c r="H68" s="3" t="s">
        <v>628</v>
      </c>
      <c r="I68" s="3" t="s">
        <v>629</v>
      </c>
      <c r="J68" s="3" t="s">
        <v>630</v>
      </c>
      <c r="K68" s="3" t="s">
        <v>644</v>
      </c>
      <c r="L68" s="3" t="s">
        <v>632</v>
      </c>
      <c r="M68" s="3" t="s">
        <v>1907</v>
      </c>
      <c r="N68" s="3" t="s">
        <v>668</v>
      </c>
      <c r="O68" s="3" t="s">
        <v>632</v>
      </c>
      <c r="P68" s="3" t="s">
        <v>632</v>
      </c>
      <c r="Q68" s="3" t="s">
        <v>632</v>
      </c>
      <c r="R68" s="3" t="s">
        <v>632</v>
      </c>
      <c r="S68" s="3" t="s">
        <v>632</v>
      </c>
      <c r="T68" s="3" t="s">
        <v>632</v>
      </c>
      <c r="U68" s="3"/>
    </row>
    <row r="69" spans="1:21" x14ac:dyDescent="0.4">
      <c r="A69" s="11">
        <f t="shared" si="0"/>
        <v>65</v>
      </c>
      <c r="B69" s="3" t="s">
        <v>2109</v>
      </c>
      <c r="C69" s="3" t="s">
        <v>1963</v>
      </c>
      <c r="D69" s="3"/>
      <c r="E69" s="11" t="s">
        <v>20</v>
      </c>
      <c r="F69" s="11" t="s">
        <v>20</v>
      </c>
      <c r="G69" s="11" t="s">
        <v>20</v>
      </c>
      <c r="H69" s="3" t="s">
        <v>628</v>
      </c>
      <c r="I69" s="3" t="s">
        <v>629</v>
      </c>
      <c r="J69" s="3" t="s">
        <v>630</v>
      </c>
      <c r="K69" s="3" t="s">
        <v>644</v>
      </c>
      <c r="L69" s="3" t="s">
        <v>632</v>
      </c>
      <c r="M69" s="3" t="s">
        <v>1907</v>
      </c>
      <c r="N69" s="3" t="s">
        <v>668</v>
      </c>
      <c r="O69" s="3" t="s">
        <v>632</v>
      </c>
      <c r="P69" s="3" t="s">
        <v>632</v>
      </c>
      <c r="Q69" s="3" t="s">
        <v>632</v>
      </c>
      <c r="R69" s="3" t="s">
        <v>632</v>
      </c>
      <c r="S69" s="3" t="s">
        <v>632</v>
      </c>
      <c r="T69" s="3" t="s">
        <v>632</v>
      </c>
      <c r="U69" s="3"/>
    </row>
    <row r="70" spans="1:21" x14ac:dyDescent="0.4">
      <c r="A70" s="11">
        <f t="shared" si="0"/>
        <v>66</v>
      </c>
      <c r="B70" s="3" t="s">
        <v>2110</v>
      </c>
      <c r="C70" s="3" t="s">
        <v>1963</v>
      </c>
      <c r="D70" s="3"/>
      <c r="E70" s="11" t="s">
        <v>20</v>
      </c>
      <c r="F70" s="11" t="s">
        <v>20</v>
      </c>
      <c r="G70" s="11" t="s">
        <v>20</v>
      </c>
      <c r="H70" s="3" t="s">
        <v>628</v>
      </c>
      <c r="I70" s="3" t="s">
        <v>629</v>
      </c>
      <c r="J70" s="3" t="s">
        <v>630</v>
      </c>
      <c r="K70" s="3" t="s">
        <v>644</v>
      </c>
      <c r="L70" s="3" t="s">
        <v>669</v>
      </c>
      <c r="M70" s="3" t="s">
        <v>2111</v>
      </c>
      <c r="N70" s="3" t="s">
        <v>668</v>
      </c>
      <c r="O70" s="3" t="s">
        <v>632</v>
      </c>
      <c r="P70" s="3" t="s">
        <v>632</v>
      </c>
      <c r="Q70" s="3" t="s">
        <v>632</v>
      </c>
      <c r="R70" s="3" t="s">
        <v>632</v>
      </c>
      <c r="S70" s="3" t="s">
        <v>632</v>
      </c>
      <c r="T70" s="3" t="s">
        <v>632</v>
      </c>
      <c r="U70" s="3"/>
    </row>
    <row r="71" spans="1:21" x14ac:dyDescent="0.4">
      <c r="A71" s="11">
        <f t="shared" ref="A71:A120" si="1">A70+1</f>
        <v>67</v>
      </c>
      <c r="B71" s="3" t="s">
        <v>2112</v>
      </c>
      <c r="C71" s="3" t="s">
        <v>1963</v>
      </c>
      <c r="D71" s="3"/>
      <c r="E71" s="11" t="s">
        <v>20</v>
      </c>
      <c r="F71" s="11" t="s">
        <v>20</v>
      </c>
      <c r="G71" s="11" t="s">
        <v>20</v>
      </c>
      <c r="H71" s="3" t="s">
        <v>628</v>
      </c>
      <c r="I71" s="3" t="s">
        <v>629</v>
      </c>
      <c r="J71" s="3" t="s">
        <v>630</v>
      </c>
      <c r="K71" s="3" t="s">
        <v>644</v>
      </c>
      <c r="L71" s="3" t="s">
        <v>632</v>
      </c>
      <c r="M71" s="3" t="s">
        <v>2113</v>
      </c>
      <c r="N71" s="3" t="s">
        <v>668</v>
      </c>
      <c r="O71" s="3" t="s">
        <v>632</v>
      </c>
      <c r="P71" s="3" t="s">
        <v>632</v>
      </c>
      <c r="Q71" s="3" t="s">
        <v>632</v>
      </c>
      <c r="R71" s="3" t="s">
        <v>632</v>
      </c>
      <c r="S71" s="3" t="s">
        <v>632</v>
      </c>
      <c r="T71" s="3" t="s">
        <v>632</v>
      </c>
      <c r="U71" s="3"/>
    </row>
    <row r="72" spans="1:21" x14ac:dyDescent="0.4">
      <c r="A72" s="11">
        <f t="shared" si="1"/>
        <v>68</v>
      </c>
      <c r="B72" s="3" t="s">
        <v>2114</v>
      </c>
      <c r="C72" s="3" t="s">
        <v>1963</v>
      </c>
      <c r="D72" s="3"/>
      <c r="E72" s="11" t="s">
        <v>20</v>
      </c>
      <c r="F72" s="11" t="s">
        <v>20</v>
      </c>
      <c r="G72" s="11" t="s">
        <v>20</v>
      </c>
      <c r="H72" s="3" t="s">
        <v>628</v>
      </c>
      <c r="I72" s="3" t="s">
        <v>629</v>
      </c>
      <c r="J72" s="3" t="s">
        <v>630</v>
      </c>
      <c r="K72" s="3" t="s">
        <v>644</v>
      </c>
      <c r="L72" s="3" t="s">
        <v>632</v>
      </c>
      <c r="M72" s="3" t="s">
        <v>632</v>
      </c>
      <c r="N72" s="3" t="s">
        <v>668</v>
      </c>
      <c r="O72" s="3" t="s">
        <v>632</v>
      </c>
      <c r="P72" s="3" t="s">
        <v>632</v>
      </c>
      <c r="Q72" s="3" t="s">
        <v>632</v>
      </c>
      <c r="R72" s="3" t="s">
        <v>632</v>
      </c>
      <c r="S72" s="3" t="s">
        <v>632</v>
      </c>
      <c r="T72" s="3" t="s">
        <v>632</v>
      </c>
      <c r="U72" s="3"/>
    </row>
    <row r="73" spans="1:21" x14ac:dyDescent="0.4">
      <c r="A73" s="11">
        <f t="shared" si="1"/>
        <v>69</v>
      </c>
      <c r="B73" s="3" t="s">
        <v>2115</v>
      </c>
      <c r="C73" s="3" t="s">
        <v>1963</v>
      </c>
      <c r="D73" s="3"/>
      <c r="E73" s="11" t="s">
        <v>20</v>
      </c>
      <c r="F73" s="11" t="s">
        <v>20</v>
      </c>
      <c r="G73" s="11" t="s">
        <v>20</v>
      </c>
      <c r="H73" s="3" t="s">
        <v>628</v>
      </c>
      <c r="I73" s="3" t="s">
        <v>629</v>
      </c>
      <c r="J73" s="3" t="s">
        <v>630</v>
      </c>
      <c r="K73" s="3" t="s">
        <v>644</v>
      </c>
      <c r="L73" s="3" t="s">
        <v>632</v>
      </c>
      <c r="M73" s="3" t="s">
        <v>632</v>
      </c>
      <c r="N73" s="3" t="s">
        <v>668</v>
      </c>
      <c r="O73" s="3" t="s">
        <v>632</v>
      </c>
      <c r="P73" s="3" t="s">
        <v>632</v>
      </c>
      <c r="Q73" s="3" t="s">
        <v>632</v>
      </c>
      <c r="R73" s="3" t="s">
        <v>632</v>
      </c>
      <c r="S73" s="3" t="s">
        <v>632</v>
      </c>
      <c r="T73" s="3" t="s">
        <v>632</v>
      </c>
      <c r="U73" s="3"/>
    </row>
    <row r="74" spans="1:21" x14ac:dyDescent="0.4">
      <c r="A74" s="11">
        <f t="shared" si="1"/>
        <v>70</v>
      </c>
      <c r="B74" s="3" t="s">
        <v>2116</v>
      </c>
      <c r="C74" s="3" t="s">
        <v>1963</v>
      </c>
      <c r="D74" s="3"/>
      <c r="E74" s="11" t="s">
        <v>20</v>
      </c>
      <c r="F74" s="11" t="s">
        <v>20</v>
      </c>
      <c r="G74" s="11" t="s">
        <v>20</v>
      </c>
      <c r="H74" s="3" t="s">
        <v>628</v>
      </c>
      <c r="I74" s="3" t="s">
        <v>629</v>
      </c>
      <c r="J74" s="3" t="s">
        <v>630</v>
      </c>
      <c r="K74" s="3" t="s">
        <v>644</v>
      </c>
      <c r="L74" s="3" t="s">
        <v>632</v>
      </c>
      <c r="M74" s="3" t="s">
        <v>632</v>
      </c>
      <c r="N74" s="3" t="s">
        <v>668</v>
      </c>
      <c r="O74" s="3" t="s">
        <v>632</v>
      </c>
      <c r="P74" s="3" t="s">
        <v>632</v>
      </c>
      <c r="Q74" s="3" t="s">
        <v>632</v>
      </c>
      <c r="R74" s="3" t="s">
        <v>632</v>
      </c>
      <c r="S74" s="3" t="s">
        <v>632</v>
      </c>
      <c r="T74" s="3" t="s">
        <v>632</v>
      </c>
      <c r="U74" s="3"/>
    </row>
    <row r="75" spans="1:21" x14ac:dyDescent="0.4">
      <c r="A75" s="11">
        <f t="shared" si="1"/>
        <v>71</v>
      </c>
      <c r="B75" s="3" t="s">
        <v>2117</v>
      </c>
      <c r="C75" s="3" t="s">
        <v>1963</v>
      </c>
      <c r="D75" s="3"/>
      <c r="E75" s="11" t="s">
        <v>20</v>
      </c>
      <c r="F75" s="11" t="s">
        <v>20</v>
      </c>
      <c r="G75" s="11" t="s">
        <v>20</v>
      </c>
      <c r="H75" s="3" t="s">
        <v>628</v>
      </c>
      <c r="I75" s="3" t="s">
        <v>629</v>
      </c>
      <c r="J75" s="3" t="s">
        <v>630</v>
      </c>
      <c r="K75" s="3" t="s">
        <v>631</v>
      </c>
      <c r="L75" s="3" t="s">
        <v>632</v>
      </c>
      <c r="M75" s="3" t="s">
        <v>632</v>
      </c>
      <c r="N75" s="3" t="s">
        <v>634</v>
      </c>
      <c r="O75" s="3">
        <v>68</v>
      </c>
      <c r="P75" s="3">
        <v>67</v>
      </c>
      <c r="Q75" s="3" t="s">
        <v>632</v>
      </c>
      <c r="R75" s="3" t="s">
        <v>632</v>
      </c>
      <c r="S75" s="3" t="s">
        <v>632</v>
      </c>
      <c r="T75" s="3" t="s">
        <v>632</v>
      </c>
      <c r="U75" s="3"/>
    </row>
    <row r="76" spans="1:21" x14ac:dyDescent="0.4">
      <c r="A76" s="11">
        <f t="shared" si="1"/>
        <v>72</v>
      </c>
      <c r="B76" s="3" t="s">
        <v>2118</v>
      </c>
      <c r="C76" s="3" t="s">
        <v>1984</v>
      </c>
      <c r="D76" s="3"/>
      <c r="E76" s="11" t="s">
        <v>20</v>
      </c>
      <c r="F76" s="3"/>
      <c r="G76" s="11" t="s">
        <v>20</v>
      </c>
      <c r="H76" s="3" t="s">
        <v>630</v>
      </c>
      <c r="I76" s="3" t="s">
        <v>629</v>
      </c>
      <c r="J76" s="3" t="s">
        <v>630</v>
      </c>
      <c r="K76" s="3" t="s">
        <v>644</v>
      </c>
      <c r="L76" s="3" t="s">
        <v>632</v>
      </c>
      <c r="M76" s="3" t="s">
        <v>1907</v>
      </c>
      <c r="N76" s="3" t="s">
        <v>670</v>
      </c>
      <c r="O76" s="3" t="s">
        <v>632</v>
      </c>
      <c r="P76" s="3" t="s">
        <v>632</v>
      </c>
      <c r="Q76" s="3" t="s">
        <v>632</v>
      </c>
      <c r="R76" s="3" t="s">
        <v>632</v>
      </c>
      <c r="S76" s="3" t="s">
        <v>632</v>
      </c>
      <c r="T76" s="3" t="s">
        <v>632</v>
      </c>
      <c r="U76" s="3"/>
    </row>
    <row r="77" spans="1:21" x14ac:dyDescent="0.4">
      <c r="A77" s="11">
        <f t="shared" si="1"/>
        <v>73</v>
      </c>
      <c r="B77" s="3" t="s">
        <v>2118</v>
      </c>
      <c r="C77" s="3" t="s">
        <v>1984</v>
      </c>
      <c r="D77" s="3"/>
      <c r="E77" s="11" t="s">
        <v>36</v>
      </c>
      <c r="F77" s="11" t="s">
        <v>20</v>
      </c>
      <c r="G77" s="11" t="s">
        <v>36</v>
      </c>
      <c r="H77" s="3" t="s">
        <v>630</v>
      </c>
      <c r="I77" s="3" t="s">
        <v>629</v>
      </c>
      <c r="J77" s="3" t="s">
        <v>630</v>
      </c>
      <c r="K77" s="3" t="s">
        <v>644</v>
      </c>
      <c r="L77" s="3" t="s">
        <v>632</v>
      </c>
      <c r="M77" s="3" t="s">
        <v>632</v>
      </c>
      <c r="N77" s="3" t="s">
        <v>670</v>
      </c>
      <c r="O77" s="3" t="s">
        <v>632</v>
      </c>
      <c r="P77" s="3" t="s">
        <v>632</v>
      </c>
      <c r="Q77" s="3" t="s">
        <v>632</v>
      </c>
      <c r="R77" s="3" t="s">
        <v>632</v>
      </c>
      <c r="S77" s="3" t="s">
        <v>632</v>
      </c>
      <c r="T77" s="3" t="s">
        <v>632</v>
      </c>
      <c r="U77" s="3"/>
    </row>
    <row r="78" spans="1:21" x14ac:dyDescent="0.4">
      <c r="A78" s="11">
        <f t="shared" si="1"/>
        <v>74</v>
      </c>
      <c r="B78" s="3" t="s">
        <v>2119</v>
      </c>
      <c r="C78" s="3" t="s">
        <v>1984</v>
      </c>
      <c r="D78" s="3"/>
      <c r="E78" s="11" t="s">
        <v>36</v>
      </c>
      <c r="F78" s="11" t="s">
        <v>20</v>
      </c>
      <c r="G78" s="11" t="s">
        <v>36</v>
      </c>
      <c r="H78" s="3" t="s">
        <v>630</v>
      </c>
      <c r="I78" s="3" t="s">
        <v>629</v>
      </c>
      <c r="J78" s="3" t="s">
        <v>630</v>
      </c>
      <c r="K78" s="3" t="s">
        <v>644</v>
      </c>
      <c r="L78" s="3" t="s">
        <v>632</v>
      </c>
      <c r="M78" s="3" t="s">
        <v>632</v>
      </c>
      <c r="N78" s="3" t="s">
        <v>668</v>
      </c>
      <c r="O78" s="3" t="s">
        <v>632</v>
      </c>
      <c r="P78" s="3" t="s">
        <v>632</v>
      </c>
      <c r="Q78" s="3" t="s">
        <v>632</v>
      </c>
      <c r="R78" s="3" t="s">
        <v>632</v>
      </c>
      <c r="S78" s="3" t="s">
        <v>632</v>
      </c>
      <c r="T78" s="3" t="s">
        <v>632</v>
      </c>
      <c r="U78" s="3"/>
    </row>
    <row r="79" spans="1:21" x14ac:dyDescent="0.4">
      <c r="A79" s="11">
        <f t="shared" si="1"/>
        <v>75</v>
      </c>
      <c r="B79" s="3" t="s">
        <v>2119</v>
      </c>
      <c r="C79" s="3" t="s">
        <v>1984</v>
      </c>
      <c r="D79" s="3"/>
      <c r="E79" s="11" t="s">
        <v>20</v>
      </c>
      <c r="F79" s="3"/>
      <c r="G79" s="11" t="s">
        <v>20</v>
      </c>
      <c r="H79" s="3" t="s">
        <v>630</v>
      </c>
      <c r="I79" s="3" t="s">
        <v>629</v>
      </c>
      <c r="J79" s="3" t="s">
        <v>630</v>
      </c>
      <c r="K79" s="3" t="s">
        <v>644</v>
      </c>
      <c r="L79" s="3" t="s">
        <v>632</v>
      </c>
      <c r="M79" s="3" t="s">
        <v>1907</v>
      </c>
      <c r="N79" s="3" t="s">
        <v>668</v>
      </c>
      <c r="O79" s="3" t="s">
        <v>632</v>
      </c>
      <c r="P79" s="3" t="s">
        <v>632</v>
      </c>
      <c r="Q79" s="3" t="s">
        <v>632</v>
      </c>
      <c r="R79" s="3" t="s">
        <v>632</v>
      </c>
      <c r="S79" s="3" t="s">
        <v>632</v>
      </c>
      <c r="T79" s="3" t="s">
        <v>632</v>
      </c>
      <c r="U79" s="3"/>
    </row>
    <row r="80" spans="1:21" x14ac:dyDescent="0.4">
      <c r="A80" s="11">
        <f t="shared" si="1"/>
        <v>76</v>
      </c>
      <c r="B80" s="3" t="s">
        <v>1989</v>
      </c>
      <c r="C80" s="3" t="s">
        <v>1989</v>
      </c>
      <c r="D80" s="3"/>
      <c r="E80" s="11" t="s">
        <v>20</v>
      </c>
      <c r="F80" s="11" t="s">
        <v>20</v>
      </c>
      <c r="G80" s="11" t="s">
        <v>20</v>
      </c>
      <c r="H80" s="3" t="s">
        <v>628</v>
      </c>
      <c r="I80" s="3" t="s">
        <v>629</v>
      </c>
      <c r="J80" s="3" t="s">
        <v>630</v>
      </c>
      <c r="K80" s="3" t="s">
        <v>632</v>
      </c>
      <c r="L80" s="3" t="s">
        <v>632</v>
      </c>
      <c r="M80" s="3" t="s">
        <v>632</v>
      </c>
      <c r="N80" s="3" t="s">
        <v>632</v>
      </c>
      <c r="O80" s="3" t="s">
        <v>632</v>
      </c>
      <c r="P80" s="3" t="s">
        <v>632</v>
      </c>
      <c r="Q80" s="3" t="s">
        <v>632</v>
      </c>
      <c r="R80" s="3" t="s">
        <v>632</v>
      </c>
      <c r="S80" s="3" t="s">
        <v>1950</v>
      </c>
      <c r="T80" s="3" t="s">
        <v>1990</v>
      </c>
      <c r="U80" s="3"/>
    </row>
    <row r="81" spans="1:21" x14ac:dyDescent="0.4">
      <c r="A81" s="11">
        <f t="shared" si="1"/>
        <v>77</v>
      </c>
      <c r="B81" s="3" t="s">
        <v>1993</v>
      </c>
      <c r="C81" s="3" t="s">
        <v>1993</v>
      </c>
      <c r="D81" s="3"/>
      <c r="E81" s="11" t="s">
        <v>20</v>
      </c>
      <c r="F81" s="11" t="s">
        <v>20</v>
      </c>
      <c r="G81" s="11" t="s">
        <v>20</v>
      </c>
      <c r="H81" s="3" t="s">
        <v>628</v>
      </c>
      <c r="I81" s="3" t="s">
        <v>629</v>
      </c>
      <c r="J81" s="3" t="s">
        <v>630</v>
      </c>
      <c r="K81" s="3" t="s">
        <v>632</v>
      </c>
      <c r="L81" s="3" t="s">
        <v>632</v>
      </c>
      <c r="M81" s="3" t="s">
        <v>632</v>
      </c>
      <c r="N81" s="3" t="s">
        <v>632</v>
      </c>
      <c r="O81" s="3" t="s">
        <v>632</v>
      </c>
      <c r="P81" s="3" t="s">
        <v>632</v>
      </c>
      <c r="Q81" s="3" t="s">
        <v>632</v>
      </c>
      <c r="R81" s="3" t="s">
        <v>632</v>
      </c>
      <c r="S81" s="3" t="s">
        <v>1950</v>
      </c>
      <c r="T81" s="3" t="s">
        <v>1994</v>
      </c>
      <c r="U81" s="3"/>
    </row>
    <row r="82" spans="1:21" x14ac:dyDescent="0.4">
      <c r="A82" s="11">
        <f t="shared" si="1"/>
        <v>78</v>
      </c>
      <c r="B82" s="3" t="s">
        <v>2120</v>
      </c>
      <c r="C82" s="3" t="s">
        <v>673</v>
      </c>
      <c r="D82" s="3"/>
      <c r="E82" s="11" t="s">
        <v>20</v>
      </c>
      <c r="F82" s="11" t="s">
        <v>36</v>
      </c>
      <c r="G82" s="11" t="s">
        <v>36</v>
      </c>
      <c r="H82" s="3" t="s">
        <v>628</v>
      </c>
      <c r="I82" s="3" t="s">
        <v>629</v>
      </c>
      <c r="J82" s="3" t="s">
        <v>630</v>
      </c>
      <c r="K82" s="3" t="s">
        <v>676</v>
      </c>
      <c r="L82" s="3" t="s">
        <v>632</v>
      </c>
      <c r="M82" s="3" t="s">
        <v>1907</v>
      </c>
      <c r="N82" s="3" t="s">
        <v>634</v>
      </c>
      <c r="O82" s="3" t="s">
        <v>632</v>
      </c>
      <c r="P82" s="3" t="s">
        <v>632</v>
      </c>
      <c r="Q82" s="3" t="s">
        <v>632</v>
      </c>
      <c r="R82" s="3" t="s">
        <v>632</v>
      </c>
      <c r="S82" s="3" t="s">
        <v>632</v>
      </c>
      <c r="T82" s="3" t="s">
        <v>632</v>
      </c>
      <c r="U82" s="3"/>
    </row>
    <row r="83" spans="1:21" x14ac:dyDescent="0.4">
      <c r="A83" s="11">
        <f t="shared" si="1"/>
        <v>79</v>
      </c>
      <c r="B83" s="3" t="s">
        <v>2120</v>
      </c>
      <c r="C83" s="3" t="s">
        <v>673</v>
      </c>
      <c r="D83" s="3"/>
      <c r="E83" s="11" t="s">
        <v>36</v>
      </c>
      <c r="F83" s="11" t="s">
        <v>20</v>
      </c>
      <c r="G83" s="11" t="s">
        <v>36</v>
      </c>
      <c r="H83" s="3" t="s">
        <v>628</v>
      </c>
      <c r="I83" s="3" t="s">
        <v>629</v>
      </c>
      <c r="J83" s="3" t="s">
        <v>630</v>
      </c>
      <c r="K83" s="3" t="s">
        <v>676</v>
      </c>
      <c r="L83" s="3" t="s">
        <v>632</v>
      </c>
      <c r="M83" s="3" t="s">
        <v>632</v>
      </c>
      <c r="N83" s="3" t="s">
        <v>634</v>
      </c>
      <c r="O83" s="3" t="s">
        <v>632</v>
      </c>
      <c r="P83" s="3" t="s">
        <v>632</v>
      </c>
      <c r="Q83" s="3" t="s">
        <v>632</v>
      </c>
      <c r="R83" s="3" t="s">
        <v>632</v>
      </c>
      <c r="S83" s="3" t="s">
        <v>632</v>
      </c>
      <c r="T83" s="3" t="s">
        <v>632</v>
      </c>
      <c r="U83" s="3"/>
    </row>
    <row r="84" spans="1:21" x14ac:dyDescent="0.4">
      <c r="A84" s="11">
        <f t="shared" si="1"/>
        <v>80</v>
      </c>
      <c r="B84" s="3" t="s">
        <v>2120</v>
      </c>
      <c r="C84" s="3" t="s">
        <v>673</v>
      </c>
      <c r="D84" s="3"/>
      <c r="E84" s="11" t="s">
        <v>36</v>
      </c>
      <c r="F84" s="11" t="s">
        <v>36</v>
      </c>
      <c r="G84" s="11" t="s">
        <v>20</v>
      </c>
      <c r="H84" s="3" t="s">
        <v>628</v>
      </c>
      <c r="I84" s="3" t="s">
        <v>629</v>
      </c>
      <c r="J84" s="3" t="s">
        <v>630</v>
      </c>
      <c r="K84" s="3" t="s">
        <v>676</v>
      </c>
      <c r="L84" s="3" t="s">
        <v>632</v>
      </c>
      <c r="M84" s="3" t="s">
        <v>1995</v>
      </c>
      <c r="N84" s="3" t="s">
        <v>634</v>
      </c>
      <c r="O84" s="3" t="s">
        <v>632</v>
      </c>
      <c r="P84" s="3" t="s">
        <v>632</v>
      </c>
      <c r="Q84" s="3" t="s">
        <v>632</v>
      </c>
      <c r="R84" s="3" t="s">
        <v>632</v>
      </c>
      <c r="S84" s="3" t="s">
        <v>632</v>
      </c>
      <c r="T84" s="3" t="s">
        <v>632</v>
      </c>
      <c r="U84" s="3"/>
    </row>
    <row r="85" spans="1:21" x14ac:dyDescent="0.4">
      <c r="A85" s="11">
        <f t="shared" si="1"/>
        <v>81</v>
      </c>
      <c r="B85" s="3" t="s">
        <v>706</v>
      </c>
      <c r="C85" s="3" t="s">
        <v>673</v>
      </c>
      <c r="D85" s="3"/>
      <c r="E85" s="11" t="s">
        <v>20</v>
      </c>
      <c r="F85" s="11" t="s">
        <v>36</v>
      </c>
      <c r="G85" s="11" t="s">
        <v>20</v>
      </c>
      <c r="H85" s="3" t="s">
        <v>628</v>
      </c>
      <c r="I85" s="3" t="s">
        <v>629</v>
      </c>
      <c r="J85" s="3" t="s">
        <v>630</v>
      </c>
      <c r="K85" s="3" t="s">
        <v>631</v>
      </c>
      <c r="L85" s="3" t="s">
        <v>632</v>
      </c>
      <c r="M85" s="3" t="s">
        <v>1995</v>
      </c>
      <c r="N85" s="3" t="s">
        <v>633</v>
      </c>
      <c r="O85" s="3" t="s">
        <v>632</v>
      </c>
      <c r="P85" s="3">
        <v>2177</v>
      </c>
      <c r="Q85" s="3" t="s">
        <v>632</v>
      </c>
      <c r="R85" s="3" t="s">
        <v>632</v>
      </c>
      <c r="S85" s="3" t="s">
        <v>632</v>
      </c>
      <c r="T85" s="3" t="s">
        <v>632</v>
      </c>
      <c r="U85" s="3"/>
    </row>
    <row r="86" spans="1:21" x14ac:dyDescent="0.4">
      <c r="A86" s="11">
        <f t="shared" si="1"/>
        <v>82</v>
      </c>
      <c r="B86" s="3" t="s">
        <v>707</v>
      </c>
      <c r="C86" s="3" t="s">
        <v>673</v>
      </c>
      <c r="D86" s="3"/>
      <c r="E86" s="11" t="s">
        <v>20</v>
      </c>
      <c r="F86" s="11" t="s">
        <v>36</v>
      </c>
      <c r="G86" s="11" t="s">
        <v>20</v>
      </c>
      <c r="H86" s="3" t="s">
        <v>628</v>
      </c>
      <c r="I86" s="3" t="s">
        <v>629</v>
      </c>
      <c r="J86" s="3" t="s">
        <v>630</v>
      </c>
      <c r="K86" s="3" t="s">
        <v>631</v>
      </c>
      <c r="L86" s="3" t="s">
        <v>632</v>
      </c>
      <c r="M86" s="3" t="s">
        <v>1995</v>
      </c>
      <c r="N86" s="3" t="s">
        <v>634</v>
      </c>
      <c r="O86" s="3" t="s">
        <v>632</v>
      </c>
      <c r="P86" s="3">
        <v>2177</v>
      </c>
      <c r="Q86" s="3" t="s">
        <v>632</v>
      </c>
      <c r="R86" s="3" t="s">
        <v>632</v>
      </c>
      <c r="S86" s="3" t="s">
        <v>632</v>
      </c>
      <c r="T86" s="3" t="s">
        <v>632</v>
      </c>
      <c r="U86" s="3"/>
    </row>
    <row r="87" spans="1:21" x14ac:dyDescent="0.4">
      <c r="A87" s="11">
        <f t="shared" si="1"/>
        <v>83</v>
      </c>
      <c r="B87" s="3" t="s">
        <v>2121</v>
      </c>
      <c r="C87" s="3" t="s">
        <v>2121</v>
      </c>
      <c r="D87" s="3"/>
      <c r="E87" s="11" t="s">
        <v>20</v>
      </c>
      <c r="F87" s="11" t="s">
        <v>20</v>
      </c>
      <c r="G87" s="11" t="s">
        <v>20</v>
      </c>
      <c r="H87" s="3" t="s">
        <v>628</v>
      </c>
      <c r="I87" s="3" t="s">
        <v>629</v>
      </c>
      <c r="J87" s="3" t="s">
        <v>630</v>
      </c>
      <c r="K87" s="3" t="s">
        <v>632</v>
      </c>
      <c r="L87" s="3" t="s">
        <v>632</v>
      </c>
      <c r="M87" s="3" t="s">
        <v>632</v>
      </c>
      <c r="N87" s="3" t="s">
        <v>632</v>
      </c>
      <c r="O87" s="3" t="s">
        <v>632</v>
      </c>
      <c r="P87" s="3" t="s">
        <v>632</v>
      </c>
      <c r="Q87" s="3" t="s">
        <v>632</v>
      </c>
      <c r="R87" s="3" t="s">
        <v>632</v>
      </c>
      <c r="S87" s="3" t="s">
        <v>1950</v>
      </c>
      <c r="T87" s="3" t="s">
        <v>2122</v>
      </c>
      <c r="U87" s="3"/>
    </row>
    <row r="88" spans="1:21" x14ac:dyDescent="0.4">
      <c r="A88" s="11">
        <f t="shared" si="1"/>
        <v>84</v>
      </c>
      <c r="B88" s="3" t="s">
        <v>2123</v>
      </c>
      <c r="C88" s="3" t="s">
        <v>2000</v>
      </c>
      <c r="D88" s="3"/>
      <c r="E88" s="11" t="s">
        <v>20</v>
      </c>
      <c r="F88" s="11" t="s">
        <v>36</v>
      </c>
      <c r="G88" s="11" t="s">
        <v>36</v>
      </c>
      <c r="H88" s="3" t="s">
        <v>628</v>
      </c>
      <c r="I88" s="3" t="s">
        <v>629</v>
      </c>
      <c r="J88" s="3" t="s">
        <v>630</v>
      </c>
      <c r="K88" s="3" t="s">
        <v>631</v>
      </c>
      <c r="L88" s="3" t="s">
        <v>632</v>
      </c>
      <c r="M88" s="3" t="s">
        <v>1907</v>
      </c>
      <c r="N88" s="3" t="s">
        <v>634</v>
      </c>
      <c r="O88" s="3" t="s">
        <v>632</v>
      </c>
      <c r="P88" s="3">
        <v>5355</v>
      </c>
      <c r="Q88" s="3" t="s">
        <v>632</v>
      </c>
      <c r="R88" s="3" t="s">
        <v>632</v>
      </c>
      <c r="S88" s="3" t="s">
        <v>632</v>
      </c>
      <c r="T88" s="3" t="s">
        <v>632</v>
      </c>
      <c r="U88" s="3"/>
    </row>
    <row r="89" spans="1:21" x14ac:dyDescent="0.4">
      <c r="A89" s="11">
        <f t="shared" si="1"/>
        <v>85</v>
      </c>
      <c r="B89" s="3" t="s">
        <v>2123</v>
      </c>
      <c r="C89" s="3" t="s">
        <v>2000</v>
      </c>
      <c r="D89" s="3"/>
      <c r="E89" s="11" t="s">
        <v>36</v>
      </c>
      <c r="F89" s="11" t="s">
        <v>20</v>
      </c>
      <c r="G89" s="11" t="s">
        <v>20</v>
      </c>
      <c r="H89" s="3" t="s">
        <v>630</v>
      </c>
      <c r="I89" s="3" t="s">
        <v>629</v>
      </c>
      <c r="J89" s="3" t="s">
        <v>630</v>
      </c>
      <c r="K89" s="3" t="s">
        <v>631</v>
      </c>
      <c r="L89" s="3" t="s">
        <v>632</v>
      </c>
      <c r="M89" s="3" t="s">
        <v>1907</v>
      </c>
      <c r="N89" s="3" t="s">
        <v>634</v>
      </c>
      <c r="O89" s="3" t="s">
        <v>632</v>
      </c>
      <c r="P89" s="3">
        <v>5355</v>
      </c>
      <c r="Q89" s="3" t="s">
        <v>632</v>
      </c>
      <c r="R89" s="3" t="s">
        <v>632</v>
      </c>
      <c r="S89" s="3" t="s">
        <v>632</v>
      </c>
      <c r="T89" s="3" t="s">
        <v>632</v>
      </c>
      <c r="U89" s="3"/>
    </row>
    <row r="90" spans="1:21" x14ac:dyDescent="0.4">
      <c r="A90" s="11">
        <f t="shared" si="1"/>
        <v>86</v>
      </c>
      <c r="B90" s="3" t="s">
        <v>2124</v>
      </c>
      <c r="C90" s="3" t="s">
        <v>2000</v>
      </c>
      <c r="D90" s="3"/>
      <c r="E90" s="11" t="s">
        <v>20</v>
      </c>
      <c r="F90" s="11" t="s">
        <v>36</v>
      </c>
      <c r="G90" s="11" t="s">
        <v>36</v>
      </c>
      <c r="H90" s="3" t="s">
        <v>628</v>
      </c>
      <c r="I90" s="3" t="s">
        <v>629</v>
      </c>
      <c r="J90" s="3" t="s">
        <v>630</v>
      </c>
      <c r="K90" s="3" t="s">
        <v>644</v>
      </c>
      <c r="L90" s="3" t="s">
        <v>632</v>
      </c>
      <c r="M90" s="3" t="s">
        <v>632</v>
      </c>
      <c r="N90" s="3" t="s">
        <v>634</v>
      </c>
      <c r="O90" s="3" t="s">
        <v>632</v>
      </c>
      <c r="P90" s="3">
        <v>138</v>
      </c>
      <c r="Q90" s="3" t="s">
        <v>632</v>
      </c>
      <c r="R90" s="3" t="s">
        <v>632</v>
      </c>
      <c r="S90" s="3" t="s">
        <v>632</v>
      </c>
      <c r="T90" s="3" t="s">
        <v>632</v>
      </c>
      <c r="U90" s="3"/>
    </row>
    <row r="91" spans="1:21" x14ac:dyDescent="0.4">
      <c r="A91" s="11">
        <f t="shared" si="1"/>
        <v>87</v>
      </c>
      <c r="B91" s="3" t="s">
        <v>2124</v>
      </c>
      <c r="C91" s="3" t="s">
        <v>2000</v>
      </c>
      <c r="D91" s="3"/>
      <c r="E91" s="11" t="s">
        <v>36</v>
      </c>
      <c r="F91" s="11" t="s">
        <v>20</v>
      </c>
      <c r="G91" s="11" t="s">
        <v>20</v>
      </c>
      <c r="H91" s="3" t="s">
        <v>630</v>
      </c>
      <c r="I91" s="3" t="s">
        <v>629</v>
      </c>
      <c r="J91" s="3" t="s">
        <v>630</v>
      </c>
      <c r="K91" s="3" t="s">
        <v>644</v>
      </c>
      <c r="L91" s="3" t="s">
        <v>632</v>
      </c>
      <c r="M91" s="3" t="s">
        <v>632</v>
      </c>
      <c r="N91" s="3" t="s">
        <v>634</v>
      </c>
      <c r="O91" s="3" t="s">
        <v>632</v>
      </c>
      <c r="P91" s="3">
        <v>138</v>
      </c>
      <c r="Q91" s="3" t="s">
        <v>632</v>
      </c>
      <c r="R91" s="3" t="s">
        <v>632</v>
      </c>
      <c r="S91" s="3" t="s">
        <v>632</v>
      </c>
      <c r="T91" s="3" t="s">
        <v>632</v>
      </c>
      <c r="U91" s="3"/>
    </row>
    <row r="92" spans="1:21" x14ac:dyDescent="0.4">
      <c r="A92" s="11">
        <f t="shared" si="1"/>
        <v>88</v>
      </c>
      <c r="B92" s="3" t="s">
        <v>2125</v>
      </c>
      <c r="C92" s="3" t="s">
        <v>2000</v>
      </c>
      <c r="D92" s="3"/>
      <c r="E92" s="11" t="s">
        <v>36</v>
      </c>
      <c r="F92" s="11" t="s">
        <v>20</v>
      </c>
      <c r="G92" s="11" t="s">
        <v>20</v>
      </c>
      <c r="H92" s="3" t="s">
        <v>630</v>
      </c>
      <c r="I92" s="3" t="s">
        <v>629</v>
      </c>
      <c r="J92" s="3" t="s">
        <v>630</v>
      </c>
      <c r="K92" s="3" t="s">
        <v>644</v>
      </c>
      <c r="L92" s="3" t="s">
        <v>632</v>
      </c>
      <c r="M92" s="3" t="s">
        <v>632</v>
      </c>
      <c r="N92" s="3" t="s">
        <v>634</v>
      </c>
      <c r="O92" s="3" t="s">
        <v>632</v>
      </c>
      <c r="P92" s="3">
        <v>137</v>
      </c>
      <c r="Q92" s="3" t="s">
        <v>632</v>
      </c>
      <c r="R92" s="3" t="s">
        <v>632</v>
      </c>
      <c r="S92" s="3" t="s">
        <v>632</v>
      </c>
      <c r="T92" s="3" t="s">
        <v>632</v>
      </c>
      <c r="U92" s="3"/>
    </row>
    <row r="93" spans="1:21" x14ac:dyDescent="0.4">
      <c r="A93" s="11">
        <f t="shared" si="1"/>
        <v>89</v>
      </c>
      <c r="B93" s="3" t="s">
        <v>2125</v>
      </c>
      <c r="C93" s="3" t="s">
        <v>2000</v>
      </c>
      <c r="D93" s="3"/>
      <c r="E93" s="11" t="s">
        <v>20</v>
      </c>
      <c r="F93" s="11" t="s">
        <v>36</v>
      </c>
      <c r="G93" s="11" t="s">
        <v>36</v>
      </c>
      <c r="H93" s="3" t="s">
        <v>628</v>
      </c>
      <c r="I93" s="3" t="s">
        <v>629</v>
      </c>
      <c r="J93" s="3" t="s">
        <v>630</v>
      </c>
      <c r="K93" s="3" t="s">
        <v>644</v>
      </c>
      <c r="L93" s="3" t="s">
        <v>632</v>
      </c>
      <c r="M93" s="3" t="s">
        <v>632</v>
      </c>
      <c r="N93" s="3" t="s">
        <v>634</v>
      </c>
      <c r="O93" s="3" t="s">
        <v>632</v>
      </c>
      <c r="P93" s="3">
        <v>137</v>
      </c>
      <c r="Q93" s="3" t="s">
        <v>632</v>
      </c>
      <c r="R93" s="3" t="s">
        <v>632</v>
      </c>
      <c r="S93" s="3" t="s">
        <v>632</v>
      </c>
      <c r="T93" s="3" t="s">
        <v>632</v>
      </c>
      <c r="U93" s="3"/>
    </row>
    <row r="94" spans="1:21" x14ac:dyDescent="0.4">
      <c r="A94" s="11">
        <f t="shared" si="1"/>
        <v>90</v>
      </c>
      <c r="B94" s="3" t="s">
        <v>2126</v>
      </c>
      <c r="C94" s="3" t="s">
        <v>2000</v>
      </c>
      <c r="D94" s="3"/>
      <c r="E94" s="11" t="s">
        <v>20</v>
      </c>
      <c r="F94" s="11" t="s">
        <v>36</v>
      </c>
      <c r="G94" s="11" t="s">
        <v>36</v>
      </c>
      <c r="H94" s="3" t="s">
        <v>628</v>
      </c>
      <c r="I94" s="3" t="s">
        <v>629</v>
      </c>
      <c r="J94" s="3" t="s">
        <v>630</v>
      </c>
      <c r="K94" s="3" t="s">
        <v>631</v>
      </c>
      <c r="L94" s="3" t="s">
        <v>632</v>
      </c>
      <c r="M94" s="3" t="s">
        <v>1907</v>
      </c>
      <c r="N94" s="3" t="s">
        <v>634</v>
      </c>
      <c r="O94" s="3" t="s">
        <v>632</v>
      </c>
      <c r="P94" s="3">
        <v>3702</v>
      </c>
      <c r="Q94" s="3" t="s">
        <v>632</v>
      </c>
      <c r="R94" s="3" t="s">
        <v>632</v>
      </c>
      <c r="S94" s="3" t="s">
        <v>632</v>
      </c>
      <c r="T94" s="3" t="s">
        <v>632</v>
      </c>
      <c r="U94" s="3"/>
    </row>
    <row r="95" spans="1:21" x14ac:dyDescent="0.4">
      <c r="A95" s="11">
        <f t="shared" si="1"/>
        <v>91</v>
      </c>
      <c r="B95" s="3" t="s">
        <v>2126</v>
      </c>
      <c r="C95" s="3" t="s">
        <v>2000</v>
      </c>
      <c r="D95" s="3"/>
      <c r="E95" s="11" t="s">
        <v>36</v>
      </c>
      <c r="F95" s="11" t="s">
        <v>20</v>
      </c>
      <c r="G95" s="11" t="s">
        <v>20</v>
      </c>
      <c r="H95" s="3" t="s">
        <v>630</v>
      </c>
      <c r="I95" s="3" t="s">
        <v>629</v>
      </c>
      <c r="J95" s="3" t="s">
        <v>630</v>
      </c>
      <c r="K95" s="3" t="s">
        <v>631</v>
      </c>
      <c r="L95" s="3" t="s">
        <v>632</v>
      </c>
      <c r="M95" s="3" t="s">
        <v>1907</v>
      </c>
      <c r="N95" s="3" t="s">
        <v>634</v>
      </c>
      <c r="O95" s="3" t="s">
        <v>632</v>
      </c>
      <c r="P95" s="3">
        <v>3702</v>
      </c>
      <c r="Q95" s="3" t="s">
        <v>632</v>
      </c>
      <c r="R95" s="3" t="s">
        <v>632</v>
      </c>
      <c r="S95" s="3" t="s">
        <v>632</v>
      </c>
      <c r="T95" s="3" t="s">
        <v>632</v>
      </c>
      <c r="U95" s="3"/>
    </row>
    <row r="96" spans="1:21" x14ac:dyDescent="0.4">
      <c r="A96" s="11">
        <f t="shared" si="1"/>
        <v>92</v>
      </c>
      <c r="B96" s="3" t="s">
        <v>2127</v>
      </c>
      <c r="C96" s="3" t="s">
        <v>2000</v>
      </c>
      <c r="D96" s="3"/>
      <c r="E96" s="11" t="s">
        <v>36</v>
      </c>
      <c r="F96" s="11" t="s">
        <v>20</v>
      </c>
      <c r="G96" s="11" t="s">
        <v>20</v>
      </c>
      <c r="H96" s="3" t="s">
        <v>630</v>
      </c>
      <c r="I96" s="3" t="s">
        <v>629</v>
      </c>
      <c r="J96" s="3" t="s">
        <v>630</v>
      </c>
      <c r="K96" s="3" t="s">
        <v>631</v>
      </c>
      <c r="L96" s="3" t="s">
        <v>632</v>
      </c>
      <c r="M96" s="3" t="s">
        <v>1907</v>
      </c>
      <c r="N96" s="3" t="s">
        <v>634</v>
      </c>
      <c r="O96" s="3" t="s">
        <v>632</v>
      </c>
      <c r="P96" s="3">
        <v>1900</v>
      </c>
      <c r="Q96" s="3" t="s">
        <v>632</v>
      </c>
      <c r="R96" s="3" t="s">
        <v>632</v>
      </c>
      <c r="S96" s="3" t="s">
        <v>632</v>
      </c>
      <c r="T96" s="3" t="s">
        <v>632</v>
      </c>
      <c r="U96" s="3"/>
    </row>
    <row r="97" spans="1:21" x14ac:dyDescent="0.4">
      <c r="A97" s="11">
        <f t="shared" si="1"/>
        <v>93</v>
      </c>
      <c r="B97" s="3" t="s">
        <v>2127</v>
      </c>
      <c r="C97" s="3" t="s">
        <v>2000</v>
      </c>
      <c r="D97" s="3"/>
      <c r="E97" s="11" t="s">
        <v>20</v>
      </c>
      <c r="F97" s="11" t="s">
        <v>36</v>
      </c>
      <c r="G97" s="11" t="s">
        <v>36</v>
      </c>
      <c r="H97" s="3" t="s">
        <v>628</v>
      </c>
      <c r="I97" s="3" t="s">
        <v>629</v>
      </c>
      <c r="J97" s="3" t="s">
        <v>630</v>
      </c>
      <c r="K97" s="3" t="s">
        <v>631</v>
      </c>
      <c r="L97" s="3" t="s">
        <v>632</v>
      </c>
      <c r="M97" s="3" t="s">
        <v>1907</v>
      </c>
      <c r="N97" s="3" t="s">
        <v>634</v>
      </c>
      <c r="O97" s="3" t="s">
        <v>632</v>
      </c>
      <c r="P97" s="3">
        <v>1900</v>
      </c>
      <c r="Q97" s="3" t="s">
        <v>632</v>
      </c>
      <c r="R97" s="3" t="s">
        <v>632</v>
      </c>
      <c r="S97" s="3" t="s">
        <v>632</v>
      </c>
      <c r="T97" s="3" t="s">
        <v>632</v>
      </c>
      <c r="U97" s="3"/>
    </row>
    <row r="98" spans="1:21" x14ac:dyDescent="0.4">
      <c r="A98" s="11">
        <f t="shared" si="1"/>
        <v>94</v>
      </c>
      <c r="B98" s="3" t="s">
        <v>2128</v>
      </c>
      <c r="C98" s="3" t="s">
        <v>2000</v>
      </c>
      <c r="D98" s="3"/>
      <c r="E98" s="11" t="s">
        <v>36</v>
      </c>
      <c r="F98" s="11" t="s">
        <v>20</v>
      </c>
      <c r="G98" s="11" t="s">
        <v>20</v>
      </c>
      <c r="H98" s="3" t="s">
        <v>630</v>
      </c>
      <c r="I98" s="3" t="s">
        <v>629</v>
      </c>
      <c r="J98" s="3" t="s">
        <v>630</v>
      </c>
      <c r="K98" s="3" t="s">
        <v>644</v>
      </c>
      <c r="L98" s="3" t="s">
        <v>632</v>
      </c>
      <c r="M98" s="3" t="s">
        <v>632</v>
      </c>
      <c r="N98" s="3" t="s">
        <v>633</v>
      </c>
      <c r="O98" s="3" t="s">
        <v>632</v>
      </c>
      <c r="P98" s="3">
        <v>2869</v>
      </c>
      <c r="Q98" s="3" t="s">
        <v>632</v>
      </c>
      <c r="R98" s="3" t="s">
        <v>632</v>
      </c>
      <c r="S98" s="3" t="s">
        <v>632</v>
      </c>
      <c r="T98" s="3" t="s">
        <v>632</v>
      </c>
      <c r="U98" s="3"/>
    </row>
    <row r="99" spans="1:21" x14ac:dyDescent="0.4">
      <c r="A99" s="11">
        <f t="shared" si="1"/>
        <v>95</v>
      </c>
      <c r="B99" s="3" t="s">
        <v>2128</v>
      </c>
      <c r="C99" s="3" t="s">
        <v>2000</v>
      </c>
      <c r="D99" s="3"/>
      <c r="E99" s="11" t="s">
        <v>20</v>
      </c>
      <c r="F99" s="11" t="s">
        <v>36</v>
      </c>
      <c r="G99" s="11" t="s">
        <v>36</v>
      </c>
      <c r="H99" s="3" t="s">
        <v>628</v>
      </c>
      <c r="I99" s="3" t="s">
        <v>629</v>
      </c>
      <c r="J99" s="3" t="s">
        <v>630</v>
      </c>
      <c r="K99" s="3" t="s">
        <v>644</v>
      </c>
      <c r="L99" s="3" t="s">
        <v>632</v>
      </c>
      <c r="M99" s="3" t="s">
        <v>632</v>
      </c>
      <c r="N99" s="3" t="s">
        <v>633</v>
      </c>
      <c r="O99" s="3" t="s">
        <v>632</v>
      </c>
      <c r="P99" s="3">
        <v>2869</v>
      </c>
      <c r="Q99" s="3" t="s">
        <v>632</v>
      </c>
      <c r="R99" s="3" t="s">
        <v>632</v>
      </c>
      <c r="S99" s="3" t="s">
        <v>632</v>
      </c>
      <c r="T99" s="3" t="s">
        <v>632</v>
      </c>
      <c r="U99" s="3"/>
    </row>
    <row r="100" spans="1:21" x14ac:dyDescent="0.4">
      <c r="A100" s="11">
        <f t="shared" si="1"/>
        <v>96</v>
      </c>
      <c r="B100" s="3" t="s">
        <v>2129</v>
      </c>
      <c r="C100" s="3" t="s">
        <v>2000</v>
      </c>
      <c r="D100" s="3"/>
      <c r="E100" s="11" t="s">
        <v>36</v>
      </c>
      <c r="F100" s="11" t="s">
        <v>20</v>
      </c>
      <c r="G100" s="11" t="s">
        <v>20</v>
      </c>
      <c r="H100" s="3" t="s">
        <v>630</v>
      </c>
      <c r="I100" s="3" t="s">
        <v>629</v>
      </c>
      <c r="J100" s="3" t="s">
        <v>630</v>
      </c>
      <c r="K100" s="3" t="s">
        <v>631</v>
      </c>
      <c r="L100" s="3" t="s">
        <v>632</v>
      </c>
      <c r="M100" s="3" t="s">
        <v>1907</v>
      </c>
      <c r="N100" s="3" t="s">
        <v>633</v>
      </c>
      <c r="O100" s="3" t="s">
        <v>632</v>
      </c>
      <c r="P100" s="3">
        <v>2869</v>
      </c>
      <c r="Q100" s="3" t="s">
        <v>632</v>
      </c>
      <c r="R100" s="3" t="s">
        <v>632</v>
      </c>
      <c r="S100" s="3" t="s">
        <v>632</v>
      </c>
      <c r="T100" s="3" t="s">
        <v>632</v>
      </c>
      <c r="U100" s="3"/>
    </row>
    <row r="101" spans="1:21" x14ac:dyDescent="0.4">
      <c r="A101" s="11">
        <f t="shared" si="1"/>
        <v>97</v>
      </c>
      <c r="B101" s="3" t="s">
        <v>2129</v>
      </c>
      <c r="C101" s="3" t="s">
        <v>2000</v>
      </c>
      <c r="D101" s="3"/>
      <c r="E101" s="11" t="s">
        <v>20</v>
      </c>
      <c r="F101" s="11" t="s">
        <v>36</v>
      </c>
      <c r="G101" s="11" t="s">
        <v>36</v>
      </c>
      <c r="H101" s="3" t="s">
        <v>628</v>
      </c>
      <c r="I101" s="3" t="s">
        <v>629</v>
      </c>
      <c r="J101" s="3" t="s">
        <v>630</v>
      </c>
      <c r="K101" s="3" t="s">
        <v>631</v>
      </c>
      <c r="L101" s="3" t="s">
        <v>632</v>
      </c>
      <c r="M101" s="3" t="s">
        <v>1907</v>
      </c>
      <c r="N101" s="3" t="s">
        <v>633</v>
      </c>
      <c r="O101" s="3" t="s">
        <v>632</v>
      </c>
      <c r="P101" s="3">
        <v>2869</v>
      </c>
      <c r="Q101" s="3" t="s">
        <v>632</v>
      </c>
      <c r="R101" s="3" t="s">
        <v>632</v>
      </c>
      <c r="S101" s="3" t="s">
        <v>632</v>
      </c>
      <c r="T101" s="3" t="s">
        <v>632</v>
      </c>
      <c r="U101" s="3"/>
    </row>
    <row r="102" spans="1:21" x14ac:dyDescent="0.4">
      <c r="A102" s="11">
        <f t="shared" si="1"/>
        <v>98</v>
      </c>
      <c r="B102" s="3" t="s">
        <v>2130</v>
      </c>
      <c r="C102" s="3" t="s">
        <v>2000</v>
      </c>
      <c r="D102" s="3"/>
      <c r="E102" s="11" t="s">
        <v>20</v>
      </c>
      <c r="F102" s="11" t="s">
        <v>36</v>
      </c>
      <c r="G102" s="11" t="s">
        <v>36</v>
      </c>
      <c r="H102" s="3" t="s">
        <v>628</v>
      </c>
      <c r="I102" s="3" t="s">
        <v>629</v>
      </c>
      <c r="J102" s="3" t="s">
        <v>630</v>
      </c>
      <c r="K102" s="3" t="s">
        <v>644</v>
      </c>
      <c r="L102" s="3" t="s">
        <v>632</v>
      </c>
      <c r="M102" s="3" t="s">
        <v>632</v>
      </c>
      <c r="N102" s="3" t="s">
        <v>633</v>
      </c>
      <c r="O102" s="3" t="s">
        <v>632</v>
      </c>
      <c r="P102" s="3">
        <v>5358</v>
      </c>
      <c r="Q102" s="3" t="s">
        <v>632</v>
      </c>
      <c r="R102" s="3" t="s">
        <v>632</v>
      </c>
      <c r="S102" s="3" t="s">
        <v>632</v>
      </c>
      <c r="T102" s="3" t="s">
        <v>632</v>
      </c>
      <c r="U102" s="3"/>
    </row>
    <row r="103" spans="1:21" x14ac:dyDescent="0.4">
      <c r="A103" s="11">
        <f t="shared" si="1"/>
        <v>99</v>
      </c>
      <c r="B103" s="3" t="s">
        <v>2130</v>
      </c>
      <c r="C103" s="3" t="s">
        <v>2000</v>
      </c>
      <c r="D103" s="3"/>
      <c r="E103" s="11" t="s">
        <v>36</v>
      </c>
      <c r="F103" s="11" t="s">
        <v>20</v>
      </c>
      <c r="G103" s="11" t="s">
        <v>20</v>
      </c>
      <c r="H103" s="3" t="s">
        <v>630</v>
      </c>
      <c r="I103" s="3" t="s">
        <v>629</v>
      </c>
      <c r="J103" s="3" t="s">
        <v>630</v>
      </c>
      <c r="K103" s="3" t="s">
        <v>644</v>
      </c>
      <c r="L103" s="3" t="s">
        <v>632</v>
      </c>
      <c r="M103" s="3" t="s">
        <v>632</v>
      </c>
      <c r="N103" s="3" t="s">
        <v>633</v>
      </c>
      <c r="O103" s="3" t="s">
        <v>632</v>
      </c>
      <c r="P103" s="3">
        <v>5358</v>
      </c>
      <c r="Q103" s="3" t="s">
        <v>632</v>
      </c>
      <c r="R103" s="3" t="s">
        <v>632</v>
      </c>
      <c r="S103" s="3" t="s">
        <v>632</v>
      </c>
      <c r="T103" s="3" t="s">
        <v>632</v>
      </c>
      <c r="U103" s="3"/>
    </row>
    <row r="104" spans="1:21" x14ac:dyDescent="0.4">
      <c r="A104" s="11">
        <f t="shared" si="1"/>
        <v>100</v>
      </c>
      <c r="B104" s="3" t="s">
        <v>2131</v>
      </c>
      <c r="C104" s="3" t="s">
        <v>2000</v>
      </c>
      <c r="D104" s="3"/>
      <c r="E104" s="11" t="s">
        <v>36</v>
      </c>
      <c r="F104" s="11" t="s">
        <v>20</v>
      </c>
      <c r="G104" s="11" t="s">
        <v>20</v>
      </c>
      <c r="H104" s="3" t="s">
        <v>630</v>
      </c>
      <c r="I104" s="3" t="s">
        <v>629</v>
      </c>
      <c r="J104" s="3" t="s">
        <v>630</v>
      </c>
      <c r="K104" s="3" t="s">
        <v>644</v>
      </c>
      <c r="L104" s="3" t="s">
        <v>632</v>
      </c>
      <c r="M104" s="3" t="s">
        <v>632</v>
      </c>
      <c r="N104" s="3" t="s">
        <v>633</v>
      </c>
      <c r="O104" s="3" t="s">
        <v>632</v>
      </c>
      <c r="P104" s="3">
        <v>5357</v>
      </c>
      <c r="Q104" s="3" t="s">
        <v>632</v>
      </c>
      <c r="R104" s="3" t="s">
        <v>632</v>
      </c>
      <c r="S104" s="3" t="s">
        <v>632</v>
      </c>
      <c r="T104" s="3" t="s">
        <v>632</v>
      </c>
      <c r="U104" s="3"/>
    </row>
    <row r="105" spans="1:21" x14ac:dyDescent="0.4">
      <c r="A105" s="11">
        <f t="shared" si="1"/>
        <v>101</v>
      </c>
      <c r="B105" s="3" t="s">
        <v>2131</v>
      </c>
      <c r="C105" s="3" t="s">
        <v>2000</v>
      </c>
      <c r="D105" s="3"/>
      <c r="E105" s="11" t="s">
        <v>20</v>
      </c>
      <c r="F105" s="11" t="s">
        <v>36</v>
      </c>
      <c r="G105" s="11" t="s">
        <v>36</v>
      </c>
      <c r="H105" s="3" t="s">
        <v>628</v>
      </c>
      <c r="I105" s="3" t="s">
        <v>629</v>
      </c>
      <c r="J105" s="3" t="s">
        <v>630</v>
      </c>
      <c r="K105" s="3" t="s">
        <v>644</v>
      </c>
      <c r="L105" s="3" t="s">
        <v>632</v>
      </c>
      <c r="M105" s="3" t="s">
        <v>632</v>
      </c>
      <c r="N105" s="3" t="s">
        <v>633</v>
      </c>
      <c r="O105" s="3" t="s">
        <v>632</v>
      </c>
      <c r="P105" s="3">
        <v>5357</v>
      </c>
      <c r="Q105" s="3" t="s">
        <v>632</v>
      </c>
      <c r="R105" s="3" t="s">
        <v>632</v>
      </c>
      <c r="S105" s="3" t="s">
        <v>632</v>
      </c>
      <c r="T105" s="3" t="s">
        <v>632</v>
      </c>
      <c r="U105" s="3"/>
    </row>
    <row r="106" spans="1:21" x14ac:dyDescent="0.4">
      <c r="A106" s="11">
        <f t="shared" si="1"/>
        <v>102</v>
      </c>
      <c r="B106" s="3" t="s">
        <v>2132</v>
      </c>
      <c r="C106" s="3" t="s">
        <v>2000</v>
      </c>
      <c r="D106" s="3"/>
      <c r="E106" s="11" t="s">
        <v>36</v>
      </c>
      <c r="F106" s="11" t="s">
        <v>20</v>
      </c>
      <c r="G106" s="11" t="s">
        <v>20</v>
      </c>
      <c r="H106" s="3" t="s">
        <v>630</v>
      </c>
      <c r="I106" s="3" t="s">
        <v>629</v>
      </c>
      <c r="J106" s="3" t="s">
        <v>630</v>
      </c>
      <c r="K106" s="3" t="s">
        <v>631</v>
      </c>
      <c r="L106" s="3" t="s">
        <v>632</v>
      </c>
      <c r="M106" s="3" t="s">
        <v>1907</v>
      </c>
      <c r="N106" s="3" t="s">
        <v>634</v>
      </c>
      <c r="O106" s="3" t="s">
        <v>632</v>
      </c>
      <c r="P106" s="3">
        <v>3702</v>
      </c>
      <c r="Q106" s="3" t="s">
        <v>632</v>
      </c>
      <c r="R106" s="3" t="s">
        <v>632</v>
      </c>
      <c r="S106" s="3" t="s">
        <v>632</v>
      </c>
      <c r="T106" s="3" t="s">
        <v>632</v>
      </c>
      <c r="U106" s="3"/>
    </row>
    <row r="107" spans="1:21" x14ac:dyDescent="0.4">
      <c r="A107" s="11">
        <f t="shared" si="1"/>
        <v>103</v>
      </c>
      <c r="B107" s="3" t="s">
        <v>2132</v>
      </c>
      <c r="C107" s="3" t="s">
        <v>2000</v>
      </c>
      <c r="D107" s="3"/>
      <c r="E107" s="11" t="s">
        <v>20</v>
      </c>
      <c r="F107" s="11" t="s">
        <v>36</v>
      </c>
      <c r="G107" s="11" t="s">
        <v>36</v>
      </c>
      <c r="H107" s="3" t="s">
        <v>628</v>
      </c>
      <c r="I107" s="3" t="s">
        <v>629</v>
      </c>
      <c r="J107" s="3" t="s">
        <v>630</v>
      </c>
      <c r="K107" s="3" t="s">
        <v>631</v>
      </c>
      <c r="L107" s="3" t="s">
        <v>632</v>
      </c>
      <c r="M107" s="3" t="s">
        <v>1907</v>
      </c>
      <c r="N107" s="3" t="s">
        <v>634</v>
      </c>
      <c r="O107" s="3" t="s">
        <v>632</v>
      </c>
      <c r="P107" s="3">
        <v>3702</v>
      </c>
      <c r="Q107" s="3" t="s">
        <v>632</v>
      </c>
      <c r="R107" s="3" t="s">
        <v>632</v>
      </c>
      <c r="S107" s="3" t="s">
        <v>632</v>
      </c>
      <c r="T107" s="3" t="s">
        <v>632</v>
      </c>
      <c r="U107" s="3"/>
    </row>
    <row r="108" spans="1:21" x14ac:dyDescent="0.4">
      <c r="A108" s="11">
        <f t="shared" si="1"/>
        <v>104</v>
      </c>
      <c r="B108" s="3" t="s">
        <v>2133</v>
      </c>
      <c r="C108" s="3" t="s">
        <v>2013</v>
      </c>
      <c r="D108" s="3"/>
      <c r="E108" s="11" t="s">
        <v>20</v>
      </c>
      <c r="F108" s="11" t="s">
        <v>20</v>
      </c>
      <c r="G108" s="11" t="s">
        <v>20</v>
      </c>
      <c r="H108" s="3" t="s">
        <v>630</v>
      </c>
      <c r="I108" s="3" t="s">
        <v>629</v>
      </c>
      <c r="J108" s="3" t="s">
        <v>630</v>
      </c>
      <c r="K108" s="3" t="s">
        <v>631</v>
      </c>
      <c r="L108" s="3" t="s">
        <v>632</v>
      </c>
      <c r="M108" s="3" t="s">
        <v>1907</v>
      </c>
      <c r="N108" s="3" t="s">
        <v>634</v>
      </c>
      <c r="O108" s="3" t="s">
        <v>632</v>
      </c>
      <c r="P108" s="3">
        <v>5355</v>
      </c>
      <c r="Q108" s="3" t="s">
        <v>632</v>
      </c>
      <c r="R108" s="3" t="s">
        <v>632</v>
      </c>
      <c r="S108" s="3" t="s">
        <v>632</v>
      </c>
      <c r="T108" s="3" t="s">
        <v>632</v>
      </c>
      <c r="U108" s="3"/>
    </row>
    <row r="109" spans="1:21" x14ac:dyDescent="0.4">
      <c r="A109" s="11">
        <f t="shared" si="1"/>
        <v>105</v>
      </c>
      <c r="B109" s="3" t="s">
        <v>2134</v>
      </c>
      <c r="C109" s="3" t="s">
        <v>2013</v>
      </c>
      <c r="D109" s="3"/>
      <c r="E109" s="11" t="s">
        <v>20</v>
      </c>
      <c r="F109" s="11" t="s">
        <v>20</v>
      </c>
      <c r="G109" s="11" t="s">
        <v>20</v>
      </c>
      <c r="H109" s="3" t="s">
        <v>630</v>
      </c>
      <c r="I109" s="3" t="s">
        <v>629</v>
      </c>
      <c r="J109" s="3" t="s">
        <v>630</v>
      </c>
      <c r="K109" s="3" t="s">
        <v>644</v>
      </c>
      <c r="L109" s="3" t="s">
        <v>632</v>
      </c>
      <c r="M109" s="3" t="s">
        <v>632</v>
      </c>
      <c r="N109" s="3" t="s">
        <v>634</v>
      </c>
      <c r="O109" s="3" t="s">
        <v>632</v>
      </c>
      <c r="P109" s="3">
        <v>138</v>
      </c>
      <c r="Q109" s="3" t="s">
        <v>632</v>
      </c>
      <c r="R109" s="3" t="s">
        <v>632</v>
      </c>
      <c r="S109" s="3" t="s">
        <v>632</v>
      </c>
      <c r="T109" s="3" t="s">
        <v>632</v>
      </c>
      <c r="U109" s="3"/>
    </row>
    <row r="110" spans="1:21" x14ac:dyDescent="0.4">
      <c r="A110" s="11">
        <f t="shared" si="1"/>
        <v>106</v>
      </c>
      <c r="B110" s="3" t="s">
        <v>2135</v>
      </c>
      <c r="C110" s="3" t="s">
        <v>2013</v>
      </c>
      <c r="D110" s="3"/>
      <c r="E110" s="11" t="s">
        <v>20</v>
      </c>
      <c r="F110" s="11" t="s">
        <v>20</v>
      </c>
      <c r="G110" s="11" t="s">
        <v>20</v>
      </c>
      <c r="H110" s="3" t="s">
        <v>630</v>
      </c>
      <c r="I110" s="3" t="s">
        <v>629</v>
      </c>
      <c r="J110" s="3" t="s">
        <v>630</v>
      </c>
      <c r="K110" s="3" t="s">
        <v>644</v>
      </c>
      <c r="L110" s="3" t="s">
        <v>632</v>
      </c>
      <c r="M110" s="3" t="s">
        <v>632</v>
      </c>
      <c r="N110" s="3" t="s">
        <v>634</v>
      </c>
      <c r="O110" s="3" t="s">
        <v>632</v>
      </c>
      <c r="P110" s="3">
        <v>137</v>
      </c>
      <c r="Q110" s="3" t="s">
        <v>632</v>
      </c>
      <c r="R110" s="3" t="s">
        <v>632</v>
      </c>
      <c r="S110" s="3" t="s">
        <v>632</v>
      </c>
      <c r="T110" s="3" t="s">
        <v>632</v>
      </c>
      <c r="U110" s="3"/>
    </row>
    <row r="111" spans="1:21" x14ac:dyDescent="0.4">
      <c r="A111" s="11">
        <f t="shared" si="1"/>
        <v>107</v>
      </c>
      <c r="B111" s="3" t="s">
        <v>2136</v>
      </c>
      <c r="C111" s="3" t="s">
        <v>2013</v>
      </c>
      <c r="D111" s="3"/>
      <c r="E111" s="11" t="s">
        <v>20</v>
      </c>
      <c r="F111" s="11" t="s">
        <v>20</v>
      </c>
      <c r="G111" s="11" t="s">
        <v>20</v>
      </c>
      <c r="H111" s="3" t="s">
        <v>630</v>
      </c>
      <c r="I111" s="3" t="s">
        <v>629</v>
      </c>
      <c r="J111" s="3" t="s">
        <v>630</v>
      </c>
      <c r="K111" s="3" t="s">
        <v>644</v>
      </c>
      <c r="L111" s="3" t="s">
        <v>632</v>
      </c>
      <c r="M111" s="3" t="s">
        <v>632</v>
      </c>
      <c r="N111" s="3" t="s">
        <v>633</v>
      </c>
      <c r="O111" s="3" t="s">
        <v>632</v>
      </c>
      <c r="P111" s="3">
        <v>139</v>
      </c>
      <c r="Q111" s="3" t="s">
        <v>632</v>
      </c>
      <c r="R111" s="3" t="s">
        <v>632</v>
      </c>
      <c r="S111" s="3" t="s">
        <v>632</v>
      </c>
      <c r="T111" s="3" t="s">
        <v>632</v>
      </c>
      <c r="U111" s="3"/>
    </row>
    <row r="112" spans="1:21" x14ac:dyDescent="0.4">
      <c r="A112" s="11">
        <f t="shared" si="1"/>
        <v>108</v>
      </c>
      <c r="B112" s="3" t="s">
        <v>2137</v>
      </c>
      <c r="C112" s="3" t="s">
        <v>2013</v>
      </c>
      <c r="D112" s="3"/>
      <c r="E112" s="11" t="s">
        <v>20</v>
      </c>
      <c r="F112" s="11" t="s">
        <v>20</v>
      </c>
      <c r="G112" s="11" t="s">
        <v>20</v>
      </c>
      <c r="H112" s="3" t="s">
        <v>630</v>
      </c>
      <c r="I112" s="3" t="s">
        <v>629</v>
      </c>
      <c r="J112" s="3" t="s">
        <v>630</v>
      </c>
      <c r="K112" s="3" t="s">
        <v>644</v>
      </c>
      <c r="L112" s="3" t="s">
        <v>632</v>
      </c>
      <c r="M112" s="3" t="s">
        <v>632</v>
      </c>
      <c r="N112" s="3" t="s">
        <v>633</v>
      </c>
      <c r="O112" s="3" t="s">
        <v>632</v>
      </c>
      <c r="P112" s="3">
        <v>445</v>
      </c>
      <c r="Q112" s="3" t="s">
        <v>632</v>
      </c>
      <c r="R112" s="3" t="s">
        <v>632</v>
      </c>
      <c r="S112" s="3" t="s">
        <v>632</v>
      </c>
      <c r="T112" s="3" t="s">
        <v>632</v>
      </c>
      <c r="U112" s="3"/>
    </row>
    <row r="113" spans="1:21" x14ac:dyDescent="0.4">
      <c r="A113" s="11">
        <f t="shared" si="1"/>
        <v>109</v>
      </c>
      <c r="B113" s="3" t="s">
        <v>2138</v>
      </c>
      <c r="C113" s="3" t="s">
        <v>2013</v>
      </c>
      <c r="D113" s="3"/>
      <c r="E113" s="11" t="s">
        <v>20</v>
      </c>
      <c r="F113" s="11" t="s">
        <v>20</v>
      </c>
      <c r="G113" s="11" t="s">
        <v>20</v>
      </c>
      <c r="H113" s="3" t="s">
        <v>630</v>
      </c>
      <c r="I113" s="3" t="s">
        <v>629</v>
      </c>
      <c r="J113" s="3" t="s">
        <v>630</v>
      </c>
      <c r="K113" s="3" t="s">
        <v>644</v>
      </c>
      <c r="L113" s="3" t="s">
        <v>632</v>
      </c>
      <c r="M113" s="3" t="s">
        <v>632</v>
      </c>
      <c r="N113" s="3" t="s">
        <v>670</v>
      </c>
      <c r="O113" s="3" t="s">
        <v>632</v>
      </c>
      <c r="P113" s="3" t="s">
        <v>632</v>
      </c>
      <c r="Q113" s="3" t="s">
        <v>632</v>
      </c>
      <c r="R113" s="3" t="s">
        <v>632</v>
      </c>
      <c r="S113" s="3" t="s">
        <v>632</v>
      </c>
      <c r="T113" s="3" t="s">
        <v>632</v>
      </c>
      <c r="U113" s="3"/>
    </row>
    <row r="114" spans="1:21" x14ac:dyDescent="0.4">
      <c r="A114" s="11">
        <f t="shared" si="1"/>
        <v>110</v>
      </c>
      <c r="B114" s="3" t="s">
        <v>2139</v>
      </c>
      <c r="C114" s="3" t="s">
        <v>2013</v>
      </c>
      <c r="D114" s="3"/>
      <c r="E114" s="11" t="s">
        <v>20</v>
      </c>
      <c r="F114" s="11" t="s">
        <v>20</v>
      </c>
      <c r="G114" s="11" t="s">
        <v>20</v>
      </c>
      <c r="H114" s="3" t="s">
        <v>630</v>
      </c>
      <c r="I114" s="3" t="s">
        <v>629</v>
      </c>
      <c r="J114" s="3" t="s">
        <v>630</v>
      </c>
      <c r="K114" s="3" t="s">
        <v>644</v>
      </c>
      <c r="L114" s="3" t="s">
        <v>632</v>
      </c>
      <c r="M114" s="3" t="s">
        <v>632</v>
      </c>
      <c r="N114" s="3" t="s">
        <v>668</v>
      </c>
      <c r="O114" s="3" t="s">
        <v>632</v>
      </c>
      <c r="P114" s="3" t="s">
        <v>632</v>
      </c>
      <c r="Q114" s="3" t="s">
        <v>632</v>
      </c>
      <c r="R114" s="3" t="s">
        <v>632</v>
      </c>
      <c r="S114" s="3" t="s">
        <v>632</v>
      </c>
      <c r="T114" s="3" t="s">
        <v>632</v>
      </c>
      <c r="U114" s="3"/>
    </row>
    <row r="115" spans="1:21" x14ac:dyDescent="0.4">
      <c r="A115" s="11">
        <f t="shared" si="1"/>
        <v>111</v>
      </c>
      <c r="B115" s="3" t="s">
        <v>2140</v>
      </c>
      <c r="C115" s="3" t="s">
        <v>2140</v>
      </c>
      <c r="D115" s="3"/>
      <c r="E115" s="11" t="s">
        <v>20</v>
      </c>
      <c r="F115" s="11" t="s">
        <v>20</v>
      </c>
      <c r="G115" s="11" t="s">
        <v>20</v>
      </c>
      <c r="H115" s="3" t="s">
        <v>628</v>
      </c>
      <c r="I115" s="3" t="s">
        <v>629</v>
      </c>
      <c r="J115" s="3" t="s">
        <v>630</v>
      </c>
      <c r="K115" s="3" t="s">
        <v>632</v>
      </c>
      <c r="L115" s="3" t="s">
        <v>632</v>
      </c>
      <c r="M115" s="3" t="s">
        <v>632</v>
      </c>
      <c r="N115" s="3" t="s">
        <v>632</v>
      </c>
      <c r="O115" s="3" t="s">
        <v>632</v>
      </c>
      <c r="P115" s="3" t="s">
        <v>632</v>
      </c>
      <c r="Q115" s="3" t="s">
        <v>632</v>
      </c>
      <c r="R115" s="3" t="s">
        <v>632</v>
      </c>
      <c r="S115" s="3" t="s">
        <v>1950</v>
      </c>
      <c r="T115" s="3" t="s">
        <v>2141</v>
      </c>
      <c r="U115" s="3"/>
    </row>
    <row r="116" spans="1:21" x14ac:dyDescent="0.4">
      <c r="A116" s="11">
        <f t="shared" si="1"/>
        <v>112</v>
      </c>
      <c r="B116" s="3" t="s">
        <v>2142</v>
      </c>
      <c r="C116" s="3" t="s">
        <v>2048</v>
      </c>
      <c r="D116" s="3"/>
      <c r="E116" s="11" t="s">
        <v>20</v>
      </c>
      <c r="F116" s="11" t="s">
        <v>20</v>
      </c>
      <c r="G116" s="11" t="s">
        <v>20</v>
      </c>
      <c r="H116" s="3" t="s">
        <v>630</v>
      </c>
      <c r="I116" s="3" t="s">
        <v>629</v>
      </c>
      <c r="J116" s="3" t="s">
        <v>630</v>
      </c>
      <c r="K116" s="3" t="s">
        <v>644</v>
      </c>
      <c r="L116" s="3" t="s">
        <v>632</v>
      </c>
      <c r="M116" s="3" t="s">
        <v>632</v>
      </c>
      <c r="N116" s="3" t="s">
        <v>688</v>
      </c>
      <c r="O116" s="3" t="s">
        <v>632</v>
      </c>
      <c r="P116" s="3" t="s">
        <v>632</v>
      </c>
      <c r="Q116" s="3" t="s">
        <v>632</v>
      </c>
      <c r="R116" s="3" t="s">
        <v>632</v>
      </c>
      <c r="S116" s="3" t="s">
        <v>632</v>
      </c>
      <c r="T116" s="3" t="s">
        <v>632</v>
      </c>
      <c r="U116" s="3"/>
    </row>
    <row r="117" spans="1:21" x14ac:dyDescent="0.4">
      <c r="A117" s="11">
        <f t="shared" si="1"/>
        <v>113</v>
      </c>
      <c r="B117" s="3" t="s">
        <v>2143</v>
      </c>
      <c r="C117" s="3" t="s">
        <v>2048</v>
      </c>
      <c r="D117" s="3"/>
      <c r="E117" s="11" t="s">
        <v>20</v>
      </c>
      <c r="F117" s="11" t="s">
        <v>20</v>
      </c>
      <c r="G117" s="11" t="s">
        <v>20</v>
      </c>
      <c r="H117" s="3" t="s">
        <v>630</v>
      </c>
      <c r="I117" s="3" t="s">
        <v>629</v>
      </c>
      <c r="J117" s="3" t="s">
        <v>630</v>
      </c>
      <c r="K117" s="3" t="s">
        <v>644</v>
      </c>
      <c r="L117" s="3" t="s">
        <v>632</v>
      </c>
      <c r="M117" s="3" t="s">
        <v>632</v>
      </c>
      <c r="N117" s="3" t="s">
        <v>634</v>
      </c>
      <c r="O117" s="3" t="s">
        <v>632</v>
      </c>
      <c r="P117" s="3">
        <v>1701</v>
      </c>
      <c r="Q117" s="3" t="s">
        <v>632</v>
      </c>
      <c r="R117" s="3" t="s">
        <v>632</v>
      </c>
      <c r="S117" s="3" t="s">
        <v>632</v>
      </c>
      <c r="T117" s="3" t="s">
        <v>632</v>
      </c>
      <c r="U117" s="3"/>
    </row>
    <row r="118" spans="1:21" x14ac:dyDescent="0.4">
      <c r="A118" s="11">
        <f t="shared" si="1"/>
        <v>114</v>
      </c>
      <c r="B118" s="3" t="s">
        <v>2144</v>
      </c>
      <c r="C118" s="3" t="s">
        <v>2048</v>
      </c>
      <c r="D118" s="3"/>
      <c r="E118" s="11" t="s">
        <v>20</v>
      </c>
      <c r="F118" s="11" t="s">
        <v>20</v>
      </c>
      <c r="G118" s="11" t="s">
        <v>20</v>
      </c>
      <c r="H118" s="3" t="s">
        <v>630</v>
      </c>
      <c r="I118" s="3" t="s">
        <v>629</v>
      </c>
      <c r="J118" s="3" t="s">
        <v>630</v>
      </c>
      <c r="K118" s="3" t="s">
        <v>644</v>
      </c>
      <c r="L118" s="3" t="s">
        <v>632</v>
      </c>
      <c r="M118" s="3" t="s">
        <v>632</v>
      </c>
      <c r="N118" s="3" t="s">
        <v>633</v>
      </c>
      <c r="O118" s="3" t="s">
        <v>632</v>
      </c>
      <c r="P118" s="3">
        <v>1723</v>
      </c>
      <c r="Q118" s="3" t="s">
        <v>632</v>
      </c>
      <c r="R118" s="3" t="s">
        <v>632</v>
      </c>
      <c r="S118" s="3" t="s">
        <v>632</v>
      </c>
      <c r="T118" s="3" t="s">
        <v>632</v>
      </c>
      <c r="U118" s="3"/>
    </row>
    <row r="119" spans="1:21" x14ac:dyDescent="0.4">
      <c r="A119" s="11">
        <f t="shared" si="1"/>
        <v>115</v>
      </c>
      <c r="B119" s="3" t="s">
        <v>2057</v>
      </c>
      <c r="C119" s="3" t="s">
        <v>2057</v>
      </c>
      <c r="D119" s="3"/>
      <c r="E119" s="11" t="s">
        <v>20</v>
      </c>
      <c r="F119" s="11" t="s">
        <v>20</v>
      </c>
      <c r="G119" s="11" t="s">
        <v>20</v>
      </c>
      <c r="H119" s="3" t="s">
        <v>628</v>
      </c>
      <c r="I119" s="3" t="s">
        <v>629</v>
      </c>
      <c r="J119" s="3" t="s">
        <v>630</v>
      </c>
      <c r="K119" s="3" t="s">
        <v>632</v>
      </c>
      <c r="L119" s="3" t="s">
        <v>632</v>
      </c>
      <c r="M119" s="3" t="s">
        <v>632</v>
      </c>
      <c r="N119" s="3" t="s">
        <v>632</v>
      </c>
      <c r="O119" s="3" t="s">
        <v>632</v>
      </c>
      <c r="P119" s="3" t="s">
        <v>632</v>
      </c>
      <c r="Q119" s="3" t="s">
        <v>632</v>
      </c>
      <c r="R119" s="3" t="s">
        <v>632</v>
      </c>
      <c r="S119" s="3" t="s">
        <v>1950</v>
      </c>
      <c r="T119" s="3" t="s">
        <v>2058</v>
      </c>
      <c r="U119" s="3"/>
    </row>
    <row r="120" spans="1:21" x14ac:dyDescent="0.4">
      <c r="A120" s="11">
        <f t="shared" si="1"/>
        <v>116</v>
      </c>
      <c r="B120" s="3" t="s">
        <v>2145</v>
      </c>
      <c r="C120" s="3" t="s">
        <v>2060</v>
      </c>
      <c r="D120" s="3"/>
      <c r="E120" s="11" t="s">
        <v>20</v>
      </c>
      <c r="F120" s="11" t="s">
        <v>20</v>
      </c>
      <c r="G120" s="11" t="s">
        <v>20</v>
      </c>
      <c r="H120" s="3" t="s">
        <v>630</v>
      </c>
      <c r="I120" s="3" t="s">
        <v>629</v>
      </c>
      <c r="J120" s="3" t="s">
        <v>630</v>
      </c>
      <c r="K120" s="3" t="s">
        <v>689</v>
      </c>
      <c r="L120" s="3" t="s">
        <v>632</v>
      </c>
      <c r="M120" s="3" t="s">
        <v>632</v>
      </c>
      <c r="N120" s="3" t="s">
        <v>633</v>
      </c>
      <c r="O120" s="3" t="s">
        <v>632</v>
      </c>
      <c r="P120" s="3" t="s">
        <v>632</v>
      </c>
      <c r="Q120" s="3" t="s">
        <v>632</v>
      </c>
      <c r="R120" s="3" t="s">
        <v>632</v>
      </c>
      <c r="S120" s="3" t="s">
        <v>632</v>
      </c>
      <c r="T120" s="3" t="s">
        <v>632</v>
      </c>
      <c r="U120" s="3"/>
    </row>
  </sheetData>
  <phoneticPr fontId="1"/>
  <dataValidations count="4">
    <dataValidation type="list" allowBlank="1" showInputMessage="1" showErrorMessage="1" sqref="Q7:R48 E5:G26 E33:G33 E38:G39 E76:E79 G76:G79 F77:F78 E41 E43 F42:G42 F40:G40 G41 G43 E36 E34 G34:G37 F37 F35 E27 F28 F30:G30 F32:G32 E31 E29 G27:G29 G31 E44:G75 E80:G120" xr:uid="{514A0BC1-BA75-CD4F-9141-DF4399EEDA61}">
      <formula1>work_チェックボックス</formula1>
    </dataValidation>
    <dataValidation type="list" allowBlank="1" showInputMessage="1" showErrorMessage="1" sqref="H5:H120" xr:uid="{48DF08BE-F890-4683-81DB-99D1520FF873}">
      <formula1>"はい,いいえ"</formula1>
    </dataValidation>
    <dataValidation type="list" allowBlank="1" showInputMessage="1" showErrorMessage="1" sqref="I5:I120" xr:uid="{30697FA8-557B-4079-B8C2-BECE7FBE5A66}">
      <formula1>"許可,保護されている場合、許可,ブロック"</formula1>
    </dataValidation>
    <dataValidation type="list" allowBlank="1" showInputMessage="1" showErrorMessage="1" sqref="D5:D120" xr:uid="{FBD8DC7F-A38C-4DCE-9635-6E167CE3A060}">
      <formula1>"-,変更"</formula1>
    </dataValidation>
  </dataValidations>
  <pageMargins left="0.7" right="0.7" top="0.75" bottom="0.75" header="0.3" footer="0.3"/>
  <pageSetup paperSize="9" orientation="portrait" horizontalDpi="0" verticalDpi="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4FAEF8-551E-C146-8534-3A486B3ED6D5}">
  <sheetPr>
    <outlinePr summaryBelow="0" summaryRight="0"/>
  </sheetPr>
  <dimension ref="A1:R38"/>
  <sheetViews>
    <sheetView zoomScale="90" zoomScaleNormal="90" workbookViewId="0">
      <pane ySplit="4" topLeftCell="A32" activePane="bottomLeft" state="frozen"/>
      <selection pane="bottomLeft" activeCell="N30" sqref="N30"/>
    </sheetView>
  </sheetViews>
  <sheetFormatPr defaultColWidth="11.5546875" defaultRowHeight="19.5" x14ac:dyDescent="0.4"/>
  <cols>
    <col min="1" max="13" width="4.6640625" customWidth="1"/>
    <col min="14" max="14" width="60.6640625" customWidth="1"/>
    <col min="15" max="15" width="30.88671875" bestFit="1" customWidth="1"/>
    <col min="16" max="16" width="8.6640625" bestFit="1" customWidth="1"/>
    <col min="17" max="17" width="30.88671875" bestFit="1" customWidth="1"/>
    <col min="18" max="18" width="30.6640625" customWidth="1"/>
  </cols>
  <sheetData>
    <row r="1" spans="1:18" x14ac:dyDescent="0.4">
      <c r="A1" s="1" t="str">
        <f ca="1">RIGHT(CELL("filename",A1),LEN(CELL("filename",A1))-FIND("]",CELL("filename",A1)))</f>
        <v>3.3.コントロールパネル(共通)</v>
      </c>
    </row>
    <row r="3" spans="1:18" x14ac:dyDescent="0.4">
      <c r="A3" s="62" t="s">
        <v>3</v>
      </c>
      <c r="B3" s="61" t="s">
        <v>4</v>
      </c>
      <c r="C3" s="82"/>
      <c r="D3" s="82"/>
      <c r="E3" s="82"/>
      <c r="F3" s="82"/>
      <c r="G3" s="82"/>
      <c r="H3" s="82"/>
      <c r="I3" s="82"/>
      <c r="J3" s="82"/>
      <c r="K3" s="82"/>
      <c r="L3" s="82"/>
      <c r="M3" s="82"/>
      <c r="N3" s="113"/>
      <c r="O3" s="114" t="s">
        <v>14</v>
      </c>
      <c r="P3" s="124" t="s">
        <v>2915</v>
      </c>
      <c r="Q3" s="124"/>
      <c r="R3" s="114" t="s">
        <v>5</v>
      </c>
    </row>
    <row r="4" spans="1:18" ht="20.25" thickBot="1" x14ac:dyDescent="0.45">
      <c r="A4" s="118"/>
      <c r="B4" s="119"/>
      <c r="C4" s="120"/>
      <c r="D4" s="120"/>
      <c r="E4" s="120"/>
      <c r="F4" s="120"/>
      <c r="G4" s="120"/>
      <c r="H4" s="120"/>
      <c r="I4" s="120"/>
      <c r="J4" s="120"/>
      <c r="K4" s="120"/>
      <c r="L4" s="120"/>
      <c r="M4" s="120"/>
      <c r="N4" s="121"/>
      <c r="O4" s="122"/>
      <c r="P4" s="126" t="s">
        <v>2913</v>
      </c>
      <c r="Q4" s="127" t="s">
        <v>2912</v>
      </c>
      <c r="R4" s="122"/>
    </row>
    <row r="5" spans="1:18" ht="20.25" thickTop="1" x14ac:dyDescent="0.4">
      <c r="A5" s="20">
        <v>1</v>
      </c>
      <c r="B5" s="21" t="s">
        <v>1735</v>
      </c>
      <c r="C5" s="25"/>
      <c r="D5" s="33"/>
      <c r="E5" s="33"/>
      <c r="F5" s="33"/>
      <c r="G5" s="33"/>
      <c r="H5" s="33"/>
      <c r="I5" s="33"/>
      <c r="J5" s="33"/>
      <c r="K5" s="33"/>
      <c r="L5" s="33"/>
      <c r="M5" s="33"/>
      <c r="N5" s="29"/>
      <c r="O5" s="125"/>
      <c r="P5" s="125"/>
      <c r="Q5" s="125"/>
      <c r="R5" s="125"/>
    </row>
    <row r="6" spans="1:18" x14ac:dyDescent="0.4">
      <c r="A6" s="3">
        <f>A5+1</f>
        <v>2</v>
      </c>
      <c r="B6" s="16"/>
      <c r="C6" s="27" t="s">
        <v>1855</v>
      </c>
      <c r="D6" s="9"/>
      <c r="E6" s="9"/>
      <c r="F6" s="9"/>
      <c r="G6" s="9"/>
      <c r="H6" s="9"/>
      <c r="I6" s="9"/>
      <c r="J6" s="9"/>
      <c r="K6" s="9"/>
      <c r="L6" s="9"/>
      <c r="M6" s="9"/>
      <c r="N6" s="10"/>
      <c r="O6" s="48"/>
      <c r="P6" s="48"/>
      <c r="Q6" s="48"/>
      <c r="R6" s="48"/>
    </row>
    <row r="7" spans="1:18" x14ac:dyDescent="0.4">
      <c r="A7" s="3">
        <f t="shared" ref="A7:A38" si="0">A6+1</f>
        <v>3</v>
      </c>
      <c r="B7" s="16"/>
      <c r="C7" s="16"/>
      <c r="D7" s="27" t="s">
        <v>1856</v>
      </c>
      <c r="E7" s="9"/>
      <c r="F7" s="9"/>
      <c r="G7" s="9"/>
      <c r="H7" s="9"/>
      <c r="I7" s="9"/>
      <c r="J7" s="9"/>
      <c r="K7" s="9"/>
      <c r="L7" s="9"/>
      <c r="M7" s="9"/>
      <c r="N7" s="10"/>
      <c r="O7" s="48"/>
      <c r="P7" s="48"/>
      <c r="Q7" s="48"/>
      <c r="R7" s="48"/>
    </row>
    <row r="8" spans="1:18" x14ac:dyDescent="0.4">
      <c r="A8" s="3">
        <f t="shared" si="0"/>
        <v>4</v>
      </c>
      <c r="B8" s="16"/>
      <c r="C8" s="16"/>
      <c r="D8" s="16"/>
      <c r="E8" s="27" t="s">
        <v>93</v>
      </c>
      <c r="F8" s="9"/>
      <c r="G8" s="9"/>
      <c r="H8" s="9"/>
      <c r="I8" s="9"/>
      <c r="J8" s="9"/>
      <c r="K8" s="9"/>
      <c r="L8" s="9"/>
      <c r="M8" s="9"/>
      <c r="N8" s="10"/>
      <c r="O8" s="48"/>
      <c r="P8" s="48"/>
      <c r="Q8" s="48"/>
      <c r="R8" s="48"/>
    </row>
    <row r="9" spans="1:18" x14ac:dyDescent="0.4">
      <c r="A9" s="3">
        <f t="shared" si="0"/>
        <v>5</v>
      </c>
      <c r="B9" s="16"/>
      <c r="C9" s="16"/>
      <c r="D9" s="16"/>
      <c r="E9" s="16"/>
      <c r="F9" s="27" t="s">
        <v>1857</v>
      </c>
      <c r="G9" s="9"/>
      <c r="H9" s="9"/>
      <c r="I9" s="9"/>
      <c r="J9" s="9"/>
      <c r="K9" s="9"/>
      <c r="L9" s="9"/>
      <c r="M9" s="9"/>
      <c r="N9" s="10"/>
      <c r="O9" s="48"/>
      <c r="P9" s="48"/>
      <c r="Q9" s="48"/>
      <c r="R9" s="48"/>
    </row>
    <row r="10" spans="1:18" x14ac:dyDescent="0.4">
      <c r="A10" s="3">
        <f t="shared" si="0"/>
        <v>6</v>
      </c>
      <c r="B10" s="16"/>
      <c r="C10" s="16"/>
      <c r="D10" s="16"/>
      <c r="E10" s="16"/>
      <c r="F10" s="28"/>
      <c r="G10" s="13" t="s">
        <v>1858</v>
      </c>
      <c r="H10" s="13"/>
      <c r="I10" s="13"/>
      <c r="J10" s="13"/>
      <c r="K10" s="13"/>
      <c r="L10" s="13"/>
      <c r="M10" s="13"/>
      <c r="N10" s="14"/>
      <c r="O10" s="46" t="s">
        <v>10</v>
      </c>
      <c r="P10" s="46"/>
      <c r="Q10" s="46" t="s">
        <v>10</v>
      </c>
      <c r="R10" s="46"/>
    </row>
    <row r="11" spans="1:18" x14ac:dyDescent="0.4">
      <c r="A11" s="3">
        <f t="shared" si="0"/>
        <v>7</v>
      </c>
      <c r="B11" s="16"/>
      <c r="C11" s="16"/>
      <c r="D11" s="16"/>
      <c r="E11" s="16"/>
      <c r="F11" s="28"/>
      <c r="G11" s="13" t="s">
        <v>1859</v>
      </c>
      <c r="H11" s="13"/>
      <c r="I11" s="13"/>
      <c r="J11" s="13"/>
      <c r="K11" s="13"/>
      <c r="L11" s="13"/>
      <c r="M11" s="13"/>
      <c r="N11" s="14"/>
      <c r="O11" s="46" t="s">
        <v>9</v>
      </c>
      <c r="P11" s="46"/>
      <c r="Q11" s="46" t="s">
        <v>9</v>
      </c>
      <c r="R11" s="46"/>
    </row>
    <row r="12" spans="1:18" x14ac:dyDescent="0.4">
      <c r="A12" s="3">
        <f t="shared" si="0"/>
        <v>8</v>
      </c>
      <c r="B12" s="16"/>
      <c r="C12" s="16"/>
      <c r="D12" s="16"/>
      <c r="E12" s="16"/>
      <c r="F12" s="28"/>
      <c r="G12" s="13" t="s">
        <v>1860</v>
      </c>
      <c r="H12" s="13"/>
      <c r="I12" s="13"/>
      <c r="J12" s="13"/>
      <c r="K12" s="13"/>
      <c r="L12" s="13"/>
      <c r="M12" s="13"/>
      <c r="N12" s="14"/>
      <c r="O12" s="46" t="s">
        <v>10</v>
      </c>
      <c r="P12" s="46"/>
      <c r="Q12" s="46" t="s">
        <v>10</v>
      </c>
      <c r="R12" s="46"/>
    </row>
    <row r="13" spans="1:18" x14ac:dyDescent="0.4">
      <c r="A13" s="3">
        <f t="shared" si="0"/>
        <v>9</v>
      </c>
      <c r="B13" s="16"/>
      <c r="C13" s="16"/>
      <c r="D13" s="16"/>
      <c r="E13" s="17"/>
      <c r="F13" s="29"/>
      <c r="G13" s="13" t="s">
        <v>1861</v>
      </c>
      <c r="H13" s="13"/>
      <c r="I13" s="13"/>
      <c r="J13" s="13"/>
      <c r="K13" s="13"/>
      <c r="L13" s="13"/>
      <c r="M13" s="13"/>
      <c r="N13" s="14"/>
      <c r="O13" s="46" t="s">
        <v>10</v>
      </c>
      <c r="P13" s="46"/>
      <c r="Q13" s="46" t="s">
        <v>10</v>
      </c>
      <c r="R13" s="46"/>
    </row>
    <row r="14" spans="1:18" x14ac:dyDescent="0.4">
      <c r="A14" s="3">
        <f t="shared" si="0"/>
        <v>10</v>
      </c>
      <c r="B14" s="16"/>
      <c r="C14" s="16"/>
      <c r="D14" s="16"/>
      <c r="E14" s="27" t="s">
        <v>1862</v>
      </c>
      <c r="F14" s="9"/>
      <c r="G14" s="9"/>
      <c r="H14" s="9"/>
      <c r="I14" s="9"/>
      <c r="J14" s="9"/>
      <c r="K14" s="9"/>
      <c r="L14" s="9"/>
      <c r="M14" s="9"/>
      <c r="N14" s="10"/>
      <c r="O14" s="48"/>
      <c r="P14" s="48"/>
      <c r="Q14" s="48"/>
      <c r="R14" s="48"/>
    </row>
    <row r="15" spans="1:18" x14ac:dyDescent="0.4">
      <c r="A15" s="3">
        <f t="shared" si="0"/>
        <v>11</v>
      </c>
      <c r="B15" s="16"/>
      <c r="C15" s="16"/>
      <c r="D15" s="16"/>
      <c r="E15" s="16"/>
      <c r="F15" s="27" t="s">
        <v>1863</v>
      </c>
      <c r="G15" s="9"/>
      <c r="H15" s="9"/>
      <c r="I15" s="9"/>
      <c r="J15" s="9"/>
      <c r="K15" s="9"/>
      <c r="L15" s="9"/>
      <c r="M15" s="9"/>
      <c r="N15" s="10"/>
      <c r="O15" s="48"/>
      <c r="P15" s="48"/>
      <c r="Q15" s="48"/>
      <c r="R15" s="48"/>
    </row>
    <row r="16" spans="1:18" x14ac:dyDescent="0.4">
      <c r="A16" s="3">
        <f t="shared" si="0"/>
        <v>12</v>
      </c>
      <c r="B16" s="21"/>
      <c r="C16" s="16"/>
      <c r="D16" s="16"/>
      <c r="E16" s="16"/>
      <c r="F16" s="16"/>
      <c r="G16" s="13" t="s">
        <v>1864</v>
      </c>
      <c r="H16" s="13"/>
      <c r="I16" s="13"/>
      <c r="J16" s="13"/>
      <c r="K16" s="13"/>
      <c r="L16" s="13"/>
      <c r="M16" s="13"/>
      <c r="N16" s="14"/>
      <c r="O16" s="51">
        <v>8.3333333333333329E-2</v>
      </c>
      <c r="P16" s="51"/>
      <c r="Q16" s="51">
        <v>8.3333333333333329E-2</v>
      </c>
      <c r="R16" s="46"/>
    </row>
    <row r="17" spans="1:18" x14ac:dyDescent="0.4">
      <c r="A17" s="3">
        <f t="shared" si="0"/>
        <v>13</v>
      </c>
      <c r="B17" s="21"/>
      <c r="C17" s="16"/>
      <c r="D17" s="16"/>
      <c r="E17" s="17"/>
      <c r="F17" s="17"/>
      <c r="G17" s="13" t="s">
        <v>1865</v>
      </c>
      <c r="H17" s="13"/>
      <c r="I17" s="13"/>
      <c r="J17" s="13"/>
      <c r="K17" s="13"/>
      <c r="L17" s="13"/>
      <c r="M17" s="13"/>
      <c r="N17" s="14"/>
      <c r="O17" s="46" t="s">
        <v>20</v>
      </c>
      <c r="P17" s="46"/>
      <c r="Q17" s="46" t="s">
        <v>20</v>
      </c>
      <c r="R17" s="46"/>
    </row>
    <row r="18" spans="1:18" x14ac:dyDescent="0.4">
      <c r="A18" s="3">
        <f t="shared" si="0"/>
        <v>14</v>
      </c>
      <c r="B18" s="21"/>
      <c r="C18" s="16"/>
      <c r="D18" s="16"/>
      <c r="E18" s="27" t="s">
        <v>1866</v>
      </c>
      <c r="F18" s="9"/>
      <c r="G18" s="9"/>
      <c r="H18" s="9"/>
      <c r="I18" s="9"/>
      <c r="J18" s="9"/>
      <c r="K18" s="9"/>
      <c r="L18" s="9"/>
      <c r="M18" s="9"/>
      <c r="N18" s="10"/>
      <c r="O18" s="48"/>
      <c r="P18" s="48"/>
      <c r="Q18" s="48"/>
      <c r="R18" s="48"/>
    </row>
    <row r="19" spans="1:18" x14ac:dyDescent="0.4">
      <c r="A19" s="3">
        <f t="shared" si="0"/>
        <v>15</v>
      </c>
      <c r="B19" s="21"/>
      <c r="C19" s="16"/>
      <c r="D19" s="16"/>
      <c r="E19" s="16"/>
      <c r="F19" s="27" t="s">
        <v>1867</v>
      </c>
      <c r="G19" s="9"/>
      <c r="H19" s="9"/>
      <c r="I19" s="9"/>
      <c r="J19" s="9"/>
      <c r="K19" s="9"/>
      <c r="L19" s="9"/>
      <c r="M19" s="9"/>
      <c r="N19" s="10"/>
      <c r="O19" s="48"/>
      <c r="P19" s="48"/>
      <c r="Q19" s="48"/>
      <c r="R19" s="48"/>
    </row>
    <row r="20" spans="1:18" x14ac:dyDescent="0.4">
      <c r="A20" s="3">
        <f t="shared" si="0"/>
        <v>16</v>
      </c>
      <c r="B20" s="21"/>
      <c r="C20" s="16"/>
      <c r="D20" s="16"/>
      <c r="E20" s="16"/>
      <c r="F20" s="28"/>
      <c r="G20" s="13" t="s">
        <v>94</v>
      </c>
      <c r="H20" s="13"/>
      <c r="I20" s="13"/>
      <c r="J20" s="13"/>
      <c r="K20" s="13"/>
      <c r="L20" s="13"/>
      <c r="M20" s="13"/>
      <c r="N20" s="14"/>
      <c r="O20" s="46" t="s">
        <v>20</v>
      </c>
      <c r="P20" s="46"/>
      <c r="Q20" s="46" t="s">
        <v>20</v>
      </c>
      <c r="R20" s="46"/>
    </row>
    <row r="21" spans="1:18" x14ac:dyDescent="0.4">
      <c r="A21" s="3">
        <f t="shared" si="0"/>
        <v>17</v>
      </c>
      <c r="B21" s="21"/>
      <c r="C21" s="16"/>
      <c r="D21" s="16"/>
      <c r="E21" s="16"/>
      <c r="F21" s="28"/>
      <c r="G21" s="13" t="s">
        <v>1868</v>
      </c>
      <c r="H21" s="13"/>
      <c r="I21" s="13"/>
      <c r="J21" s="13"/>
      <c r="K21" s="13"/>
      <c r="L21" s="13"/>
      <c r="M21" s="13"/>
      <c r="N21" s="14"/>
      <c r="O21" s="46" t="s">
        <v>20</v>
      </c>
      <c r="P21" s="46"/>
      <c r="Q21" s="46" t="s">
        <v>20</v>
      </c>
      <c r="R21" s="46"/>
    </row>
    <row r="22" spans="1:18" x14ac:dyDescent="0.4">
      <c r="A22" s="3">
        <f t="shared" si="0"/>
        <v>18</v>
      </c>
      <c r="B22" s="21"/>
      <c r="C22" s="16"/>
      <c r="D22" s="16"/>
      <c r="E22" s="16"/>
      <c r="F22" s="28"/>
      <c r="G22" s="13" t="s">
        <v>1869</v>
      </c>
      <c r="H22" s="13"/>
      <c r="I22" s="13"/>
      <c r="J22" s="13"/>
      <c r="K22" s="13"/>
      <c r="L22" s="13"/>
      <c r="M22" s="13"/>
      <c r="N22" s="14"/>
      <c r="O22" s="46" t="s">
        <v>20</v>
      </c>
      <c r="P22" s="46"/>
      <c r="Q22" s="46" t="s">
        <v>20</v>
      </c>
      <c r="R22" s="46"/>
    </row>
    <row r="23" spans="1:18" x14ac:dyDescent="0.4">
      <c r="A23" s="3">
        <f t="shared" si="0"/>
        <v>19</v>
      </c>
      <c r="B23" s="21"/>
      <c r="C23" s="16"/>
      <c r="D23" s="16"/>
      <c r="E23" s="16"/>
      <c r="F23" s="28"/>
      <c r="G23" s="13" t="s">
        <v>1870</v>
      </c>
      <c r="H23" s="13"/>
      <c r="I23" s="13"/>
      <c r="J23" s="13"/>
      <c r="K23" s="13"/>
      <c r="L23" s="13"/>
      <c r="M23" s="13"/>
      <c r="N23" s="14"/>
      <c r="O23" s="46" t="s">
        <v>20</v>
      </c>
      <c r="P23" s="46"/>
      <c r="Q23" s="46" t="s">
        <v>20</v>
      </c>
      <c r="R23" s="46"/>
    </row>
    <row r="24" spans="1:18" x14ac:dyDescent="0.4">
      <c r="A24" s="3">
        <f t="shared" si="0"/>
        <v>20</v>
      </c>
      <c r="B24" s="21"/>
      <c r="C24" s="16"/>
      <c r="D24" s="16"/>
      <c r="E24" s="16"/>
      <c r="F24" s="28"/>
      <c r="G24" s="13" t="s">
        <v>1871</v>
      </c>
      <c r="H24" s="13"/>
      <c r="I24" s="13"/>
      <c r="J24" s="13"/>
      <c r="K24" s="13"/>
      <c r="L24" s="13"/>
      <c r="M24" s="13"/>
      <c r="N24" s="14"/>
      <c r="O24" s="46" t="s">
        <v>20</v>
      </c>
      <c r="P24" s="46"/>
      <c r="Q24" s="46" t="s">
        <v>20</v>
      </c>
      <c r="R24" s="46"/>
    </row>
    <row r="25" spans="1:18" x14ac:dyDescent="0.4">
      <c r="A25" s="3">
        <f t="shared" si="0"/>
        <v>21</v>
      </c>
      <c r="B25" s="21"/>
      <c r="C25" s="16"/>
      <c r="D25" s="16"/>
      <c r="E25" s="16"/>
      <c r="F25" s="28"/>
      <c r="G25" s="13" t="s">
        <v>1857</v>
      </c>
      <c r="H25" s="13"/>
      <c r="I25" s="13"/>
      <c r="J25" s="13"/>
      <c r="K25" s="13"/>
      <c r="L25" s="13"/>
      <c r="M25" s="13"/>
      <c r="N25" s="14"/>
      <c r="O25" s="46" t="s">
        <v>20</v>
      </c>
      <c r="P25" s="46"/>
      <c r="Q25" s="46" t="s">
        <v>20</v>
      </c>
      <c r="R25" s="46"/>
    </row>
    <row r="26" spans="1:18" x14ac:dyDescent="0.4">
      <c r="A26" s="3">
        <f t="shared" si="0"/>
        <v>22</v>
      </c>
      <c r="B26" s="21"/>
      <c r="C26" s="16"/>
      <c r="D26" s="16"/>
      <c r="E26" s="16"/>
      <c r="F26" s="28"/>
      <c r="G26" s="13" t="s">
        <v>1872</v>
      </c>
      <c r="H26" s="13"/>
      <c r="I26" s="13"/>
      <c r="J26" s="13"/>
      <c r="K26" s="13"/>
      <c r="L26" s="13"/>
      <c r="M26" s="13"/>
      <c r="N26" s="14"/>
      <c r="O26" s="46" t="s">
        <v>20</v>
      </c>
      <c r="P26" s="46"/>
      <c r="Q26" s="46" t="s">
        <v>20</v>
      </c>
      <c r="R26" s="46"/>
    </row>
    <row r="27" spans="1:18" x14ac:dyDescent="0.4">
      <c r="A27" s="3">
        <f t="shared" si="0"/>
        <v>23</v>
      </c>
      <c r="B27" s="21"/>
      <c r="C27" s="16"/>
      <c r="D27" s="16"/>
      <c r="E27" s="16"/>
      <c r="F27" s="29"/>
      <c r="G27" s="13" t="s">
        <v>1873</v>
      </c>
      <c r="H27" s="13"/>
      <c r="I27" s="13"/>
      <c r="J27" s="13"/>
      <c r="K27" s="13"/>
      <c r="L27" s="13"/>
      <c r="M27" s="13"/>
      <c r="N27" s="14"/>
      <c r="O27" s="46" t="s">
        <v>20</v>
      </c>
      <c r="P27" s="46"/>
      <c r="Q27" s="46" t="s">
        <v>20</v>
      </c>
      <c r="R27" s="46"/>
    </row>
    <row r="28" spans="1:18" x14ac:dyDescent="0.4">
      <c r="A28" s="3">
        <f t="shared" si="0"/>
        <v>24</v>
      </c>
      <c r="B28" s="21"/>
      <c r="C28" s="16"/>
      <c r="D28" s="16"/>
      <c r="E28" s="16"/>
      <c r="F28" s="27" t="s">
        <v>1874</v>
      </c>
      <c r="G28" s="9"/>
      <c r="H28" s="9"/>
      <c r="I28" s="9"/>
      <c r="J28" s="9"/>
      <c r="K28" s="9"/>
      <c r="L28" s="9"/>
      <c r="M28" s="9"/>
      <c r="N28" s="10"/>
      <c r="O28" s="48"/>
      <c r="P28" s="48"/>
      <c r="Q28" s="48"/>
      <c r="R28" s="48"/>
    </row>
    <row r="29" spans="1:18" x14ac:dyDescent="0.4">
      <c r="A29" s="3">
        <f t="shared" si="0"/>
        <v>25</v>
      </c>
      <c r="B29" s="21"/>
      <c r="C29" s="16"/>
      <c r="D29" s="16"/>
      <c r="E29" s="16"/>
      <c r="F29" s="28"/>
      <c r="G29" s="13" t="s">
        <v>1875</v>
      </c>
      <c r="H29" s="13"/>
      <c r="I29" s="13"/>
      <c r="J29" s="13"/>
      <c r="K29" s="13"/>
      <c r="L29" s="13"/>
      <c r="M29" s="13"/>
      <c r="N29" s="14"/>
      <c r="O29" s="46" t="s">
        <v>20</v>
      </c>
      <c r="P29" s="46"/>
      <c r="Q29" s="46" t="s">
        <v>20</v>
      </c>
      <c r="R29" s="46"/>
    </row>
    <row r="30" spans="1:18" x14ac:dyDescent="0.4">
      <c r="A30" s="3">
        <f t="shared" si="0"/>
        <v>26</v>
      </c>
      <c r="B30" s="21"/>
      <c r="C30" s="16"/>
      <c r="D30" s="16"/>
      <c r="E30" s="16"/>
      <c r="F30" s="28"/>
      <c r="G30" s="13" t="s">
        <v>1863</v>
      </c>
      <c r="H30" s="13"/>
      <c r="I30" s="13"/>
      <c r="J30" s="13"/>
      <c r="K30" s="13"/>
      <c r="L30" s="13"/>
      <c r="M30" s="13"/>
      <c r="N30" s="14"/>
      <c r="O30" s="46" t="s">
        <v>20</v>
      </c>
      <c r="P30" s="46"/>
      <c r="Q30" s="46" t="s">
        <v>20</v>
      </c>
      <c r="R30" s="46"/>
    </row>
    <row r="31" spans="1:18" x14ac:dyDescent="0.4">
      <c r="A31" s="3">
        <f t="shared" si="0"/>
        <v>27</v>
      </c>
      <c r="B31" s="21"/>
      <c r="C31" s="16"/>
      <c r="D31" s="16"/>
      <c r="E31" s="16"/>
      <c r="F31" s="28"/>
      <c r="G31" s="13" t="s">
        <v>1876</v>
      </c>
      <c r="H31" s="13"/>
      <c r="I31" s="13"/>
      <c r="J31" s="13"/>
      <c r="K31" s="13"/>
      <c r="L31" s="13"/>
      <c r="M31" s="13"/>
      <c r="N31" s="14"/>
      <c r="O31" s="46" t="s">
        <v>20</v>
      </c>
      <c r="P31" s="46"/>
      <c r="Q31" s="46" t="s">
        <v>20</v>
      </c>
      <c r="R31" s="46"/>
    </row>
    <row r="32" spans="1:18" x14ac:dyDescent="0.4">
      <c r="A32" s="3">
        <f t="shared" si="0"/>
        <v>28</v>
      </c>
      <c r="B32" s="21"/>
      <c r="C32" s="16"/>
      <c r="D32" s="16"/>
      <c r="E32" s="16"/>
      <c r="F32" s="28"/>
      <c r="G32" s="13" t="s">
        <v>1877</v>
      </c>
      <c r="H32" s="13"/>
      <c r="I32" s="13"/>
      <c r="J32" s="13"/>
      <c r="K32" s="13"/>
      <c r="L32" s="13"/>
      <c r="M32" s="13"/>
      <c r="N32" s="14"/>
      <c r="O32" s="46" t="s">
        <v>20</v>
      </c>
      <c r="P32" s="46"/>
      <c r="Q32" s="46" t="s">
        <v>20</v>
      </c>
      <c r="R32" s="46"/>
    </row>
    <row r="33" spans="1:18" x14ac:dyDescent="0.4">
      <c r="A33" s="3">
        <f t="shared" si="0"/>
        <v>29</v>
      </c>
      <c r="B33" s="21"/>
      <c r="C33" s="16"/>
      <c r="D33" s="16"/>
      <c r="E33" s="16"/>
      <c r="F33" s="28"/>
      <c r="G33" s="13" t="s">
        <v>1751</v>
      </c>
      <c r="H33" s="13"/>
      <c r="I33" s="13"/>
      <c r="J33" s="13"/>
      <c r="K33" s="13"/>
      <c r="L33" s="13"/>
      <c r="M33" s="13"/>
      <c r="N33" s="14"/>
      <c r="O33" s="46" t="s">
        <v>20</v>
      </c>
      <c r="P33" s="46"/>
      <c r="Q33" s="46" t="s">
        <v>20</v>
      </c>
      <c r="R33" s="46"/>
    </row>
    <row r="34" spans="1:18" x14ac:dyDescent="0.4">
      <c r="A34" s="3">
        <f t="shared" si="0"/>
        <v>30</v>
      </c>
      <c r="B34" s="21"/>
      <c r="C34" s="16"/>
      <c r="D34" s="16"/>
      <c r="E34" s="16"/>
      <c r="F34" s="28"/>
      <c r="G34" s="13" t="s">
        <v>1878</v>
      </c>
      <c r="H34" s="13"/>
      <c r="I34" s="13"/>
      <c r="J34" s="13"/>
      <c r="K34" s="13"/>
      <c r="L34" s="13"/>
      <c r="M34" s="13"/>
      <c r="N34" s="14"/>
      <c r="O34" s="46" t="s">
        <v>20</v>
      </c>
      <c r="P34" s="46"/>
      <c r="Q34" s="46" t="s">
        <v>20</v>
      </c>
      <c r="R34" s="46"/>
    </row>
    <row r="35" spans="1:18" x14ac:dyDescent="0.4">
      <c r="A35" s="3">
        <f t="shared" si="0"/>
        <v>31</v>
      </c>
      <c r="B35" s="21"/>
      <c r="C35" s="16"/>
      <c r="D35" s="16"/>
      <c r="E35" s="16"/>
      <c r="F35" s="28"/>
      <c r="G35" s="13" t="s">
        <v>1879</v>
      </c>
      <c r="H35" s="13"/>
      <c r="I35" s="13"/>
      <c r="J35" s="13"/>
      <c r="K35" s="13"/>
      <c r="L35" s="13"/>
      <c r="M35" s="13"/>
      <c r="N35" s="14"/>
      <c r="O35" s="46" t="s">
        <v>20</v>
      </c>
      <c r="P35" s="46"/>
      <c r="Q35" s="46" t="s">
        <v>20</v>
      </c>
      <c r="R35" s="46"/>
    </row>
    <row r="36" spans="1:18" x14ac:dyDescent="0.4">
      <c r="A36" s="3">
        <f t="shared" si="0"/>
        <v>32</v>
      </c>
      <c r="B36" s="21"/>
      <c r="C36" s="16"/>
      <c r="D36" s="16"/>
      <c r="E36" s="16"/>
      <c r="F36" s="28"/>
      <c r="G36" s="13" t="s">
        <v>1880</v>
      </c>
      <c r="H36" s="13"/>
      <c r="I36" s="13"/>
      <c r="J36" s="13"/>
      <c r="K36" s="13"/>
      <c r="L36" s="13"/>
      <c r="M36" s="13"/>
      <c r="N36" s="14"/>
      <c r="O36" s="46" t="s">
        <v>20</v>
      </c>
      <c r="P36" s="46"/>
      <c r="Q36" s="46" t="s">
        <v>20</v>
      </c>
      <c r="R36" s="46"/>
    </row>
    <row r="37" spans="1:18" x14ac:dyDescent="0.4">
      <c r="A37" s="3">
        <f t="shared" si="0"/>
        <v>33</v>
      </c>
      <c r="B37" s="21"/>
      <c r="C37" s="16"/>
      <c r="D37" s="16"/>
      <c r="E37" s="16"/>
      <c r="F37" s="28"/>
      <c r="G37" s="13" t="s">
        <v>95</v>
      </c>
      <c r="H37" s="13"/>
      <c r="I37" s="13"/>
      <c r="J37" s="13"/>
      <c r="K37" s="13"/>
      <c r="L37" s="13"/>
      <c r="M37" s="13"/>
      <c r="N37" s="14"/>
      <c r="O37" s="46" t="s">
        <v>20</v>
      </c>
      <c r="P37" s="46"/>
      <c r="Q37" s="46" t="s">
        <v>20</v>
      </c>
      <c r="R37" s="46"/>
    </row>
    <row r="38" spans="1:18" x14ac:dyDescent="0.4">
      <c r="A38" s="3">
        <f t="shared" si="0"/>
        <v>34</v>
      </c>
      <c r="B38" s="24"/>
      <c r="C38" s="17"/>
      <c r="D38" s="17"/>
      <c r="E38" s="17"/>
      <c r="F38" s="29"/>
      <c r="G38" s="13" t="s">
        <v>1881</v>
      </c>
      <c r="H38" s="13"/>
      <c r="I38" s="13"/>
      <c r="J38" s="13"/>
      <c r="K38" s="13"/>
      <c r="L38" s="13"/>
      <c r="M38" s="13"/>
      <c r="N38" s="14"/>
      <c r="O38" s="46" t="s">
        <v>20</v>
      </c>
      <c r="P38" s="46"/>
      <c r="Q38" s="46" t="s">
        <v>20</v>
      </c>
      <c r="R38" s="46"/>
    </row>
  </sheetData>
  <phoneticPr fontId="1"/>
  <conditionalFormatting sqref="Q5:Q38">
    <cfRule type="expression" dxfId="13" priority="1570">
      <formula>$O5&lt;&gt;$Q5</formula>
    </cfRule>
  </conditionalFormatting>
  <dataValidations count="3">
    <dataValidation type="list" allowBlank="1" showInputMessage="1" showErrorMessage="1" sqref="Q20:Q27 Q29:Q38 O29:O38 O20:O27 O17 Q17" xr:uid="{BB1404CB-6C0C-9F4F-B946-EB72BFF18216}">
      <formula1>work_チェックボックス</formula1>
    </dataValidation>
    <dataValidation type="list" allowBlank="1" showInputMessage="1" showErrorMessage="1" sqref="O10:O13 Q10:Q13" xr:uid="{A2CA099F-3810-6342-BE35-9B50AC0D82D9}">
      <formula1>work_ラジオボタン</formula1>
    </dataValidation>
    <dataValidation type="list" allowBlank="1" showInputMessage="1" showErrorMessage="1" sqref="P5:P38" xr:uid="{77EFCBA9-C926-450C-81EE-2D7C6A99CBDE}">
      <formula1>"-.変更"</formula1>
    </dataValidation>
  </dataValidations>
  <pageMargins left="0.7" right="0.7" top="0.75" bottom="0.75" header="0.3" footer="0.3"/>
  <pageSetup paperSize="9" orientation="portrait" horizontalDpi="0" verticalDpi="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8E1AAA-26E5-B34E-AE36-B88A08B40135}">
  <sheetPr>
    <outlinePr summaryBelow="0" summaryRight="0"/>
  </sheetPr>
  <dimension ref="A1:U30"/>
  <sheetViews>
    <sheetView zoomScale="90" zoomScaleNormal="90" workbookViewId="0">
      <pane ySplit="4" topLeftCell="A5" activePane="bottomLeft" state="frozen"/>
      <selection pane="bottomLeft" activeCell="O8" sqref="O8"/>
    </sheetView>
  </sheetViews>
  <sheetFormatPr defaultColWidth="11.5546875" defaultRowHeight="19.5" x14ac:dyDescent="0.4"/>
  <cols>
    <col min="1" max="1" width="5" customWidth="1"/>
    <col min="2" max="2" width="6.88671875" bestFit="1" customWidth="1"/>
    <col min="3" max="16" width="4.6640625" customWidth="1"/>
    <col min="17" max="17" width="60.6640625" customWidth="1"/>
    <col min="18" max="18" width="30.88671875" bestFit="1" customWidth="1"/>
    <col min="19" max="19" width="8.6640625" bestFit="1" customWidth="1"/>
    <col min="20" max="20" width="30.88671875" bestFit="1" customWidth="1"/>
    <col min="21" max="21" width="30.6640625" customWidth="1"/>
  </cols>
  <sheetData>
    <row r="1" spans="1:21" x14ac:dyDescent="0.4">
      <c r="A1" s="1" t="str">
        <f ca="1">RIGHT(CELL("filename",A1),LEN(CELL("filename",A1))-FIND("]",CELL("filename",A1)))</f>
        <v>4.ディスク</v>
      </c>
    </row>
    <row r="3" spans="1:21" x14ac:dyDescent="0.4">
      <c r="A3" s="61" t="s">
        <v>3</v>
      </c>
      <c r="B3" s="229"/>
      <c r="C3" s="61" t="s">
        <v>4</v>
      </c>
      <c r="D3" s="82"/>
      <c r="E3" s="82"/>
      <c r="F3" s="82"/>
      <c r="G3" s="82"/>
      <c r="H3" s="82"/>
      <c r="I3" s="82"/>
      <c r="J3" s="82"/>
      <c r="K3" s="82"/>
      <c r="L3" s="82"/>
      <c r="M3" s="82"/>
      <c r="N3" s="82"/>
      <c r="O3" s="82"/>
      <c r="P3" s="82"/>
      <c r="Q3" s="113"/>
      <c r="R3" s="114" t="s">
        <v>14</v>
      </c>
      <c r="S3" s="124" t="s">
        <v>2915</v>
      </c>
      <c r="T3" s="124"/>
      <c r="U3" s="114" t="s">
        <v>5</v>
      </c>
    </row>
    <row r="4" spans="1:21" ht="20.25" thickBot="1" x14ac:dyDescent="0.45">
      <c r="A4" s="119"/>
      <c r="B4" s="209" t="s">
        <v>3036</v>
      </c>
      <c r="C4" s="119"/>
      <c r="D4" s="120"/>
      <c r="E4" s="120"/>
      <c r="F4" s="120"/>
      <c r="G4" s="120"/>
      <c r="H4" s="120"/>
      <c r="I4" s="120"/>
      <c r="J4" s="120"/>
      <c r="K4" s="120"/>
      <c r="L4" s="120"/>
      <c r="M4" s="120"/>
      <c r="N4" s="120"/>
      <c r="O4" s="120"/>
      <c r="P4" s="120"/>
      <c r="Q4" s="121"/>
      <c r="R4" s="122"/>
      <c r="S4" s="122" t="s">
        <v>2913</v>
      </c>
      <c r="T4" s="122" t="s">
        <v>2912</v>
      </c>
      <c r="U4" s="122"/>
    </row>
    <row r="5" spans="1:21" ht="20.25" thickTop="1" x14ac:dyDescent="0.4">
      <c r="A5" s="233">
        <v>1</v>
      </c>
      <c r="B5" s="20">
        <v>1</v>
      </c>
      <c r="C5" s="21" t="s">
        <v>1604</v>
      </c>
      <c r="D5" s="25"/>
      <c r="E5" s="33"/>
      <c r="F5" s="33"/>
      <c r="G5" s="33"/>
      <c r="H5" s="33"/>
      <c r="I5" s="33"/>
      <c r="J5" s="33"/>
      <c r="K5" s="33"/>
      <c r="L5" s="33"/>
      <c r="M5" s="33"/>
      <c r="N5" s="33"/>
      <c r="O5" s="33"/>
      <c r="P5" s="33"/>
      <c r="Q5" s="29"/>
      <c r="R5" s="125"/>
      <c r="S5" s="125"/>
      <c r="T5" s="125"/>
      <c r="U5" s="125" t="s">
        <v>3034</v>
      </c>
    </row>
    <row r="6" spans="1:21" x14ac:dyDescent="0.4">
      <c r="A6" s="19"/>
      <c r="B6" s="3">
        <f>B5+1</f>
        <v>2</v>
      </c>
      <c r="C6" s="21"/>
      <c r="D6" s="18" t="s">
        <v>109</v>
      </c>
      <c r="E6" s="13"/>
      <c r="F6" s="13"/>
      <c r="G6" s="13"/>
      <c r="H6" s="13"/>
      <c r="I6" s="13"/>
      <c r="J6" s="13"/>
      <c r="K6" s="13"/>
      <c r="L6" s="13"/>
      <c r="M6" s="13"/>
      <c r="N6" s="13"/>
      <c r="O6" s="13"/>
      <c r="P6" s="13"/>
      <c r="Q6" s="14"/>
      <c r="R6" s="46" t="s">
        <v>1240</v>
      </c>
      <c r="S6" s="46"/>
      <c r="T6" s="46" t="s">
        <v>1240</v>
      </c>
      <c r="U6" s="46"/>
    </row>
    <row r="7" spans="1:21" x14ac:dyDescent="0.4">
      <c r="A7" s="19"/>
      <c r="B7" s="3">
        <f t="shared" ref="B7:B30" si="0">B6+1</f>
        <v>3</v>
      </c>
      <c r="C7" s="21"/>
      <c r="D7" s="19"/>
      <c r="E7" s="27" t="s">
        <v>110</v>
      </c>
      <c r="F7" s="9"/>
      <c r="G7" s="9"/>
      <c r="H7" s="9"/>
      <c r="I7" s="9"/>
      <c r="J7" s="9"/>
      <c r="K7" s="9"/>
      <c r="L7" s="9"/>
      <c r="M7" s="9"/>
      <c r="N7" s="9"/>
      <c r="O7" s="9"/>
      <c r="P7" s="9"/>
      <c r="Q7" s="10"/>
      <c r="R7" s="48"/>
      <c r="S7" s="48"/>
      <c r="T7" s="48"/>
      <c r="U7" s="48"/>
    </row>
    <row r="8" spans="1:21" x14ac:dyDescent="0.4">
      <c r="A8" s="19"/>
      <c r="B8" s="3">
        <f t="shared" si="0"/>
        <v>4</v>
      </c>
      <c r="C8" s="21"/>
      <c r="D8" s="19"/>
      <c r="E8" s="16"/>
      <c r="F8" s="13" t="s">
        <v>1227</v>
      </c>
      <c r="G8" s="13"/>
      <c r="H8" s="13"/>
      <c r="I8" s="13"/>
      <c r="J8" s="13"/>
      <c r="K8" s="13"/>
      <c r="L8" s="13"/>
      <c r="M8" s="13"/>
      <c r="N8" s="13"/>
      <c r="O8" s="13"/>
      <c r="P8" s="13"/>
      <c r="Q8" s="14"/>
      <c r="R8" s="46" t="s">
        <v>1239</v>
      </c>
      <c r="S8" s="46"/>
      <c r="T8" s="23"/>
      <c r="U8" s="46"/>
    </row>
    <row r="9" spans="1:21" x14ac:dyDescent="0.4">
      <c r="A9" s="19"/>
      <c r="B9" s="3">
        <f t="shared" si="0"/>
        <v>5</v>
      </c>
      <c r="C9" s="21"/>
      <c r="D9" s="19"/>
      <c r="E9" s="16"/>
      <c r="F9" s="13" t="s">
        <v>111</v>
      </c>
      <c r="G9" s="13"/>
      <c r="H9" s="13"/>
      <c r="I9" s="13"/>
      <c r="J9" s="13"/>
      <c r="K9" s="13"/>
      <c r="L9" s="13"/>
      <c r="M9" s="13"/>
      <c r="N9" s="13"/>
      <c r="O9" s="13"/>
      <c r="P9" s="13"/>
      <c r="Q9" s="14"/>
      <c r="R9" s="46" t="s">
        <v>1239</v>
      </c>
      <c r="S9" s="46"/>
      <c r="T9" s="23"/>
      <c r="U9" s="46"/>
    </row>
    <row r="10" spans="1:21" x14ac:dyDescent="0.4">
      <c r="A10" s="19"/>
      <c r="B10" s="3">
        <f t="shared" si="0"/>
        <v>6</v>
      </c>
      <c r="C10" s="21"/>
      <c r="D10" s="19"/>
      <c r="E10" s="17"/>
      <c r="F10" s="13" t="s">
        <v>112</v>
      </c>
      <c r="G10" s="13"/>
      <c r="H10" s="13"/>
      <c r="I10" s="13"/>
      <c r="J10" s="13"/>
      <c r="K10" s="13"/>
      <c r="L10" s="13"/>
      <c r="M10" s="13"/>
      <c r="N10" s="13"/>
      <c r="O10" s="13"/>
      <c r="P10" s="13"/>
      <c r="Q10" s="14"/>
      <c r="R10" s="46" t="s">
        <v>1239</v>
      </c>
      <c r="S10" s="46"/>
      <c r="T10" s="23"/>
      <c r="U10" s="46"/>
    </row>
    <row r="11" spans="1:21" x14ac:dyDescent="0.4">
      <c r="A11" s="19"/>
      <c r="B11" s="3">
        <f t="shared" si="0"/>
        <v>7</v>
      </c>
      <c r="C11" s="21"/>
      <c r="D11" s="19"/>
      <c r="E11" s="27" t="s">
        <v>1298</v>
      </c>
      <c r="F11" s="9"/>
      <c r="G11" s="9"/>
      <c r="H11" s="9"/>
      <c r="I11" s="9"/>
      <c r="J11" s="9"/>
      <c r="K11" s="9"/>
      <c r="L11" s="9"/>
      <c r="M11" s="9"/>
      <c r="N11" s="9"/>
      <c r="O11" s="9"/>
      <c r="P11" s="9"/>
      <c r="Q11" s="10"/>
      <c r="R11" s="47"/>
      <c r="S11" s="47"/>
      <c r="T11" s="47"/>
      <c r="U11" s="48"/>
    </row>
    <row r="12" spans="1:21" x14ac:dyDescent="0.4">
      <c r="A12" s="19"/>
      <c r="B12" s="3">
        <f t="shared" si="0"/>
        <v>8</v>
      </c>
      <c r="C12" s="21"/>
      <c r="D12" s="19"/>
      <c r="E12" s="16"/>
      <c r="F12" s="27" t="s">
        <v>1299</v>
      </c>
      <c r="G12" s="9"/>
      <c r="H12" s="9"/>
      <c r="I12" s="9"/>
      <c r="J12" s="9"/>
      <c r="K12" s="9"/>
      <c r="L12" s="9"/>
      <c r="M12" s="9"/>
      <c r="N12" s="9"/>
      <c r="O12" s="9"/>
      <c r="P12" s="9"/>
      <c r="Q12" s="10"/>
      <c r="R12" s="47"/>
      <c r="S12" s="47"/>
      <c r="T12" s="47"/>
      <c r="U12" s="48"/>
    </row>
    <row r="13" spans="1:21" x14ac:dyDescent="0.4">
      <c r="A13" s="19"/>
      <c r="B13" s="3">
        <f t="shared" si="0"/>
        <v>9</v>
      </c>
      <c r="C13" s="21"/>
      <c r="D13" s="19"/>
      <c r="E13" s="16"/>
      <c r="F13" s="28"/>
      <c r="G13" s="13" t="s">
        <v>1605</v>
      </c>
      <c r="H13" s="13"/>
      <c r="I13" s="13"/>
      <c r="J13" s="13"/>
      <c r="K13" s="13"/>
      <c r="L13" s="13"/>
      <c r="M13" s="13"/>
      <c r="N13" s="13"/>
      <c r="O13" s="13"/>
      <c r="P13" s="13"/>
      <c r="Q13" s="14"/>
      <c r="R13" s="46" t="s">
        <v>10</v>
      </c>
      <c r="S13" s="46"/>
      <c r="T13" s="46" t="s">
        <v>10</v>
      </c>
      <c r="U13" s="23"/>
    </row>
    <row r="14" spans="1:21" x14ac:dyDescent="0.4">
      <c r="A14" s="19"/>
      <c r="B14" s="3">
        <f t="shared" si="0"/>
        <v>10</v>
      </c>
      <c r="C14" s="21"/>
      <c r="D14" s="19"/>
      <c r="E14" s="16"/>
      <c r="F14" s="29"/>
      <c r="G14" s="13" t="s">
        <v>1300</v>
      </c>
      <c r="H14" s="13"/>
      <c r="I14" s="13"/>
      <c r="J14" s="13"/>
      <c r="K14" s="13"/>
      <c r="L14" s="13"/>
      <c r="M14" s="13"/>
      <c r="N14" s="13"/>
      <c r="O14" s="13"/>
      <c r="P14" s="13"/>
      <c r="Q14" s="14"/>
      <c r="R14" s="46" t="s">
        <v>9</v>
      </c>
      <c r="S14" s="46"/>
      <c r="T14" s="46" t="s">
        <v>9</v>
      </c>
      <c r="U14" s="46"/>
    </row>
    <row r="15" spans="1:21" x14ac:dyDescent="0.4">
      <c r="A15" s="19"/>
      <c r="B15" s="3">
        <f t="shared" si="0"/>
        <v>11</v>
      </c>
      <c r="C15" s="21"/>
      <c r="D15" s="19"/>
      <c r="E15" s="16"/>
      <c r="F15" s="27" t="s">
        <v>1606</v>
      </c>
      <c r="G15" s="9"/>
      <c r="H15" s="9"/>
      <c r="I15" s="9"/>
      <c r="J15" s="9"/>
      <c r="K15" s="9"/>
      <c r="L15" s="9"/>
      <c r="M15" s="9"/>
      <c r="N15" s="9"/>
      <c r="O15" s="9"/>
      <c r="P15" s="9"/>
      <c r="Q15" s="10"/>
      <c r="R15" s="47"/>
      <c r="S15" s="47"/>
      <c r="T15" s="47"/>
      <c r="U15" s="48"/>
    </row>
    <row r="16" spans="1:21" x14ac:dyDescent="0.4">
      <c r="A16" s="19"/>
      <c r="B16" s="3">
        <f t="shared" si="0"/>
        <v>12</v>
      </c>
      <c r="C16" s="21"/>
      <c r="D16" s="19"/>
      <c r="E16" s="16"/>
      <c r="F16" s="28"/>
      <c r="G16" s="26" t="s">
        <v>1607</v>
      </c>
      <c r="H16" s="13"/>
      <c r="I16" s="13"/>
      <c r="J16" s="13"/>
      <c r="K16" s="13"/>
      <c r="L16" s="13"/>
      <c r="M16" s="13"/>
      <c r="N16" s="13"/>
      <c r="O16" s="13"/>
      <c r="P16" s="13"/>
      <c r="Q16" s="14"/>
      <c r="R16" s="46" t="s">
        <v>36</v>
      </c>
      <c r="S16" s="46"/>
      <c r="T16" s="46" t="s">
        <v>36</v>
      </c>
      <c r="U16" s="23"/>
    </row>
    <row r="17" spans="1:21" x14ac:dyDescent="0.4">
      <c r="A17" s="19"/>
      <c r="B17" s="3">
        <f t="shared" si="0"/>
        <v>13</v>
      </c>
      <c r="C17" s="21"/>
      <c r="D17" s="19"/>
      <c r="E17" s="17"/>
      <c r="F17" s="29"/>
      <c r="G17" s="20"/>
      <c r="H17" s="13" t="s">
        <v>1608</v>
      </c>
      <c r="I17" s="13"/>
      <c r="J17" s="13"/>
      <c r="K17" s="13"/>
      <c r="L17" s="13"/>
      <c r="M17" s="13"/>
      <c r="N17" s="13"/>
      <c r="O17" s="13"/>
      <c r="P17" s="13"/>
      <c r="Q17" s="14"/>
      <c r="R17" s="46" t="s">
        <v>36</v>
      </c>
      <c r="S17" s="46"/>
      <c r="T17" s="46" t="s">
        <v>36</v>
      </c>
      <c r="U17" s="46"/>
    </row>
    <row r="18" spans="1:21" x14ac:dyDescent="0.4">
      <c r="A18" s="19"/>
      <c r="B18" s="3">
        <f t="shared" si="0"/>
        <v>14</v>
      </c>
      <c r="C18" s="21"/>
      <c r="D18" s="19"/>
      <c r="E18" s="27" t="s">
        <v>1301</v>
      </c>
      <c r="F18" s="9"/>
      <c r="G18" s="9"/>
      <c r="H18" s="9"/>
      <c r="I18" s="9"/>
      <c r="J18" s="9"/>
      <c r="K18" s="9"/>
      <c r="L18" s="9"/>
      <c r="M18" s="9"/>
      <c r="N18" s="9"/>
      <c r="O18" s="9"/>
      <c r="P18" s="9"/>
      <c r="Q18" s="10"/>
      <c r="R18" s="47"/>
      <c r="S18" s="47"/>
      <c r="T18" s="47"/>
      <c r="U18" s="48"/>
    </row>
    <row r="19" spans="1:21" x14ac:dyDescent="0.4">
      <c r="A19" s="19"/>
      <c r="B19" s="3">
        <f t="shared" si="0"/>
        <v>15</v>
      </c>
      <c r="C19" s="21"/>
      <c r="D19" s="19"/>
      <c r="E19" s="21"/>
      <c r="F19" s="15" t="s">
        <v>113</v>
      </c>
      <c r="G19" s="9"/>
      <c r="H19" s="9"/>
      <c r="I19" s="9"/>
      <c r="J19" s="9"/>
      <c r="K19" s="9"/>
      <c r="L19" s="9"/>
      <c r="M19" s="9"/>
      <c r="N19" s="9"/>
      <c r="O19" s="9"/>
      <c r="P19" s="9"/>
      <c r="Q19" s="10"/>
      <c r="R19" s="47"/>
      <c r="S19" s="47"/>
      <c r="T19" s="47"/>
      <c r="U19" s="48"/>
    </row>
    <row r="20" spans="1:21" x14ac:dyDescent="0.4">
      <c r="A20" s="19"/>
      <c r="B20" s="3">
        <f t="shared" si="0"/>
        <v>16</v>
      </c>
      <c r="C20" s="21"/>
      <c r="D20" s="19"/>
      <c r="E20" s="21"/>
      <c r="F20" s="16"/>
      <c r="G20" s="13" t="s">
        <v>1302</v>
      </c>
      <c r="H20" s="13"/>
      <c r="I20" s="13"/>
      <c r="J20" s="13"/>
      <c r="K20" s="13"/>
      <c r="L20" s="13"/>
      <c r="M20" s="13"/>
      <c r="N20" s="13"/>
      <c r="O20" s="13"/>
      <c r="P20" s="13"/>
      <c r="Q20" s="14"/>
      <c r="R20" s="46" t="s">
        <v>9</v>
      </c>
      <c r="S20" s="46"/>
      <c r="T20" s="46" t="s">
        <v>9</v>
      </c>
      <c r="U20" s="46"/>
    </row>
    <row r="21" spans="1:21" x14ac:dyDescent="0.4">
      <c r="A21" s="19"/>
      <c r="B21" s="3">
        <f t="shared" si="0"/>
        <v>17</v>
      </c>
      <c r="C21" s="21"/>
      <c r="D21" s="19"/>
      <c r="E21" s="21"/>
      <c r="F21" s="17"/>
      <c r="G21" s="13" t="s">
        <v>119</v>
      </c>
      <c r="H21" s="13"/>
      <c r="I21" s="13"/>
      <c r="J21" s="13"/>
      <c r="K21" s="13"/>
      <c r="L21" s="13"/>
      <c r="M21" s="13"/>
      <c r="N21" s="13"/>
      <c r="O21" s="13"/>
      <c r="P21" s="13"/>
      <c r="Q21" s="14"/>
      <c r="R21" s="46" t="s">
        <v>10</v>
      </c>
      <c r="S21" s="46"/>
      <c r="T21" s="46" t="s">
        <v>10</v>
      </c>
      <c r="U21" s="46"/>
    </row>
    <row r="22" spans="1:21" x14ac:dyDescent="0.4">
      <c r="A22" s="19"/>
      <c r="B22" s="3">
        <f t="shared" si="0"/>
        <v>18</v>
      </c>
      <c r="C22" s="21"/>
      <c r="D22" s="19"/>
      <c r="E22" s="21"/>
      <c r="F22" s="15" t="s">
        <v>1303</v>
      </c>
      <c r="G22" s="9"/>
      <c r="H22" s="9"/>
      <c r="I22" s="9"/>
      <c r="J22" s="9"/>
      <c r="K22" s="9"/>
      <c r="L22" s="9"/>
      <c r="M22" s="9"/>
      <c r="N22" s="9"/>
      <c r="O22" s="9"/>
      <c r="P22" s="9"/>
      <c r="Q22" s="10"/>
      <c r="R22" s="47"/>
      <c r="S22" s="47"/>
      <c r="T22" s="47"/>
      <c r="U22" s="48"/>
    </row>
    <row r="23" spans="1:21" x14ac:dyDescent="0.4">
      <c r="A23" s="19"/>
      <c r="B23" s="3">
        <f t="shared" si="0"/>
        <v>19</v>
      </c>
      <c r="C23" s="21"/>
      <c r="D23" s="19"/>
      <c r="E23" s="21"/>
      <c r="F23" s="16"/>
      <c r="G23" s="13" t="s">
        <v>1304</v>
      </c>
      <c r="H23" s="13"/>
      <c r="I23" s="13"/>
      <c r="J23" s="13"/>
      <c r="K23" s="13"/>
      <c r="L23" s="13"/>
      <c r="M23" s="13"/>
      <c r="N23" s="13"/>
      <c r="O23" s="13"/>
      <c r="P23" s="13"/>
      <c r="Q23" s="14"/>
      <c r="R23" s="46" t="s">
        <v>9</v>
      </c>
      <c r="S23" s="46"/>
      <c r="T23" s="46" t="s">
        <v>9</v>
      </c>
      <c r="U23" s="46"/>
    </row>
    <row r="24" spans="1:21" x14ac:dyDescent="0.4">
      <c r="A24" s="19"/>
      <c r="B24" s="3">
        <f t="shared" si="0"/>
        <v>20</v>
      </c>
      <c r="C24" s="21"/>
      <c r="D24" s="19"/>
      <c r="E24" s="21"/>
      <c r="F24" s="17"/>
      <c r="G24" s="13" t="s">
        <v>1305</v>
      </c>
      <c r="H24" s="13"/>
      <c r="I24" s="13"/>
      <c r="J24" s="13"/>
      <c r="K24" s="13"/>
      <c r="L24" s="13"/>
      <c r="M24" s="13"/>
      <c r="N24" s="13"/>
      <c r="O24" s="13"/>
      <c r="P24" s="13"/>
      <c r="Q24" s="14"/>
      <c r="R24" s="46" t="s">
        <v>10</v>
      </c>
      <c r="S24" s="46"/>
      <c r="T24" s="46" t="s">
        <v>10</v>
      </c>
      <c r="U24" s="46"/>
    </row>
    <row r="25" spans="1:21" x14ac:dyDescent="0.4">
      <c r="A25" s="19"/>
      <c r="B25" s="3">
        <f t="shared" si="0"/>
        <v>21</v>
      </c>
      <c r="C25" s="21"/>
      <c r="D25" s="19"/>
      <c r="E25" s="21"/>
      <c r="F25" s="12" t="s">
        <v>114</v>
      </c>
      <c r="G25" s="13"/>
      <c r="H25" s="13"/>
      <c r="I25" s="13"/>
      <c r="J25" s="13"/>
      <c r="K25" s="13"/>
      <c r="L25" s="13"/>
      <c r="M25" s="13"/>
      <c r="N25" s="13"/>
      <c r="O25" s="13"/>
      <c r="P25" s="13"/>
      <c r="Q25" s="14"/>
      <c r="R25" s="54" t="s">
        <v>1239</v>
      </c>
      <c r="S25" s="54"/>
      <c r="T25" s="49"/>
      <c r="U25" s="46"/>
    </row>
    <row r="26" spans="1:21" x14ac:dyDescent="0.4">
      <c r="A26" s="19"/>
      <c r="B26" s="3">
        <f t="shared" si="0"/>
        <v>22</v>
      </c>
      <c r="C26" s="21"/>
      <c r="D26" s="19"/>
      <c r="E26" s="21"/>
      <c r="F26" s="12" t="s">
        <v>115</v>
      </c>
      <c r="G26" s="13"/>
      <c r="H26" s="13"/>
      <c r="I26" s="13"/>
      <c r="J26" s="13"/>
      <c r="K26" s="13"/>
      <c r="L26" s="13"/>
      <c r="M26" s="13"/>
      <c r="N26" s="13"/>
      <c r="O26" s="13"/>
      <c r="P26" s="13"/>
      <c r="Q26" s="14"/>
      <c r="R26" s="54" t="s">
        <v>1239</v>
      </c>
      <c r="S26" s="54"/>
      <c r="T26" s="49"/>
      <c r="U26" s="46"/>
    </row>
    <row r="27" spans="1:21" x14ac:dyDescent="0.4">
      <c r="A27" s="19"/>
      <c r="B27" s="3">
        <f t="shared" si="0"/>
        <v>23</v>
      </c>
      <c r="C27" s="21"/>
      <c r="D27" s="19"/>
      <c r="E27" s="21"/>
      <c r="F27" s="12" t="s">
        <v>116</v>
      </c>
      <c r="G27" s="13"/>
      <c r="H27" s="13"/>
      <c r="I27" s="13"/>
      <c r="J27" s="13"/>
      <c r="K27" s="13"/>
      <c r="L27" s="13"/>
      <c r="M27" s="13"/>
      <c r="N27" s="13"/>
      <c r="O27" s="13"/>
      <c r="P27" s="13"/>
      <c r="Q27" s="14"/>
      <c r="R27" s="54" t="s">
        <v>1239</v>
      </c>
      <c r="S27" s="54"/>
      <c r="T27" s="49"/>
      <c r="U27" s="46"/>
    </row>
    <row r="28" spans="1:21" x14ac:dyDescent="0.4">
      <c r="A28" s="19"/>
      <c r="B28" s="3">
        <f t="shared" si="0"/>
        <v>24</v>
      </c>
      <c r="C28" s="21"/>
      <c r="D28" s="19"/>
      <c r="E28" s="21"/>
      <c r="F28" s="15" t="s">
        <v>1306</v>
      </c>
      <c r="G28" s="9"/>
      <c r="H28" s="9"/>
      <c r="I28" s="9"/>
      <c r="J28" s="9"/>
      <c r="K28" s="9"/>
      <c r="L28" s="9"/>
      <c r="M28" s="9"/>
      <c r="N28" s="9"/>
      <c r="O28" s="9"/>
      <c r="P28" s="9"/>
      <c r="Q28" s="10"/>
      <c r="R28" s="47"/>
      <c r="S28" s="47"/>
      <c r="T28" s="47"/>
      <c r="U28" s="48"/>
    </row>
    <row r="29" spans="1:21" x14ac:dyDescent="0.4">
      <c r="A29" s="19"/>
      <c r="B29" s="3">
        <f t="shared" si="0"/>
        <v>25</v>
      </c>
      <c r="C29" s="21"/>
      <c r="D29" s="19"/>
      <c r="E29" s="21"/>
      <c r="F29" s="16"/>
      <c r="G29" s="13" t="s">
        <v>118</v>
      </c>
      <c r="H29" s="13"/>
      <c r="I29" s="13"/>
      <c r="J29" s="13"/>
      <c r="K29" s="13"/>
      <c r="L29" s="13"/>
      <c r="M29" s="13"/>
      <c r="N29" s="13"/>
      <c r="O29" s="13"/>
      <c r="P29" s="13"/>
      <c r="Q29" s="14"/>
      <c r="R29" s="49">
        <v>599</v>
      </c>
      <c r="S29" s="49"/>
      <c r="T29" s="49"/>
      <c r="U29" s="46"/>
    </row>
    <row r="30" spans="1:21" x14ac:dyDescent="0.4">
      <c r="A30" s="20"/>
      <c r="B30" s="3">
        <f t="shared" si="0"/>
        <v>26</v>
      </c>
      <c r="C30" s="24"/>
      <c r="D30" s="20"/>
      <c r="E30" s="24"/>
      <c r="F30" s="17"/>
      <c r="G30" s="13" t="s">
        <v>1609</v>
      </c>
      <c r="H30" s="13"/>
      <c r="I30" s="13"/>
      <c r="J30" s="13"/>
      <c r="K30" s="13"/>
      <c r="L30" s="13"/>
      <c r="M30" s="13"/>
      <c r="N30" s="13"/>
      <c r="O30" s="13"/>
      <c r="P30" s="13"/>
      <c r="Q30" s="14"/>
      <c r="R30" s="54" t="s">
        <v>1239</v>
      </c>
      <c r="S30" s="54"/>
      <c r="T30" s="49"/>
      <c r="U30" s="46"/>
    </row>
  </sheetData>
  <phoneticPr fontId="1"/>
  <conditionalFormatting sqref="T5:T30">
    <cfRule type="expression" dxfId="12" priority="1">
      <formula>$R5&lt;&gt;$T5</formula>
    </cfRule>
  </conditionalFormatting>
  <dataValidations count="3">
    <dataValidation type="list" allowBlank="1" showInputMessage="1" showErrorMessage="1" sqref="R16:R17 T16:T17" xr:uid="{622BC8D3-D455-5440-B0BB-060BB72CCCDF}">
      <formula1>work_チェックボックス</formula1>
    </dataValidation>
    <dataValidation type="list" allowBlank="1" showInputMessage="1" showErrorMessage="1" sqref="T20:T21 T23:T24 R23:R24 R20:R21 R13:R14 T13:T14" xr:uid="{2EE67419-60A5-854D-98B2-3D06BB14A133}">
      <formula1>work_ラジオボタン</formula1>
    </dataValidation>
    <dataValidation type="list" allowBlank="1" showInputMessage="1" showErrorMessage="1" sqref="S5:S30" xr:uid="{B9083793-3469-49D9-9C5E-94FDEE43D1E1}">
      <formula1>"-,変更"</formula1>
    </dataValidation>
  </dataValidations>
  <pageMargins left="0.7" right="0.7" top="0.75" bottom="0.75" header="0.3" footer="0.3"/>
  <pageSetup paperSize="9" orientation="portrait" horizontalDpi="0" verticalDpi="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C84A3B-98BE-5B4E-962D-2D075EB4404E}">
  <sheetPr>
    <outlinePr summaryBelow="0" summaryRight="0"/>
  </sheetPr>
  <dimension ref="A1:U45"/>
  <sheetViews>
    <sheetView zoomScale="90" zoomScaleNormal="90" workbookViewId="0">
      <pane ySplit="4" topLeftCell="A5" activePane="bottomLeft" state="frozen"/>
      <selection pane="bottomLeft" activeCell="N16" sqref="N16"/>
    </sheetView>
  </sheetViews>
  <sheetFormatPr defaultColWidth="11.5546875" defaultRowHeight="19.5" x14ac:dyDescent="0.4"/>
  <cols>
    <col min="1" max="1" width="5.33203125" customWidth="1"/>
    <col min="2" max="16" width="4.6640625" customWidth="1"/>
    <col min="17" max="17" width="60.6640625" customWidth="1"/>
    <col min="18" max="18" width="30.88671875" bestFit="1" customWidth="1"/>
    <col min="19" max="19" width="8.6640625" bestFit="1" customWidth="1"/>
    <col min="20" max="20" width="30.88671875" bestFit="1" customWidth="1"/>
    <col min="21" max="21" width="30.6640625" customWidth="1"/>
  </cols>
  <sheetData>
    <row r="1" spans="1:21" x14ac:dyDescent="0.4">
      <c r="A1" s="1" t="str">
        <f ca="1">RIGHT(CELL("filename",A1),LEN(CELL("filename",A1))-FIND("]",CELL("filename",A1)))</f>
        <v>4.2.ボリューム</v>
      </c>
    </row>
    <row r="3" spans="1:21" x14ac:dyDescent="0.4">
      <c r="A3" s="61" t="s">
        <v>3</v>
      </c>
      <c r="B3" s="229"/>
      <c r="C3" s="61" t="s">
        <v>4</v>
      </c>
      <c r="D3" s="82"/>
      <c r="E3" s="82"/>
      <c r="F3" s="82"/>
      <c r="G3" s="82"/>
      <c r="H3" s="82"/>
      <c r="I3" s="82"/>
      <c r="J3" s="82"/>
      <c r="K3" s="82"/>
      <c r="L3" s="82"/>
      <c r="M3" s="82"/>
      <c r="N3" s="82"/>
      <c r="O3" s="82"/>
      <c r="P3" s="82"/>
      <c r="Q3" s="113"/>
      <c r="R3" s="114" t="s">
        <v>14</v>
      </c>
      <c r="S3" s="124" t="s">
        <v>2915</v>
      </c>
      <c r="T3" s="124"/>
      <c r="U3" s="114" t="s">
        <v>5</v>
      </c>
    </row>
    <row r="4" spans="1:21" ht="20.25" thickBot="1" x14ac:dyDescent="0.45">
      <c r="A4" s="119"/>
      <c r="B4" s="209" t="s">
        <v>3036</v>
      </c>
      <c r="C4" s="119"/>
      <c r="D4" s="120"/>
      <c r="E4" s="120"/>
      <c r="F4" s="120"/>
      <c r="G4" s="120"/>
      <c r="H4" s="120"/>
      <c r="I4" s="120"/>
      <c r="J4" s="120"/>
      <c r="K4" s="120"/>
      <c r="L4" s="120"/>
      <c r="M4" s="120"/>
      <c r="N4" s="120"/>
      <c r="O4" s="120"/>
      <c r="P4" s="120"/>
      <c r="Q4" s="121"/>
      <c r="R4" s="122"/>
      <c r="S4" s="122" t="s">
        <v>2913</v>
      </c>
      <c r="T4" s="122" t="s">
        <v>2912</v>
      </c>
      <c r="U4" s="122"/>
    </row>
    <row r="5" spans="1:21" ht="20.25" thickTop="1" x14ac:dyDescent="0.4">
      <c r="A5" s="233">
        <v>1</v>
      </c>
      <c r="B5" s="20">
        <v>1</v>
      </c>
      <c r="C5" s="21" t="s">
        <v>1604</v>
      </c>
      <c r="D5" s="25"/>
      <c r="E5" s="33"/>
      <c r="F5" s="33"/>
      <c r="G5" s="33"/>
      <c r="H5" s="33"/>
      <c r="I5" s="33"/>
      <c r="J5" s="33"/>
      <c r="K5" s="33"/>
      <c r="L5" s="33"/>
      <c r="M5" s="33"/>
      <c r="N5" s="33"/>
      <c r="O5" s="33"/>
      <c r="P5" s="33"/>
      <c r="Q5" s="29"/>
      <c r="R5" s="125"/>
      <c r="S5" s="125"/>
      <c r="T5" s="125"/>
      <c r="U5" s="125"/>
    </row>
    <row r="6" spans="1:21" x14ac:dyDescent="0.4">
      <c r="A6" s="19"/>
      <c r="B6" s="3">
        <f>B5+1</f>
        <v>2</v>
      </c>
      <c r="C6" s="21"/>
      <c r="D6" s="18" t="s">
        <v>109</v>
      </c>
      <c r="E6" s="13"/>
      <c r="F6" s="13"/>
      <c r="G6" s="13"/>
      <c r="H6" s="13"/>
      <c r="I6" s="13"/>
      <c r="J6" s="13"/>
      <c r="K6" s="13"/>
      <c r="L6" s="13"/>
      <c r="M6" s="13"/>
      <c r="N6" s="13"/>
      <c r="O6" s="13"/>
      <c r="P6" s="13"/>
      <c r="Q6" s="14"/>
      <c r="R6" s="46" t="s">
        <v>1240</v>
      </c>
      <c r="S6" s="46"/>
      <c r="T6" s="46" t="s">
        <v>1240</v>
      </c>
      <c r="U6" s="46"/>
    </row>
    <row r="7" spans="1:21" x14ac:dyDescent="0.4">
      <c r="A7" s="19"/>
      <c r="B7" s="3">
        <f t="shared" ref="B7:B45" si="0">B6+1</f>
        <v>3</v>
      </c>
      <c r="C7" s="21"/>
      <c r="D7" s="22"/>
      <c r="E7" s="18" t="s">
        <v>1629</v>
      </c>
      <c r="F7" s="13"/>
      <c r="G7" s="13"/>
      <c r="H7" s="13"/>
      <c r="I7" s="13"/>
      <c r="J7" s="13"/>
      <c r="K7" s="13"/>
      <c r="L7" s="13"/>
      <c r="M7" s="13"/>
      <c r="N7" s="13"/>
      <c r="O7" s="13"/>
      <c r="P7" s="13"/>
      <c r="Q7" s="14"/>
      <c r="R7" s="46" t="s">
        <v>1240</v>
      </c>
      <c r="S7" s="46"/>
      <c r="T7" s="46" t="s">
        <v>1240</v>
      </c>
      <c r="U7" s="46"/>
    </row>
    <row r="8" spans="1:21" x14ac:dyDescent="0.4">
      <c r="A8" s="19"/>
      <c r="B8" s="3">
        <f t="shared" si="0"/>
        <v>4</v>
      </c>
      <c r="C8" s="21"/>
      <c r="D8" s="22"/>
      <c r="E8" s="19"/>
      <c r="F8" s="27" t="s">
        <v>1620</v>
      </c>
      <c r="G8" s="9"/>
      <c r="H8" s="9"/>
      <c r="I8" s="9"/>
      <c r="J8" s="9"/>
      <c r="K8" s="9"/>
      <c r="L8" s="9"/>
      <c r="M8" s="9"/>
      <c r="N8" s="9"/>
      <c r="O8" s="9"/>
      <c r="P8" s="9"/>
      <c r="Q8" s="10"/>
      <c r="R8" s="48"/>
      <c r="S8" s="48"/>
      <c r="T8" s="48"/>
      <c r="U8" s="48"/>
    </row>
    <row r="9" spans="1:21" x14ac:dyDescent="0.4">
      <c r="A9" s="19"/>
      <c r="B9" s="3">
        <f t="shared" si="0"/>
        <v>5</v>
      </c>
      <c r="C9" s="21"/>
      <c r="D9" s="22"/>
      <c r="E9" s="19"/>
      <c r="F9" s="16"/>
      <c r="G9" s="13" t="s">
        <v>1610</v>
      </c>
      <c r="H9" s="13"/>
      <c r="I9" s="13"/>
      <c r="J9" s="13"/>
      <c r="K9" s="13"/>
      <c r="L9" s="13"/>
      <c r="M9" s="13"/>
      <c r="N9" s="13"/>
      <c r="O9" s="13"/>
      <c r="P9" s="13"/>
      <c r="Q9" s="14"/>
      <c r="R9" s="46" t="s">
        <v>1240</v>
      </c>
      <c r="S9" s="46"/>
      <c r="T9" s="49">
        <v>100</v>
      </c>
      <c r="U9" s="46"/>
    </row>
    <row r="10" spans="1:21" x14ac:dyDescent="0.4">
      <c r="A10" s="19"/>
      <c r="B10" s="3">
        <f t="shared" si="0"/>
        <v>6</v>
      </c>
      <c r="C10" s="21"/>
      <c r="D10" s="22"/>
      <c r="E10" s="19"/>
      <c r="F10" s="16"/>
      <c r="G10" s="26" t="s">
        <v>120</v>
      </c>
      <c r="H10" s="13"/>
      <c r="I10" s="13"/>
      <c r="J10" s="13"/>
      <c r="K10" s="13"/>
      <c r="L10" s="13"/>
      <c r="M10" s="13"/>
      <c r="N10" s="13"/>
      <c r="O10" s="13"/>
      <c r="P10" s="13"/>
      <c r="Q10" s="14"/>
      <c r="R10" s="23" t="s">
        <v>1616</v>
      </c>
      <c r="S10" s="23"/>
      <c r="T10" s="23" t="s">
        <v>1616</v>
      </c>
      <c r="U10" s="46"/>
    </row>
    <row r="11" spans="1:21" x14ac:dyDescent="0.4">
      <c r="A11" s="19"/>
      <c r="B11" s="3">
        <f t="shared" si="0"/>
        <v>7</v>
      </c>
      <c r="C11" s="21"/>
      <c r="D11" s="22"/>
      <c r="E11" s="18" t="s">
        <v>1628</v>
      </c>
      <c r="F11" s="13"/>
      <c r="G11" s="13"/>
      <c r="H11" s="13"/>
      <c r="I11" s="13"/>
      <c r="J11" s="13"/>
      <c r="K11" s="13"/>
      <c r="L11" s="13"/>
      <c r="M11" s="13"/>
      <c r="N11" s="13"/>
      <c r="O11" s="13"/>
      <c r="P11" s="13"/>
      <c r="Q11" s="14"/>
      <c r="R11" s="46" t="s">
        <v>1240</v>
      </c>
      <c r="S11" s="46"/>
      <c r="T11" s="46" t="s">
        <v>1240</v>
      </c>
      <c r="U11" s="46"/>
    </row>
    <row r="12" spans="1:21" x14ac:dyDescent="0.4">
      <c r="A12" s="19"/>
      <c r="B12" s="3">
        <f t="shared" si="0"/>
        <v>8</v>
      </c>
      <c r="C12" s="21"/>
      <c r="D12" s="22"/>
      <c r="E12" s="19"/>
      <c r="F12" s="27" t="s">
        <v>1620</v>
      </c>
      <c r="G12" s="9"/>
      <c r="H12" s="9"/>
      <c r="I12" s="9"/>
      <c r="J12" s="9"/>
      <c r="K12" s="9"/>
      <c r="L12" s="9"/>
      <c r="M12" s="9"/>
      <c r="N12" s="9"/>
      <c r="O12" s="9"/>
      <c r="P12" s="9"/>
      <c r="Q12" s="10"/>
      <c r="R12" s="48"/>
      <c r="S12" s="48"/>
      <c r="T12" s="48"/>
      <c r="U12" s="48"/>
    </row>
    <row r="13" spans="1:21" x14ac:dyDescent="0.4">
      <c r="A13" s="19"/>
      <c r="B13" s="3">
        <f t="shared" si="0"/>
        <v>9</v>
      </c>
      <c r="C13" s="21"/>
      <c r="D13" s="22"/>
      <c r="E13" s="19"/>
      <c r="F13" s="16"/>
      <c r="G13" s="13" t="s">
        <v>1610</v>
      </c>
      <c r="H13" s="13"/>
      <c r="I13" s="13"/>
      <c r="J13" s="13"/>
      <c r="K13" s="13"/>
      <c r="L13" s="13"/>
      <c r="M13" s="13"/>
      <c r="N13" s="13"/>
      <c r="O13" s="13"/>
      <c r="P13" s="13"/>
      <c r="Q13" s="14"/>
      <c r="R13" s="46" t="s">
        <v>1240</v>
      </c>
      <c r="S13" s="46"/>
      <c r="T13" s="49">
        <v>16</v>
      </c>
      <c r="U13" s="46"/>
    </row>
    <row r="14" spans="1:21" x14ac:dyDescent="0.4">
      <c r="A14" s="19"/>
      <c r="B14" s="3">
        <f t="shared" si="0"/>
        <v>10</v>
      </c>
      <c r="C14" s="21"/>
      <c r="D14" s="22"/>
      <c r="E14" s="19"/>
      <c r="F14" s="16"/>
      <c r="G14" s="26" t="s">
        <v>120</v>
      </c>
      <c r="H14" s="13"/>
      <c r="I14" s="13"/>
      <c r="J14" s="13"/>
      <c r="K14" s="13"/>
      <c r="L14" s="13"/>
      <c r="M14" s="13"/>
      <c r="N14" s="13"/>
      <c r="O14" s="13"/>
      <c r="P14" s="13"/>
      <c r="Q14" s="14"/>
      <c r="R14" s="46" t="s">
        <v>1240</v>
      </c>
      <c r="S14" s="46"/>
      <c r="T14" s="46" t="s">
        <v>1240</v>
      </c>
      <c r="U14" s="46"/>
    </row>
    <row r="15" spans="1:21" x14ac:dyDescent="0.4">
      <c r="A15" s="19"/>
      <c r="B15" s="3">
        <f t="shared" si="0"/>
        <v>11</v>
      </c>
      <c r="C15" s="21"/>
      <c r="D15" s="22"/>
      <c r="E15" s="18" t="s">
        <v>1626</v>
      </c>
      <c r="F15" s="13"/>
      <c r="G15" s="13"/>
      <c r="H15" s="13"/>
      <c r="I15" s="13"/>
      <c r="J15" s="13"/>
      <c r="K15" s="13"/>
      <c r="L15" s="13"/>
      <c r="M15" s="13"/>
      <c r="N15" s="13"/>
      <c r="O15" s="13"/>
      <c r="P15" s="13"/>
      <c r="Q15" s="14"/>
      <c r="R15" s="46" t="s">
        <v>1240</v>
      </c>
      <c r="S15" s="46"/>
      <c r="T15" s="46" t="s">
        <v>1240</v>
      </c>
      <c r="U15" s="46"/>
    </row>
    <row r="16" spans="1:21" x14ac:dyDescent="0.4">
      <c r="A16" s="19"/>
      <c r="B16" s="3">
        <f t="shared" si="0"/>
        <v>12</v>
      </c>
      <c r="C16" s="21"/>
      <c r="D16" s="22"/>
      <c r="E16" s="19"/>
      <c r="F16" s="27" t="s">
        <v>1620</v>
      </c>
      <c r="G16" s="9"/>
      <c r="H16" s="9"/>
      <c r="I16" s="9"/>
      <c r="J16" s="9"/>
      <c r="K16" s="9"/>
      <c r="L16" s="9"/>
      <c r="M16" s="9"/>
      <c r="N16" s="9"/>
      <c r="O16" s="9"/>
      <c r="P16" s="9"/>
      <c r="Q16" s="10"/>
      <c r="R16" s="48"/>
      <c r="S16" s="48"/>
      <c r="T16" s="48"/>
      <c r="U16" s="48"/>
    </row>
    <row r="17" spans="1:21" x14ac:dyDescent="0.4">
      <c r="A17" s="19"/>
      <c r="B17" s="3">
        <f t="shared" si="0"/>
        <v>13</v>
      </c>
      <c r="C17" s="21"/>
      <c r="D17" s="22"/>
      <c r="E17" s="19"/>
      <c r="F17" s="16"/>
      <c r="G17" s="13" t="s">
        <v>1610</v>
      </c>
      <c r="H17" s="13"/>
      <c r="I17" s="13"/>
      <c r="J17" s="13"/>
      <c r="K17" s="13"/>
      <c r="L17" s="13"/>
      <c r="M17" s="13"/>
      <c r="N17" s="13"/>
      <c r="O17" s="13"/>
      <c r="P17" s="13"/>
      <c r="Q17" s="14"/>
      <c r="R17" s="46" t="s">
        <v>1240</v>
      </c>
      <c r="S17" s="46"/>
      <c r="T17" s="49">
        <v>10222</v>
      </c>
      <c r="U17" s="46"/>
    </row>
    <row r="18" spans="1:21" x14ac:dyDescent="0.4">
      <c r="A18" s="19"/>
      <c r="B18" s="3">
        <f t="shared" si="0"/>
        <v>14</v>
      </c>
      <c r="C18" s="21"/>
      <c r="D18" s="22"/>
      <c r="E18" s="19"/>
      <c r="F18" s="16"/>
      <c r="G18" s="13" t="s">
        <v>1611</v>
      </c>
      <c r="H18" s="13"/>
      <c r="I18" s="13"/>
      <c r="J18" s="13"/>
      <c r="K18" s="13"/>
      <c r="L18" s="13"/>
      <c r="M18" s="13"/>
      <c r="N18" s="13"/>
      <c r="O18" s="13"/>
      <c r="P18" s="13"/>
      <c r="Q18" s="14"/>
      <c r="R18" s="46" t="s">
        <v>1240</v>
      </c>
      <c r="S18" s="46"/>
      <c r="T18" s="23" t="s">
        <v>117</v>
      </c>
      <c r="U18" s="46"/>
    </row>
    <row r="19" spans="1:21" x14ac:dyDescent="0.4">
      <c r="A19" s="19"/>
      <c r="B19" s="3">
        <f t="shared" si="0"/>
        <v>15</v>
      </c>
      <c r="C19" s="21"/>
      <c r="D19" s="22"/>
      <c r="E19" s="19"/>
      <c r="F19" s="16"/>
      <c r="G19" s="27" t="s">
        <v>120</v>
      </c>
      <c r="H19" s="9"/>
      <c r="I19" s="9"/>
      <c r="J19" s="9"/>
      <c r="K19" s="9"/>
      <c r="L19" s="9"/>
      <c r="M19" s="9"/>
      <c r="N19" s="9"/>
      <c r="O19" s="9"/>
      <c r="P19" s="9"/>
      <c r="Q19" s="10"/>
      <c r="R19" s="48"/>
      <c r="S19" s="48"/>
      <c r="T19" s="48"/>
      <c r="U19" s="48"/>
    </row>
    <row r="20" spans="1:21" x14ac:dyDescent="0.4">
      <c r="A20" s="19"/>
      <c r="B20" s="3">
        <f t="shared" si="0"/>
        <v>16</v>
      </c>
      <c r="C20" s="21"/>
      <c r="D20" s="22"/>
      <c r="E20" s="19"/>
      <c r="F20" s="16"/>
      <c r="G20" s="28"/>
      <c r="H20" s="13" t="s">
        <v>1616</v>
      </c>
      <c r="I20" s="13"/>
      <c r="J20" s="13"/>
      <c r="K20" s="13"/>
      <c r="L20" s="13"/>
      <c r="M20" s="13"/>
      <c r="N20" s="13"/>
      <c r="O20" s="13"/>
      <c r="P20" s="13"/>
      <c r="Q20" s="14"/>
      <c r="R20" s="46" t="s">
        <v>10</v>
      </c>
      <c r="S20" s="46"/>
      <c r="T20" s="46" t="s">
        <v>10</v>
      </c>
      <c r="U20" s="46"/>
    </row>
    <row r="21" spans="1:21" x14ac:dyDescent="0.4">
      <c r="A21" s="19"/>
      <c r="B21" s="3">
        <f t="shared" si="0"/>
        <v>17</v>
      </c>
      <c r="C21" s="21"/>
      <c r="D21" s="22"/>
      <c r="E21" s="19"/>
      <c r="F21" s="16"/>
      <c r="G21" s="28"/>
      <c r="H21" s="13" t="s">
        <v>121</v>
      </c>
      <c r="I21" s="13"/>
      <c r="J21" s="13"/>
      <c r="K21" s="13"/>
      <c r="L21" s="13"/>
      <c r="M21" s="13"/>
      <c r="N21" s="13"/>
      <c r="O21" s="13"/>
      <c r="P21" s="13"/>
      <c r="Q21" s="14"/>
      <c r="R21" s="46" t="s">
        <v>9</v>
      </c>
      <c r="S21" s="46"/>
      <c r="T21" s="46" t="s">
        <v>9</v>
      </c>
      <c r="U21" s="46"/>
    </row>
    <row r="22" spans="1:21" x14ac:dyDescent="0.4">
      <c r="A22" s="19"/>
      <c r="B22" s="3">
        <f t="shared" si="0"/>
        <v>18</v>
      </c>
      <c r="C22" s="21"/>
      <c r="D22" s="22"/>
      <c r="E22" s="19"/>
      <c r="F22" s="16"/>
      <c r="G22" s="29"/>
      <c r="H22" s="13" t="s">
        <v>1617</v>
      </c>
      <c r="I22" s="13"/>
      <c r="J22" s="13"/>
      <c r="K22" s="13"/>
      <c r="L22" s="13"/>
      <c r="M22" s="13"/>
      <c r="N22" s="13"/>
      <c r="O22" s="13"/>
      <c r="P22" s="13"/>
      <c r="Q22" s="14"/>
      <c r="R22" s="46" t="s">
        <v>10</v>
      </c>
      <c r="S22" s="46"/>
      <c r="T22" s="46" t="s">
        <v>10</v>
      </c>
      <c r="U22" s="46"/>
    </row>
    <row r="23" spans="1:21" x14ac:dyDescent="0.4">
      <c r="A23" s="19"/>
      <c r="B23" s="3">
        <f t="shared" si="0"/>
        <v>19</v>
      </c>
      <c r="C23" s="21"/>
      <c r="D23" s="22"/>
      <c r="E23" s="19"/>
      <c r="F23" s="16"/>
      <c r="G23" s="13" t="s">
        <v>1612</v>
      </c>
      <c r="H23" s="13"/>
      <c r="I23" s="13"/>
      <c r="J23" s="13"/>
      <c r="K23" s="13"/>
      <c r="L23" s="13"/>
      <c r="M23" s="13"/>
      <c r="N23" s="13"/>
      <c r="O23" s="13"/>
      <c r="P23" s="13"/>
      <c r="Q23" s="14"/>
      <c r="R23" s="23" t="s">
        <v>1618</v>
      </c>
      <c r="S23" s="23"/>
      <c r="T23" s="23" t="s">
        <v>1618</v>
      </c>
      <c r="U23" s="46"/>
    </row>
    <row r="24" spans="1:21" x14ac:dyDescent="0.4">
      <c r="A24" s="19"/>
      <c r="B24" s="3">
        <f t="shared" si="0"/>
        <v>20</v>
      </c>
      <c r="C24" s="21"/>
      <c r="D24" s="22"/>
      <c r="E24" s="19"/>
      <c r="F24" s="16"/>
      <c r="G24" s="13" t="s">
        <v>1613</v>
      </c>
      <c r="H24" s="13"/>
      <c r="I24" s="13"/>
      <c r="J24" s="13"/>
      <c r="K24" s="13"/>
      <c r="L24" s="13"/>
      <c r="M24" s="13"/>
      <c r="N24" s="13"/>
      <c r="O24" s="13"/>
      <c r="P24" s="13"/>
      <c r="Q24" s="14"/>
      <c r="R24" s="23" t="s">
        <v>1619</v>
      </c>
      <c r="S24" s="23"/>
      <c r="T24" s="23" t="s">
        <v>1619</v>
      </c>
      <c r="U24" s="46"/>
    </row>
    <row r="25" spans="1:21" x14ac:dyDescent="0.4">
      <c r="A25" s="19"/>
      <c r="B25" s="3">
        <f t="shared" si="0"/>
        <v>21</v>
      </c>
      <c r="C25" s="21"/>
      <c r="D25" s="22"/>
      <c r="E25" s="19"/>
      <c r="F25" s="16"/>
      <c r="G25" s="13" t="s">
        <v>1614</v>
      </c>
      <c r="H25" s="13"/>
      <c r="I25" s="13"/>
      <c r="J25" s="13"/>
      <c r="K25" s="13"/>
      <c r="L25" s="13"/>
      <c r="M25" s="13"/>
      <c r="N25" s="13"/>
      <c r="O25" s="13"/>
      <c r="P25" s="13"/>
      <c r="Q25" s="14"/>
      <c r="R25" s="46" t="s">
        <v>20</v>
      </c>
      <c r="S25" s="46"/>
      <c r="T25" s="46" t="s">
        <v>20</v>
      </c>
      <c r="U25" s="46"/>
    </row>
    <row r="26" spans="1:21" x14ac:dyDescent="0.4">
      <c r="A26" s="19"/>
      <c r="B26" s="3">
        <f t="shared" si="0"/>
        <v>22</v>
      </c>
      <c r="C26" s="21"/>
      <c r="D26" s="22"/>
      <c r="E26" s="19"/>
      <c r="F26" s="17"/>
      <c r="G26" s="13" t="s">
        <v>1615</v>
      </c>
      <c r="H26" s="13"/>
      <c r="I26" s="13"/>
      <c r="J26" s="13"/>
      <c r="K26" s="13"/>
      <c r="L26" s="13"/>
      <c r="M26" s="13"/>
      <c r="N26" s="13"/>
      <c r="O26" s="13"/>
      <c r="P26" s="13"/>
      <c r="Q26" s="14"/>
      <c r="R26" s="46" t="s">
        <v>36</v>
      </c>
      <c r="S26" s="46"/>
      <c r="T26" s="46" t="s">
        <v>36</v>
      </c>
      <c r="U26" s="46"/>
    </row>
    <row r="27" spans="1:21" x14ac:dyDescent="0.4">
      <c r="A27" s="19"/>
      <c r="B27" s="3">
        <f t="shared" si="0"/>
        <v>23</v>
      </c>
      <c r="C27" s="21"/>
      <c r="D27" s="22"/>
      <c r="E27" s="19"/>
      <c r="F27" s="27" t="s">
        <v>110</v>
      </c>
      <c r="G27" s="9"/>
      <c r="H27" s="9"/>
      <c r="I27" s="9"/>
      <c r="J27" s="9"/>
      <c r="K27" s="9"/>
      <c r="L27" s="9"/>
      <c r="M27" s="9"/>
      <c r="N27" s="9"/>
      <c r="O27" s="9"/>
      <c r="P27" s="9"/>
      <c r="Q27" s="10"/>
      <c r="R27" s="48"/>
      <c r="S27" s="48"/>
      <c r="T27" s="48"/>
      <c r="U27" s="48"/>
    </row>
    <row r="28" spans="1:21" x14ac:dyDescent="0.4">
      <c r="A28" s="19"/>
      <c r="B28" s="3">
        <f t="shared" si="0"/>
        <v>24</v>
      </c>
      <c r="C28" s="21"/>
      <c r="D28" s="22"/>
      <c r="E28" s="19"/>
      <c r="F28" s="16"/>
      <c r="G28" s="13" t="s">
        <v>1613</v>
      </c>
      <c r="H28" s="13"/>
      <c r="I28" s="13"/>
      <c r="J28" s="13"/>
      <c r="K28" s="13"/>
      <c r="L28" s="13"/>
      <c r="M28" s="13"/>
      <c r="N28" s="13"/>
      <c r="O28" s="13"/>
      <c r="P28" s="13"/>
      <c r="Q28" s="14"/>
      <c r="R28" s="46" t="s">
        <v>1240</v>
      </c>
      <c r="S28" s="46"/>
      <c r="T28" s="23" t="s">
        <v>1627</v>
      </c>
      <c r="U28" s="46"/>
    </row>
    <row r="29" spans="1:21" x14ac:dyDescent="0.4">
      <c r="A29" s="19"/>
      <c r="B29" s="3">
        <f t="shared" si="0"/>
        <v>25</v>
      </c>
      <c r="C29" s="21"/>
      <c r="D29" s="22"/>
      <c r="E29" s="19"/>
      <c r="F29" s="16"/>
      <c r="G29" s="13" t="s">
        <v>1621</v>
      </c>
      <c r="H29" s="13"/>
      <c r="I29" s="13"/>
      <c r="J29" s="13"/>
      <c r="K29" s="13"/>
      <c r="L29" s="13"/>
      <c r="M29" s="13"/>
      <c r="N29" s="13"/>
      <c r="O29" s="13"/>
      <c r="P29" s="13"/>
      <c r="Q29" s="14"/>
      <c r="R29" s="46" t="s">
        <v>36</v>
      </c>
      <c r="S29" s="46"/>
      <c r="T29" s="46" t="s">
        <v>36</v>
      </c>
      <c r="U29" s="46"/>
    </row>
    <row r="30" spans="1:21" x14ac:dyDescent="0.4">
      <c r="A30" s="19"/>
      <c r="B30" s="3">
        <f t="shared" si="0"/>
        <v>26</v>
      </c>
      <c r="C30" s="21"/>
      <c r="D30" s="22"/>
      <c r="E30" s="19"/>
      <c r="F30" s="17"/>
      <c r="G30" s="13" t="s">
        <v>1622</v>
      </c>
      <c r="H30" s="13"/>
      <c r="I30" s="13"/>
      <c r="J30" s="13"/>
      <c r="K30" s="13"/>
      <c r="L30" s="13"/>
      <c r="M30" s="13"/>
      <c r="N30" s="13"/>
      <c r="O30" s="13"/>
      <c r="P30" s="13"/>
      <c r="Q30" s="14"/>
      <c r="R30" s="46" t="s">
        <v>20</v>
      </c>
      <c r="S30" s="46"/>
      <c r="T30" s="46" t="s">
        <v>20</v>
      </c>
      <c r="U30" s="46"/>
    </row>
    <row r="31" spans="1:21" x14ac:dyDescent="0.4">
      <c r="A31" s="19"/>
      <c r="B31" s="3">
        <f t="shared" si="0"/>
        <v>27</v>
      </c>
      <c r="C31" s="21"/>
      <c r="D31" s="22"/>
      <c r="E31" s="19"/>
      <c r="F31" s="15" t="s">
        <v>1623</v>
      </c>
      <c r="G31" s="9"/>
      <c r="H31" s="9"/>
      <c r="I31" s="9"/>
      <c r="J31" s="9"/>
      <c r="K31" s="9"/>
      <c r="L31" s="9"/>
      <c r="M31" s="9"/>
      <c r="N31" s="9"/>
      <c r="O31" s="9"/>
      <c r="P31" s="9"/>
      <c r="Q31" s="10"/>
      <c r="R31" s="48"/>
      <c r="S31" s="48"/>
      <c r="T31" s="48"/>
      <c r="U31" s="48"/>
    </row>
    <row r="32" spans="1:21" x14ac:dyDescent="0.4">
      <c r="A32" s="19"/>
      <c r="B32" s="3">
        <f t="shared" si="0"/>
        <v>28</v>
      </c>
      <c r="C32" s="21"/>
      <c r="D32" s="22"/>
      <c r="E32" s="19"/>
      <c r="F32" s="16"/>
      <c r="G32" s="53" t="str">
        <f ca="1">"シート「"&amp;RIGHT(CELL("filename",'4.4.シャドウコピー'!$A$1),LEN(CELL("filename",'4.4.シャドウコピー'!$A$1))-FIND("]",CELL("filename",'4.4.シャドウコピー'!$A$1)))&amp;"」に記載"</f>
        <v>シート「4.4.シャドウコピー」に記載</v>
      </c>
      <c r="H32" s="13"/>
      <c r="I32" s="13"/>
      <c r="J32" s="13"/>
      <c r="K32" s="13"/>
      <c r="L32" s="13"/>
      <c r="M32" s="13"/>
      <c r="N32" s="13"/>
      <c r="O32" s="13"/>
      <c r="P32" s="13"/>
      <c r="Q32" s="14"/>
      <c r="R32" s="46"/>
      <c r="S32" s="46"/>
      <c r="T32" s="46"/>
      <c r="U32" s="46"/>
    </row>
    <row r="33" spans="1:21" collapsed="1" x14ac:dyDescent="0.4">
      <c r="A33" s="19"/>
      <c r="B33" s="3">
        <f t="shared" si="0"/>
        <v>29</v>
      </c>
      <c r="C33" s="21"/>
      <c r="D33" s="19"/>
      <c r="F33" s="15" t="s">
        <v>1308</v>
      </c>
      <c r="G33" s="9"/>
      <c r="H33" s="9"/>
      <c r="I33" s="9"/>
      <c r="J33" s="33"/>
      <c r="K33" s="33"/>
      <c r="L33" s="9"/>
      <c r="M33" s="9"/>
      <c r="N33" s="9"/>
      <c r="O33" s="9"/>
      <c r="P33" s="9"/>
      <c r="Q33" s="10"/>
      <c r="R33" s="47"/>
      <c r="S33" s="47"/>
      <c r="T33" s="47"/>
      <c r="U33" s="48"/>
    </row>
    <row r="34" spans="1:21" x14ac:dyDescent="0.4">
      <c r="A34" s="19"/>
      <c r="B34" s="3">
        <f t="shared" si="0"/>
        <v>30</v>
      </c>
      <c r="C34" s="21"/>
      <c r="D34" s="19"/>
      <c r="F34" s="21"/>
      <c r="G34" s="18" t="s">
        <v>1309</v>
      </c>
      <c r="H34" s="13"/>
      <c r="I34" s="13"/>
      <c r="J34" s="13"/>
      <c r="K34" s="13"/>
      <c r="L34" s="13"/>
      <c r="M34" s="13"/>
      <c r="N34" s="13"/>
      <c r="O34" s="13"/>
      <c r="P34" s="13"/>
      <c r="Q34" s="14"/>
      <c r="R34" s="46" t="s">
        <v>36</v>
      </c>
      <c r="S34" s="46"/>
      <c r="T34" s="46" t="s">
        <v>36</v>
      </c>
      <c r="U34" s="46"/>
    </row>
    <row r="35" spans="1:21" x14ac:dyDescent="0.4">
      <c r="A35" s="19"/>
      <c r="B35" s="3">
        <f t="shared" si="0"/>
        <v>31</v>
      </c>
      <c r="C35" s="21"/>
      <c r="D35" s="19"/>
      <c r="F35" s="21"/>
      <c r="G35" s="19"/>
      <c r="H35" s="13" t="s">
        <v>1310</v>
      </c>
      <c r="I35" s="13"/>
      <c r="J35" s="13"/>
      <c r="K35" s="13"/>
      <c r="L35" s="13"/>
      <c r="M35" s="13"/>
      <c r="N35" s="13"/>
      <c r="O35" s="13"/>
      <c r="P35" s="13"/>
      <c r="Q35" s="14"/>
      <c r="R35" s="46" t="s">
        <v>36</v>
      </c>
      <c r="S35" s="46"/>
      <c r="T35" s="46" t="s">
        <v>36</v>
      </c>
      <c r="U35" s="46"/>
    </row>
    <row r="36" spans="1:21" x14ac:dyDescent="0.4">
      <c r="A36" s="19"/>
      <c r="B36" s="3">
        <f t="shared" si="0"/>
        <v>32</v>
      </c>
      <c r="C36" s="21"/>
      <c r="D36" s="19"/>
      <c r="F36" s="21"/>
      <c r="G36" s="19"/>
      <c r="H36" s="13" t="s">
        <v>141</v>
      </c>
      <c r="I36" s="13"/>
      <c r="J36" s="13"/>
      <c r="K36" s="13"/>
      <c r="L36" s="13"/>
      <c r="M36" s="13"/>
      <c r="N36" s="13"/>
      <c r="O36" s="13"/>
      <c r="P36" s="13"/>
      <c r="Q36" s="14"/>
      <c r="R36" s="46" t="s">
        <v>9</v>
      </c>
      <c r="S36" s="46"/>
      <c r="T36" s="46" t="s">
        <v>9</v>
      </c>
      <c r="U36" s="46"/>
    </row>
    <row r="37" spans="1:21" x14ac:dyDescent="0.4">
      <c r="A37" s="19"/>
      <c r="B37" s="3">
        <f t="shared" si="0"/>
        <v>33</v>
      </c>
      <c r="C37" s="21"/>
      <c r="D37" s="19"/>
      <c r="F37" s="21"/>
      <c r="G37" s="19"/>
      <c r="H37" s="26" t="s">
        <v>142</v>
      </c>
      <c r="I37" s="13"/>
      <c r="J37" s="13"/>
      <c r="K37" s="13"/>
      <c r="L37" s="13"/>
      <c r="M37" s="13"/>
      <c r="N37" s="13"/>
      <c r="O37" s="13"/>
      <c r="P37" s="13"/>
      <c r="Q37" s="14"/>
      <c r="R37" s="46" t="s">
        <v>10</v>
      </c>
      <c r="S37" s="46"/>
      <c r="T37" s="46" t="s">
        <v>10</v>
      </c>
      <c r="U37" s="46"/>
    </row>
    <row r="38" spans="1:21" x14ac:dyDescent="0.4">
      <c r="A38" s="19"/>
      <c r="B38" s="3">
        <f t="shared" si="0"/>
        <v>34</v>
      </c>
      <c r="C38" s="21"/>
      <c r="D38" s="19"/>
      <c r="F38" s="21"/>
      <c r="G38" s="19"/>
      <c r="H38" s="19"/>
      <c r="I38" s="26" t="s">
        <v>1624</v>
      </c>
      <c r="J38" s="13"/>
      <c r="K38" s="13"/>
      <c r="L38" s="13"/>
      <c r="M38" s="13"/>
      <c r="N38" s="13"/>
      <c r="O38" s="13"/>
      <c r="P38" s="13"/>
      <c r="Q38" s="14"/>
      <c r="R38" s="23" t="s">
        <v>1625</v>
      </c>
      <c r="S38" s="23"/>
      <c r="T38" s="23" t="s">
        <v>1625</v>
      </c>
      <c r="U38" s="46"/>
    </row>
    <row r="39" spans="1:21" x14ac:dyDescent="0.4">
      <c r="A39" s="19"/>
      <c r="B39" s="3">
        <f t="shared" si="0"/>
        <v>35</v>
      </c>
      <c r="C39" s="21"/>
      <c r="D39" s="19"/>
      <c r="F39" s="21"/>
      <c r="G39" s="19"/>
      <c r="H39" s="20"/>
      <c r="I39" s="26" t="s">
        <v>143</v>
      </c>
      <c r="J39" s="13"/>
      <c r="K39" s="13"/>
      <c r="L39" s="13"/>
      <c r="M39" s="13"/>
      <c r="N39" s="13"/>
      <c r="O39" s="13"/>
      <c r="P39" s="13"/>
      <c r="Q39" s="14"/>
      <c r="R39" s="23" t="s">
        <v>1625</v>
      </c>
      <c r="S39" s="23"/>
      <c r="T39" s="23" t="s">
        <v>1625</v>
      </c>
      <c r="U39" s="46"/>
    </row>
    <row r="40" spans="1:21" x14ac:dyDescent="0.4">
      <c r="A40" s="19"/>
      <c r="B40" s="3">
        <f t="shared" si="0"/>
        <v>36</v>
      </c>
      <c r="C40" s="21"/>
      <c r="D40" s="19"/>
      <c r="F40" s="21"/>
      <c r="G40" s="19"/>
      <c r="H40" s="34" t="s">
        <v>1311</v>
      </c>
      <c r="I40" s="13"/>
      <c r="J40" s="13"/>
      <c r="K40" s="13"/>
      <c r="L40" s="13"/>
      <c r="M40" s="13"/>
      <c r="N40" s="13"/>
      <c r="O40" s="13"/>
      <c r="P40" s="13"/>
      <c r="Q40" s="14"/>
      <c r="R40" s="46" t="s">
        <v>36</v>
      </c>
      <c r="S40" s="46"/>
      <c r="T40" s="46" t="s">
        <v>36</v>
      </c>
      <c r="U40" s="46"/>
    </row>
    <row r="41" spans="1:21" x14ac:dyDescent="0.4">
      <c r="A41" s="19"/>
      <c r="B41" s="3">
        <f t="shared" si="0"/>
        <v>37</v>
      </c>
      <c r="C41" s="21"/>
      <c r="D41" s="19"/>
      <c r="F41" s="24"/>
      <c r="G41" s="20"/>
      <c r="H41" s="34" t="s">
        <v>1312</v>
      </c>
      <c r="I41" s="13"/>
      <c r="J41" s="13"/>
      <c r="K41" s="13"/>
      <c r="L41" s="13"/>
      <c r="M41" s="13"/>
      <c r="N41" s="13"/>
      <c r="O41" s="13"/>
      <c r="P41" s="13"/>
      <c r="Q41" s="14"/>
      <c r="R41" s="46" t="s">
        <v>36</v>
      </c>
      <c r="S41" s="46"/>
      <c r="T41" s="46" t="s">
        <v>36</v>
      </c>
      <c r="U41" s="46"/>
    </row>
    <row r="42" spans="1:21" x14ac:dyDescent="0.4">
      <c r="A42" s="19"/>
      <c r="B42" s="3">
        <f t="shared" si="0"/>
        <v>38</v>
      </c>
      <c r="C42" s="21"/>
      <c r="D42" s="22"/>
      <c r="E42" s="18" t="s">
        <v>1630</v>
      </c>
      <c r="F42" s="13"/>
      <c r="G42" s="13"/>
      <c r="H42" s="13"/>
      <c r="I42" s="13"/>
      <c r="J42" s="13"/>
      <c r="K42" s="13"/>
      <c r="L42" s="13"/>
      <c r="M42" s="13"/>
      <c r="N42" s="13"/>
      <c r="O42" s="13"/>
      <c r="P42" s="13"/>
      <c r="Q42" s="14"/>
      <c r="R42" s="46" t="s">
        <v>1240</v>
      </c>
      <c r="S42" s="46"/>
      <c r="T42" s="46" t="s">
        <v>1240</v>
      </c>
      <c r="U42" s="46"/>
    </row>
    <row r="43" spans="1:21" x14ac:dyDescent="0.4">
      <c r="A43" s="19"/>
      <c r="B43" s="3">
        <f t="shared" si="0"/>
        <v>39</v>
      </c>
      <c r="C43" s="21"/>
      <c r="D43" s="22"/>
      <c r="E43" s="19"/>
      <c r="F43" s="27" t="s">
        <v>1620</v>
      </c>
      <c r="G43" s="9"/>
      <c r="H43" s="9"/>
      <c r="I43" s="9"/>
      <c r="J43" s="9"/>
      <c r="K43" s="9"/>
      <c r="L43" s="9"/>
      <c r="M43" s="9"/>
      <c r="N43" s="9"/>
      <c r="O43" s="9"/>
      <c r="P43" s="9"/>
      <c r="Q43" s="10"/>
      <c r="R43" s="48"/>
      <c r="S43" s="48"/>
      <c r="T43" s="48"/>
      <c r="U43" s="48"/>
    </row>
    <row r="44" spans="1:21" x14ac:dyDescent="0.4">
      <c r="A44" s="19"/>
      <c r="B44" s="3">
        <f t="shared" si="0"/>
        <v>40</v>
      </c>
      <c r="C44" s="21"/>
      <c r="D44" s="22"/>
      <c r="E44" s="19"/>
      <c r="F44" s="16"/>
      <c r="G44" s="13" t="s">
        <v>1610</v>
      </c>
      <c r="H44" s="13"/>
      <c r="I44" s="13"/>
      <c r="J44" s="13"/>
      <c r="K44" s="13"/>
      <c r="L44" s="13"/>
      <c r="M44" s="13"/>
      <c r="N44" s="13"/>
      <c r="O44" s="13"/>
      <c r="P44" s="13"/>
      <c r="Q44" s="14"/>
      <c r="R44" s="46" t="s">
        <v>1240</v>
      </c>
      <c r="S44" s="46"/>
      <c r="T44" s="49">
        <v>599</v>
      </c>
      <c r="U44" s="46"/>
    </row>
    <row r="45" spans="1:21" x14ac:dyDescent="0.4">
      <c r="A45" s="20"/>
      <c r="B45" s="3">
        <f t="shared" si="0"/>
        <v>41</v>
      </c>
      <c r="C45" s="24"/>
      <c r="D45" s="36"/>
      <c r="E45" s="20"/>
      <c r="F45" s="17"/>
      <c r="G45" s="13" t="s">
        <v>120</v>
      </c>
      <c r="H45" s="13"/>
      <c r="I45" s="13"/>
      <c r="J45" s="13"/>
      <c r="K45" s="13"/>
      <c r="L45" s="13"/>
      <c r="M45" s="13"/>
      <c r="N45" s="13"/>
      <c r="O45" s="13"/>
      <c r="P45" s="13"/>
      <c r="Q45" s="14"/>
      <c r="R45" s="23" t="s">
        <v>121</v>
      </c>
      <c r="S45" s="23"/>
      <c r="T45" s="23" t="s">
        <v>121</v>
      </c>
      <c r="U45" s="46"/>
    </row>
  </sheetData>
  <phoneticPr fontId="1"/>
  <conditionalFormatting sqref="T5:T45">
    <cfRule type="expression" dxfId="11" priority="1">
      <formula>$R5&lt;&gt;$T5</formula>
    </cfRule>
  </conditionalFormatting>
  <dataValidations count="3">
    <dataValidation type="list" allowBlank="1" showInputMessage="1" showErrorMessage="1" sqref="T29:T30 T25:T26 T40:T41 R40:R41 R25:R26 R29:R30 R34:R35 T34:T35" xr:uid="{91C6E087-40CC-DC44-A898-9828726935F1}">
      <formula1>work_チェックボックス</formula1>
    </dataValidation>
    <dataValidation type="list" allowBlank="1" showInputMessage="1" showErrorMessage="1" sqref="T36:T37 R36:R37 R20:R22 T20:T22" xr:uid="{7BE85AF1-11AC-D140-8EAB-2420EA964C82}">
      <formula1>work_ラジオボタン</formula1>
    </dataValidation>
    <dataValidation type="list" allowBlank="1" showInputMessage="1" showErrorMessage="1" sqref="S5:S45" xr:uid="{DD53ACE6-FA87-4088-AFD1-9EFD5DE343D7}">
      <formula1>"-,変更"</formula1>
    </dataValidation>
  </dataValidations>
  <hyperlinks>
    <hyperlink ref="G32" location="'4.3.シャドウコピー'!A1" display="(別シートに記載)" xr:uid="{C9E882D9-3D4E-E747-8FC9-44BAA7D36E18}"/>
  </hyperlinks>
  <pageMargins left="0.7" right="0.7" top="0.75" bottom="0.75" header="0.3" footer="0.3"/>
  <pageSetup paperSize="9" orientation="portrait" horizontalDpi="0" verticalDpi="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0AEDD6-7140-3B44-8F18-9292BD3CF174}">
  <dimension ref="A1:Q16"/>
  <sheetViews>
    <sheetView zoomScale="90" zoomScaleNormal="90" workbookViewId="0">
      <selection activeCell="P23" sqref="P23"/>
    </sheetView>
  </sheetViews>
  <sheetFormatPr defaultColWidth="11.5546875" defaultRowHeight="19.5" x14ac:dyDescent="0.4"/>
  <cols>
    <col min="1" max="12" width="4.6640625" customWidth="1"/>
    <col min="13" max="13" width="60.6640625" customWidth="1"/>
    <col min="14" max="14" width="30.88671875" bestFit="1" customWidth="1"/>
    <col min="15" max="15" width="8.6640625" bestFit="1" customWidth="1"/>
    <col min="16" max="16" width="30.88671875" bestFit="1" customWidth="1"/>
    <col min="17" max="17" width="20.6640625" customWidth="1"/>
  </cols>
  <sheetData>
    <row r="1" spans="1:17" x14ac:dyDescent="0.4">
      <c r="A1" s="1" t="str">
        <f ca="1">RIGHT(CELL("filename",A1),LEN(CELL("filename",A1))-FIND("]",CELL("filename",A1)))</f>
        <v>4.3.ドライブのデフラグと最適化</v>
      </c>
    </row>
    <row r="3" spans="1:17" x14ac:dyDescent="0.4">
      <c r="A3" s="62" t="s">
        <v>3</v>
      </c>
      <c r="B3" s="61" t="s">
        <v>4</v>
      </c>
      <c r="C3" s="82"/>
      <c r="D3" s="82"/>
      <c r="E3" s="82"/>
      <c r="F3" s="82"/>
      <c r="G3" s="82"/>
      <c r="H3" s="82"/>
      <c r="I3" s="82"/>
      <c r="J3" s="82"/>
      <c r="K3" s="82"/>
      <c r="L3" s="82"/>
      <c r="M3" s="113"/>
      <c r="N3" s="62" t="s">
        <v>14</v>
      </c>
      <c r="O3" s="207" t="s">
        <v>2915</v>
      </c>
      <c r="P3" s="207"/>
      <c r="Q3" s="62" t="s">
        <v>5</v>
      </c>
    </row>
    <row r="4" spans="1:17" x14ac:dyDescent="0.4">
      <c r="A4" s="64"/>
      <c r="B4" s="63"/>
      <c r="C4" s="227"/>
      <c r="D4" s="227"/>
      <c r="E4" s="227"/>
      <c r="F4" s="227"/>
      <c r="G4" s="227"/>
      <c r="H4" s="227"/>
      <c r="I4" s="227"/>
      <c r="J4" s="227"/>
      <c r="K4" s="227"/>
      <c r="L4" s="227"/>
      <c r="M4" s="228"/>
      <c r="N4" s="64"/>
      <c r="O4" s="223" t="s">
        <v>2913</v>
      </c>
      <c r="P4" s="224" t="s">
        <v>2912</v>
      </c>
      <c r="Q4" s="64"/>
    </row>
    <row r="5" spans="1:17" x14ac:dyDescent="0.4">
      <c r="A5" s="3">
        <v>1</v>
      </c>
      <c r="B5" s="15" t="s">
        <v>1294</v>
      </c>
      <c r="C5" s="9"/>
      <c r="D5" s="9"/>
      <c r="E5" s="9"/>
      <c r="F5" s="9"/>
      <c r="G5" s="9"/>
      <c r="H5" s="9"/>
      <c r="I5" s="9"/>
      <c r="J5" s="9"/>
      <c r="K5" s="9"/>
      <c r="L5" s="9"/>
      <c r="M5" s="10"/>
      <c r="N5" s="8"/>
      <c r="O5" s="8"/>
      <c r="P5" s="8"/>
      <c r="Q5" s="8"/>
    </row>
    <row r="6" spans="1:17" x14ac:dyDescent="0.4">
      <c r="A6" s="3">
        <f>A5+1</f>
        <v>2</v>
      </c>
      <c r="B6" s="21"/>
      <c r="C6" s="21" t="s">
        <v>1295</v>
      </c>
      <c r="D6" s="9"/>
      <c r="E6" s="9"/>
      <c r="F6" s="9"/>
      <c r="G6" s="9"/>
      <c r="H6" s="9"/>
      <c r="I6" s="9"/>
      <c r="J6" s="9"/>
      <c r="K6" s="9"/>
      <c r="L6" s="9"/>
      <c r="M6" s="10"/>
      <c r="N6" s="8"/>
      <c r="O6" s="8"/>
      <c r="P6" s="8"/>
      <c r="Q6" s="8"/>
    </row>
    <row r="7" spans="1:17" x14ac:dyDescent="0.4">
      <c r="A7" s="3">
        <f t="shared" ref="A7:A16" si="0">A6+1</f>
        <v>3</v>
      </c>
      <c r="B7" s="21"/>
      <c r="C7" s="16"/>
      <c r="D7" s="26" t="s">
        <v>1296</v>
      </c>
      <c r="E7" s="13"/>
      <c r="F7" s="13"/>
      <c r="G7" s="13"/>
      <c r="H7" s="13"/>
      <c r="I7" s="13"/>
      <c r="J7" s="13"/>
      <c r="K7" s="13"/>
      <c r="L7" s="13"/>
      <c r="M7" s="14"/>
      <c r="N7" s="11" t="s">
        <v>20</v>
      </c>
      <c r="O7" s="11"/>
      <c r="P7" s="11" t="s">
        <v>20</v>
      </c>
      <c r="Q7" s="11"/>
    </row>
    <row r="8" spans="1:17" x14ac:dyDescent="0.4">
      <c r="A8" s="3">
        <f t="shared" si="0"/>
        <v>4</v>
      </c>
      <c r="B8" s="21"/>
      <c r="C8" s="16"/>
      <c r="D8" s="19"/>
      <c r="E8" s="15" t="s">
        <v>101</v>
      </c>
      <c r="F8" s="9"/>
      <c r="G8" s="9"/>
      <c r="H8" s="9"/>
      <c r="I8" s="9"/>
      <c r="J8" s="9"/>
      <c r="K8" s="9"/>
      <c r="L8" s="9"/>
      <c r="M8" s="10"/>
      <c r="N8" s="2"/>
      <c r="O8" s="2"/>
      <c r="P8" s="2"/>
      <c r="Q8" s="2"/>
    </row>
    <row r="9" spans="1:17" x14ac:dyDescent="0.4">
      <c r="A9" s="3">
        <f t="shared" si="0"/>
        <v>5</v>
      </c>
      <c r="B9" s="21"/>
      <c r="C9" s="16"/>
      <c r="D9" s="19"/>
      <c r="E9" s="21"/>
      <c r="F9" s="12" t="s">
        <v>102</v>
      </c>
      <c r="G9" s="13"/>
      <c r="H9" s="13"/>
      <c r="I9" s="13"/>
      <c r="J9" s="13"/>
      <c r="K9" s="13"/>
      <c r="L9" s="13"/>
      <c r="M9" s="14"/>
      <c r="N9" s="11" t="s">
        <v>10</v>
      </c>
      <c r="O9" s="11"/>
      <c r="P9" s="11" t="s">
        <v>10</v>
      </c>
      <c r="Q9" s="11"/>
    </row>
    <row r="10" spans="1:17" x14ac:dyDescent="0.4">
      <c r="A10" s="3">
        <f t="shared" si="0"/>
        <v>6</v>
      </c>
      <c r="B10" s="21"/>
      <c r="C10" s="16"/>
      <c r="D10" s="19"/>
      <c r="E10" s="21"/>
      <c r="F10" s="12" t="s">
        <v>103</v>
      </c>
      <c r="G10" s="13"/>
      <c r="H10" s="13"/>
      <c r="I10" s="13"/>
      <c r="J10" s="13"/>
      <c r="K10" s="13"/>
      <c r="L10" s="13"/>
      <c r="M10" s="14"/>
      <c r="N10" s="11" t="s">
        <v>9</v>
      </c>
      <c r="O10" s="11"/>
      <c r="P10" s="11" t="s">
        <v>9</v>
      </c>
      <c r="Q10" s="11"/>
    </row>
    <row r="11" spans="1:17" x14ac:dyDescent="0.4">
      <c r="A11" s="3">
        <f t="shared" si="0"/>
        <v>7</v>
      </c>
      <c r="B11" s="21"/>
      <c r="C11" s="16"/>
      <c r="D11" s="19"/>
      <c r="E11" s="24"/>
      <c r="F11" s="12" t="s">
        <v>104</v>
      </c>
      <c r="G11" s="13"/>
      <c r="H11" s="13"/>
      <c r="I11" s="13"/>
      <c r="J11" s="13"/>
      <c r="K11" s="13"/>
      <c r="L11" s="13"/>
      <c r="M11" s="14"/>
      <c r="N11" s="11" t="s">
        <v>10</v>
      </c>
      <c r="O11" s="11"/>
      <c r="P11" s="11" t="s">
        <v>10</v>
      </c>
      <c r="Q11" s="11"/>
    </row>
    <row r="12" spans="1:17" x14ac:dyDescent="0.4">
      <c r="A12" s="3">
        <f t="shared" si="0"/>
        <v>8</v>
      </c>
      <c r="B12" s="21"/>
      <c r="C12" s="16"/>
      <c r="D12" s="20"/>
      <c r="E12" s="13" t="s">
        <v>1297</v>
      </c>
      <c r="F12" s="13"/>
      <c r="G12" s="13"/>
      <c r="H12" s="13"/>
      <c r="I12" s="13"/>
      <c r="J12" s="13"/>
      <c r="K12" s="13"/>
      <c r="L12" s="13"/>
      <c r="M12" s="14"/>
      <c r="N12" s="11" t="s">
        <v>20</v>
      </c>
      <c r="O12" s="11"/>
      <c r="P12" s="11" t="s">
        <v>20</v>
      </c>
      <c r="Q12" s="11"/>
    </row>
    <row r="13" spans="1:17" x14ac:dyDescent="0.4">
      <c r="A13" s="3">
        <f t="shared" si="0"/>
        <v>9</v>
      </c>
      <c r="B13" s="21"/>
      <c r="C13" s="16"/>
      <c r="D13" s="27" t="s">
        <v>105</v>
      </c>
      <c r="E13" s="9"/>
      <c r="F13" s="9"/>
      <c r="G13" s="9"/>
      <c r="H13" s="9"/>
      <c r="I13" s="9"/>
      <c r="J13" s="9"/>
      <c r="K13" s="9"/>
      <c r="L13" s="9"/>
      <c r="M13" s="10"/>
      <c r="N13" s="2"/>
      <c r="O13" s="2"/>
      <c r="P13" s="2"/>
      <c r="Q13" s="2"/>
    </row>
    <row r="14" spans="1:17" x14ac:dyDescent="0.4">
      <c r="A14" s="3">
        <f t="shared" si="0"/>
        <v>10</v>
      </c>
      <c r="B14" s="21"/>
      <c r="C14" s="16"/>
      <c r="D14" s="16"/>
      <c r="E14" s="13" t="s">
        <v>106</v>
      </c>
      <c r="F14" s="13"/>
      <c r="G14" s="13"/>
      <c r="H14" s="13"/>
      <c r="I14" s="13"/>
      <c r="J14" s="13"/>
      <c r="K14" s="13"/>
      <c r="L14" s="13"/>
      <c r="M14" s="14"/>
      <c r="N14" s="11" t="s">
        <v>20</v>
      </c>
      <c r="O14" s="11"/>
      <c r="P14" s="11" t="s">
        <v>20</v>
      </c>
      <c r="Q14" s="11"/>
    </row>
    <row r="15" spans="1:17" x14ac:dyDescent="0.4">
      <c r="A15" s="3">
        <f t="shared" si="0"/>
        <v>11</v>
      </c>
      <c r="B15" s="21"/>
      <c r="C15" s="16"/>
      <c r="D15" s="16"/>
      <c r="E15" s="13"/>
      <c r="F15" s="13" t="s">
        <v>108</v>
      </c>
      <c r="G15" s="13"/>
      <c r="H15" s="13"/>
      <c r="I15" s="13"/>
      <c r="J15" s="13"/>
      <c r="K15" s="13"/>
      <c r="L15" s="13"/>
      <c r="M15" s="14"/>
      <c r="N15" s="11" t="s">
        <v>1240</v>
      </c>
      <c r="O15" s="11"/>
      <c r="P15" s="11" t="s">
        <v>1240</v>
      </c>
      <c r="Q15" s="11"/>
    </row>
    <row r="16" spans="1:17" x14ac:dyDescent="0.4">
      <c r="A16" s="3">
        <f t="shared" si="0"/>
        <v>12</v>
      </c>
      <c r="B16" s="24"/>
      <c r="C16" s="17"/>
      <c r="D16" s="17"/>
      <c r="E16" s="13" t="s">
        <v>107</v>
      </c>
      <c r="F16" s="13"/>
      <c r="G16" s="13"/>
      <c r="H16" s="13"/>
      <c r="I16" s="13"/>
      <c r="J16" s="13"/>
      <c r="K16" s="13"/>
      <c r="L16" s="13"/>
      <c r="M16" s="14"/>
      <c r="N16" s="11" t="s">
        <v>20</v>
      </c>
      <c r="O16" s="11"/>
      <c r="P16" s="11" t="s">
        <v>20</v>
      </c>
      <c r="Q16" s="11"/>
    </row>
  </sheetData>
  <phoneticPr fontId="1"/>
  <conditionalFormatting sqref="P5:P16">
    <cfRule type="expression" dxfId="10" priority="1">
      <formula>$N5&lt;&gt;$P5</formula>
    </cfRule>
  </conditionalFormatting>
  <dataValidations count="2">
    <dataValidation type="list" allowBlank="1" showInputMessage="1" showErrorMessage="1" sqref="Q7:Q16 N12:P12 N14:P14 N16:P16 N7:P7" xr:uid="{6ACAA827-632C-2B4C-9A0A-215F7DA1D0FB}">
      <formula1>work_チェックボックス</formula1>
    </dataValidation>
    <dataValidation type="list" allowBlank="1" showInputMessage="1" showErrorMessage="1" sqref="N9:P11" xr:uid="{45FC0D0B-ECAB-214C-B3B2-88E016AB4361}">
      <formula1>work_ラジオボタン</formula1>
    </dataValidation>
  </dataValidations>
  <pageMargins left="0.7" right="0.7" top="0.75" bottom="0.75" header="0.3" footer="0.3"/>
  <pageSetup paperSize="9" orientation="portrait" horizontalDpi="0" verticalDpi="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97C023-EC8D-ED47-ADAB-E62F8ADD3AB5}">
  <sheetPr>
    <outlinePr summaryBelow="0" summaryRight="0"/>
  </sheetPr>
  <dimension ref="A1:R121"/>
  <sheetViews>
    <sheetView zoomScale="90" zoomScaleNormal="90" workbookViewId="0">
      <pane ySplit="4" topLeftCell="A5" activePane="bottomLeft" state="frozen"/>
      <selection pane="bottomLeft" activeCell="K10" sqref="K10"/>
    </sheetView>
  </sheetViews>
  <sheetFormatPr defaultColWidth="11.5546875" defaultRowHeight="19.5" x14ac:dyDescent="0.4"/>
  <cols>
    <col min="1" max="1" width="5" customWidth="1"/>
    <col min="2" max="13" width="4.6640625" customWidth="1"/>
    <col min="14" max="14" width="60.6640625" customWidth="1"/>
    <col min="15" max="15" width="30.88671875" bestFit="1" customWidth="1"/>
    <col min="16" max="16" width="8.6640625" bestFit="1" customWidth="1"/>
    <col min="17" max="17" width="30.88671875" bestFit="1" customWidth="1"/>
    <col min="18" max="18" width="30.6640625" customWidth="1"/>
  </cols>
  <sheetData>
    <row r="1" spans="1:18" x14ac:dyDescent="0.4">
      <c r="A1" s="1" t="str">
        <f ca="1">RIGHT(CELL("filename",A1),LEN(CELL("filename",A1))-FIND("]",CELL("filename",A1)))</f>
        <v>4.4.シャドウコピー</v>
      </c>
    </row>
    <row r="3" spans="1:18" x14ac:dyDescent="0.4">
      <c r="A3" s="61" t="s">
        <v>3</v>
      </c>
      <c r="B3" s="229"/>
      <c r="C3" s="61" t="s">
        <v>4</v>
      </c>
      <c r="D3" s="82"/>
      <c r="E3" s="82"/>
      <c r="F3" s="82"/>
      <c r="G3" s="82"/>
      <c r="H3" s="82"/>
      <c r="I3" s="82"/>
      <c r="J3" s="82"/>
      <c r="K3" s="82"/>
      <c r="L3" s="82"/>
      <c r="M3" s="82"/>
      <c r="N3" s="113"/>
      <c r="O3" s="114" t="s">
        <v>14</v>
      </c>
      <c r="P3" s="124" t="s">
        <v>2915</v>
      </c>
      <c r="Q3" s="124"/>
      <c r="R3" s="114" t="s">
        <v>5</v>
      </c>
    </row>
    <row r="4" spans="1:18" ht="20.25" thickBot="1" x14ac:dyDescent="0.45">
      <c r="A4" s="119"/>
      <c r="B4" s="209" t="s">
        <v>3036</v>
      </c>
      <c r="C4" s="119"/>
      <c r="D4" s="120"/>
      <c r="E4" s="120"/>
      <c r="F4" s="120"/>
      <c r="G4" s="120"/>
      <c r="H4" s="120"/>
      <c r="I4" s="120"/>
      <c r="J4" s="120"/>
      <c r="K4" s="120"/>
      <c r="L4" s="120"/>
      <c r="M4" s="120"/>
      <c r="N4" s="121"/>
      <c r="O4" s="122"/>
      <c r="P4" s="126" t="s">
        <v>2913</v>
      </c>
      <c r="Q4" s="127" t="s">
        <v>2912</v>
      </c>
      <c r="R4" s="122"/>
    </row>
    <row r="5" spans="1:18" ht="20.25" thickTop="1" x14ac:dyDescent="0.4">
      <c r="A5" s="233">
        <v>1</v>
      </c>
      <c r="B5" s="20">
        <v>1</v>
      </c>
      <c r="C5" s="21" t="s">
        <v>1604</v>
      </c>
      <c r="D5" s="25"/>
      <c r="E5" s="33"/>
      <c r="F5" s="33"/>
      <c r="G5" s="33"/>
      <c r="H5" s="33"/>
      <c r="I5" s="33"/>
      <c r="J5" s="33"/>
      <c r="K5" s="33"/>
      <c r="L5" s="33"/>
      <c r="M5" s="33"/>
      <c r="N5" s="29"/>
      <c r="O5" s="125"/>
      <c r="P5" s="125"/>
      <c r="Q5" s="125"/>
      <c r="R5" s="125"/>
    </row>
    <row r="6" spans="1:18" x14ac:dyDescent="0.4">
      <c r="A6" s="19"/>
      <c r="B6" s="3">
        <f>B5+1</f>
        <v>2</v>
      </c>
      <c r="C6" s="21"/>
      <c r="D6" s="18" t="s">
        <v>1631</v>
      </c>
      <c r="E6" s="13"/>
      <c r="F6" s="13"/>
      <c r="G6" s="13"/>
      <c r="H6" s="13"/>
      <c r="I6" s="13"/>
      <c r="J6" s="13"/>
      <c r="K6" s="13"/>
      <c r="L6" s="13"/>
      <c r="M6" s="13"/>
      <c r="N6" s="14"/>
      <c r="O6" s="46" t="s">
        <v>1240</v>
      </c>
      <c r="P6" s="46"/>
      <c r="Q6" s="46" t="s">
        <v>1240</v>
      </c>
      <c r="R6" s="46"/>
    </row>
    <row r="7" spans="1:18" x14ac:dyDescent="0.4">
      <c r="A7" s="19"/>
      <c r="B7" s="3">
        <f t="shared" ref="B7:B63" si="0">B6+1</f>
        <v>3</v>
      </c>
      <c r="C7" s="21"/>
      <c r="D7" s="22"/>
      <c r="E7" s="12" t="s">
        <v>98</v>
      </c>
      <c r="F7" s="13"/>
      <c r="G7" s="13"/>
      <c r="H7" s="13"/>
      <c r="I7" s="13"/>
      <c r="J7" s="13"/>
      <c r="K7" s="13"/>
      <c r="L7" s="13"/>
      <c r="M7" s="13"/>
      <c r="N7" s="14"/>
      <c r="O7" s="46" t="s">
        <v>9</v>
      </c>
      <c r="P7" s="46"/>
      <c r="Q7" s="46" t="s">
        <v>9</v>
      </c>
      <c r="R7" s="46"/>
    </row>
    <row r="8" spans="1:18" x14ac:dyDescent="0.4">
      <c r="A8" s="19"/>
      <c r="B8" s="3">
        <f t="shared" si="0"/>
        <v>4</v>
      </c>
      <c r="C8" s="21"/>
      <c r="D8" s="22"/>
      <c r="E8" s="18" t="s">
        <v>21</v>
      </c>
      <c r="F8" s="26"/>
      <c r="G8" s="13"/>
      <c r="H8" s="13"/>
      <c r="I8" s="13"/>
      <c r="J8" s="13"/>
      <c r="K8" s="13"/>
      <c r="L8" s="13"/>
      <c r="M8" s="13"/>
      <c r="N8" s="14"/>
      <c r="O8" s="46" t="s">
        <v>10</v>
      </c>
      <c r="P8" s="46"/>
      <c r="Q8" s="46" t="s">
        <v>10</v>
      </c>
      <c r="R8" s="46"/>
    </row>
    <row r="9" spans="1:18" x14ac:dyDescent="0.4">
      <c r="A9" s="19"/>
      <c r="B9" s="3">
        <f t="shared" si="0"/>
        <v>5</v>
      </c>
      <c r="C9" s="21"/>
      <c r="D9" s="22"/>
      <c r="E9" s="19"/>
      <c r="F9" s="15" t="s">
        <v>95</v>
      </c>
      <c r="G9" s="9"/>
      <c r="H9" s="9"/>
      <c r="I9" s="9"/>
      <c r="J9" s="9"/>
      <c r="K9" s="9"/>
      <c r="L9" s="9"/>
      <c r="M9" s="9"/>
      <c r="N9" s="10"/>
      <c r="O9" s="48"/>
      <c r="P9" s="48"/>
      <c r="Q9" s="48"/>
      <c r="R9" s="48"/>
    </row>
    <row r="10" spans="1:18" ht="39" x14ac:dyDescent="0.4">
      <c r="A10" s="19"/>
      <c r="B10" s="3">
        <f t="shared" si="0"/>
        <v>6</v>
      </c>
      <c r="C10" s="21"/>
      <c r="D10" s="22"/>
      <c r="E10" s="19"/>
      <c r="F10" s="16"/>
      <c r="G10" s="13" t="s">
        <v>1633</v>
      </c>
      <c r="H10" s="13"/>
      <c r="I10" s="13"/>
      <c r="J10" s="13"/>
      <c r="K10" s="13"/>
      <c r="L10" s="13"/>
      <c r="M10" s="13"/>
      <c r="N10" s="14"/>
      <c r="O10" s="46" t="s">
        <v>1240</v>
      </c>
      <c r="P10" s="46"/>
      <c r="Q10" s="46" t="s">
        <v>1634</v>
      </c>
      <c r="R10" s="46"/>
    </row>
    <row r="11" spans="1:18" x14ac:dyDescent="0.4">
      <c r="A11" s="19"/>
      <c r="B11" s="3">
        <f t="shared" si="0"/>
        <v>7</v>
      </c>
      <c r="C11" s="21"/>
      <c r="D11" s="22"/>
      <c r="E11" s="19"/>
      <c r="F11" s="16"/>
      <c r="G11" s="27" t="s">
        <v>122</v>
      </c>
      <c r="H11" s="9"/>
      <c r="I11" s="9"/>
      <c r="J11" s="9"/>
      <c r="K11" s="9"/>
      <c r="L11" s="9"/>
      <c r="M11" s="9"/>
      <c r="N11" s="10"/>
      <c r="O11" s="47"/>
      <c r="P11" s="47"/>
      <c r="Q11" s="47"/>
      <c r="R11" s="48"/>
    </row>
    <row r="12" spans="1:18" x14ac:dyDescent="0.4">
      <c r="A12" s="19"/>
      <c r="B12" s="3">
        <f t="shared" si="0"/>
        <v>8</v>
      </c>
      <c r="C12" s="21"/>
      <c r="D12" s="22"/>
      <c r="E12" s="19"/>
      <c r="F12" s="16"/>
      <c r="G12" s="28"/>
      <c r="H12" s="13" t="s">
        <v>123</v>
      </c>
      <c r="I12" s="13"/>
      <c r="J12" s="13"/>
      <c r="K12" s="13"/>
      <c r="L12" s="13"/>
      <c r="M12" s="13"/>
      <c r="N12" s="14"/>
      <c r="O12" s="46" t="s">
        <v>10</v>
      </c>
      <c r="P12" s="46"/>
      <c r="Q12" s="46" t="s">
        <v>10</v>
      </c>
      <c r="R12" s="46"/>
    </row>
    <row r="13" spans="1:18" x14ac:dyDescent="0.4">
      <c r="A13" s="19"/>
      <c r="B13" s="3">
        <f t="shared" si="0"/>
        <v>9</v>
      </c>
      <c r="C13" s="21"/>
      <c r="D13" s="22"/>
      <c r="E13" s="19"/>
      <c r="F13" s="16"/>
      <c r="G13" s="28"/>
      <c r="H13" s="26" t="s">
        <v>1635</v>
      </c>
      <c r="I13" s="13"/>
      <c r="J13" s="13"/>
      <c r="K13" s="13"/>
      <c r="L13" s="13"/>
      <c r="M13" s="13"/>
      <c r="N13" s="14"/>
      <c r="O13" s="46" t="s">
        <v>9</v>
      </c>
      <c r="P13" s="46"/>
      <c r="Q13" s="46" t="s">
        <v>9</v>
      </c>
      <c r="R13" s="46"/>
    </row>
    <row r="14" spans="1:18" x14ac:dyDescent="0.4">
      <c r="A14" s="19"/>
      <c r="B14" s="3">
        <f t="shared" si="0"/>
        <v>10</v>
      </c>
      <c r="C14" s="21"/>
      <c r="D14" s="22"/>
      <c r="E14" s="19"/>
      <c r="F14" s="17"/>
      <c r="G14" s="29"/>
      <c r="H14" s="20"/>
      <c r="I14" s="13" t="s">
        <v>1636</v>
      </c>
      <c r="J14" s="13"/>
      <c r="K14" s="13"/>
      <c r="L14" s="13"/>
      <c r="M14" s="13"/>
      <c r="N14" s="14"/>
      <c r="O14" s="49">
        <v>320</v>
      </c>
      <c r="P14" s="49"/>
      <c r="Q14" s="49">
        <v>320</v>
      </c>
      <c r="R14" s="46"/>
    </row>
    <row r="15" spans="1:18" x14ac:dyDescent="0.4">
      <c r="A15" s="19"/>
      <c r="B15" s="3">
        <f t="shared" si="0"/>
        <v>11</v>
      </c>
      <c r="C15" s="21"/>
      <c r="D15" s="22"/>
      <c r="E15" s="19"/>
      <c r="F15" s="27" t="s">
        <v>1637</v>
      </c>
      <c r="G15" s="9"/>
      <c r="H15" s="9"/>
      <c r="I15" s="9"/>
      <c r="J15" s="9"/>
      <c r="K15" s="9"/>
      <c r="L15" s="9"/>
      <c r="M15" s="9"/>
      <c r="N15" s="10"/>
      <c r="O15" s="48"/>
      <c r="P15" s="48"/>
      <c r="Q15" s="48"/>
      <c r="R15" s="48"/>
    </row>
    <row r="16" spans="1:18" x14ac:dyDescent="0.4">
      <c r="A16" s="19"/>
      <c r="B16" s="3">
        <f t="shared" si="0"/>
        <v>12</v>
      </c>
      <c r="C16" s="21"/>
      <c r="D16" s="22"/>
      <c r="E16" s="19"/>
      <c r="F16" s="16"/>
      <c r="G16" s="26" t="s">
        <v>1638</v>
      </c>
      <c r="H16" s="13"/>
      <c r="I16" s="13"/>
      <c r="J16" s="13"/>
      <c r="K16" s="13"/>
      <c r="L16" s="13"/>
      <c r="M16" s="13"/>
      <c r="N16" s="14"/>
      <c r="O16" s="46" t="s">
        <v>1240</v>
      </c>
      <c r="P16" s="46"/>
      <c r="Q16" s="46" t="s">
        <v>1240</v>
      </c>
      <c r="R16" s="46"/>
    </row>
    <row r="17" spans="1:18" x14ac:dyDescent="0.4">
      <c r="A17" s="19"/>
      <c r="B17" s="3">
        <f t="shared" si="0"/>
        <v>13</v>
      </c>
      <c r="C17" s="21"/>
      <c r="D17" s="19"/>
      <c r="E17" s="19"/>
      <c r="F17" s="16"/>
      <c r="G17" s="19"/>
      <c r="H17" s="26" t="s">
        <v>1639</v>
      </c>
      <c r="I17" s="13"/>
      <c r="J17" s="13"/>
      <c r="K17" s="13"/>
      <c r="L17" s="13"/>
      <c r="M17" s="13"/>
      <c r="N17" s="14"/>
      <c r="O17" s="46" t="s">
        <v>10</v>
      </c>
      <c r="P17" s="46"/>
      <c r="Q17" s="46" t="s">
        <v>10</v>
      </c>
      <c r="R17" s="46"/>
    </row>
    <row r="18" spans="1:18" x14ac:dyDescent="0.4">
      <c r="A18" s="19"/>
      <c r="B18" s="3">
        <f t="shared" si="0"/>
        <v>14</v>
      </c>
      <c r="C18" s="21"/>
      <c r="D18" s="19"/>
      <c r="E18" s="19"/>
      <c r="F18" s="16"/>
      <c r="G18" s="19"/>
      <c r="H18" s="19"/>
      <c r="I18" s="13" t="s">
        <v>124</v>
      </c>
      <c r="J18" s="13"/>
      <c r="K18" s="13"/>
      <c r="L18" s="13"/>
      <c r="M18" s="13"/>
      <c r="N18" s="14"/>
      <c r="O18" s="51">
        <v>0.29166666666666669</v>
      </c>
      <c r="P18" s="51"/>
      <c r="Q18" s="51">
        <v>0.29166666666666669</v>
      </c>
      <c r="R18" s="46"/>
    </row>
    <row r="19" spans="1:18" x14ac:dyDescent="0.4">
      <c r="A19" s="19"/>
      <c r="B19" s="3">
        <f t="shared" si="0"/>
        <v>15</v>
      </c>
      <c r="C19" s="21"/>
      <c r="D19" s="19"/>
      <c r="E19" s="19"/>
      <c r="F19" s="16"/>
      <c r="G19" s="19"/>
      <c r="H19" s="19"/>
      <c r="I19" s="27" t="s">
        <v>31</v>
      </c>
      <c r="J19" s="27"/>
      <c r="K19" s="27"/>
      <c r="L19" s="27"/>
      <c r="M19" s="9"/>
      <c r="N19" s="10"/>
      <c r="O19" s="47"/>
      <c r="P19" s="47"/>
      <c r="Q19" s="47"/>
      <c r="R19" s="48"/>
    </row>
    <row r="20" spans="1:18" x14ac:dyDescent="0.4">
      <c r="A20" s="19"/>
      <c r="B20" s="3">
        <f t="shared" si="0"/>
        <v>16</v>
      </c>
      <c r="C20" s="21"/>
      <c r="D20" s="19"/>
      <c r="E20" s="19"/>
      <c r="F20" s="16"/>
      <c r="G20" s="19"/>
      <c r="H20" s="19"/>
      <c r="I20" s="16"/>
      <c r="J20" s="12" t="s">
        <v>125</v>
      </c>
      <c r="K20" s="13"/>
      <c r="L20" s="13"/>
      <c r="M20" s="13"/>
      <c r="N20" s="14"/>
      <c r="O20" s="52">
        <v>44694</v>
      </c>
      <c r="P20" s="52"/>
      <c r="Q20" s="52">
        <v>44694</v>
      </c>
      <c r="R20" s="46"/>
    </row>
    <row r="21" spans="1:18" x14ac:dyDescent="0.4">
      <c r="A21" s="19"/>
      <c r="B21" s="3">
        <f t="shared" si="0"/>
        <v>17</v>
      </c>
      <c r="C21" s="21"/>
      <c r="D21" s="19"/>
      <c r="E21" s="19"/>
      <c r="F21" s="16"/>
      <c r="G21" s="19"/>
      <c r="H21" s="19"/>
      <c r="I21" s="16"/>
      <c r="J21" s="18" t="s">
        <v>126</v>
      </c>
      <c r="K21" s="26"/>
      <c r="L21" s="26"/>
      <c r="M21" s="13"/>
      <c r="N21" s="14"/>
      <c r="O21" s="46" t="s">
        <v>36</v>
      </c>
      <c r="P21" s="46"/>
      <c r="Q21" s="46" t="s">
        <v>36</v>
      </c>
      <c r="R21" s="46"/>
    </row>
    <row r="22" spans="1:18" x14ac:dyDescent="0.4">
      <c r="A22" s="19"/>
      <c r="B22" s="3">
        <f t="shared" si="0"/>
        <v>18</v>
      </c>
      <c r="C22" s="21"/>
      <c r="D22" s="19"/>
      <c r="E22" s="19"/>
      <c r="F22" s="16"/>
      <c r="G22" s="19"/>
      <c r="H22" s="19"/>
      <c r="I22" s="16"/>
      <c r="J22" s="20"/>
      <c r="K22" s="12"/>
      <c r="L22" s="13"/>
      <c r="M22" s="13"/>
      <c r="N22" s="14"/>
      <c r="O22" s="46" t="s">
        <v>1240</v>
      </c>
      <c r="P22" s="46"/>
      <c r="Q22" s="46" t="s">
        <v>1240</v>
      </c>
      <c r="R22" s="46"/>
    </row>
    <row r="23" spans="1:18" x14ac:dyDescent="0.4">
      <c r="A23" s="19"/>
      <c r="B23" s="3">
        <f t="shared" si="0"/>
        <v>19</v>
      </c>
      <c r="C23" s="21"/>
      <c r="D23" s="19"/>
      <c r="E23" s="19"/>
      <c r="F23" s="16"/>
      <c r="G23" s="19"/>
      <c r="H23" s="19"/>
      <c r="I23" s="16"/>
      <c r="J23" s="19" t="s">
        <v>127</v>
      </c>
      <c r="K23" s="32"/>
      <c r="L23" s="32"/>
      <c r="M23" s="13"/>
      <c r="N23" s="14"/>
      <c r="O23" s="46" t="s">
        <v>36</v>
      </c>
      <c r="P23" s="46"/>
      <c r="Q23" s="46" t="s">
        <v>36</v>
      </c>
      <c r="R23" s="46"/>
    </row>
    <row r="24" spans="1:18" x14ac:dyDescent="0.4">
      <c r="A24" s="19"/>
      <c r="B24" s="3">
        <f t="shared" si="0"/>
        <v>20</v>
      </c>
      <c r="C24" s="21"/>
      <c r="D24" s="19"/>
      <c r="E24" s="19"/>
      <c r="F24" s="16"/>
      <c r="G24" s="19"/>
      <c r="H24" s="19"/>
      <c r="I24" s="16"/>
      <c r="J24" s="19"/>
      <c r="K24" s="12" t="s">
        <v>128</v>
      </c>
      <c r="L24" s="13"/>
      <c r="M24" s="13"/>
      <c r="N24" s="13"/>
      <c r="O24" s="23" t="s">
        <v>1602</v>
      </c>
      <c r="P24" s="23"/>
      <c r="Q24" s="23" t="s">
        <v>1602</v>
      </c>
      <c r="R24" s="46"/>
    </row>
    <row r="25" spans="1:18" x14ac:dyDescent="0.4">
      <c r="A25" s="19"/>
      <c r="B25" s="3">
        <f t="shared" si="0"/>
        <v>21</v>
      </c>
      <c r="C25" s="21"/>
      <c r="D25" s="19"/>
      <c r="E25" s="19"/>
      <c r="F25" s="16"/>
      <c r="G25" s="19"/>
      <c r="H25" s="19"/>
      <c r="I25" s="16"/>
      <c r="J25" s="19"/>
      <c r="K25" s="27" t="s">
        <v>129</v>
      </c>
      <c r="L25" s="9"/>
      <c r="M25" s="9"/>
      <c r="N25" s="10"/>
      <c r="O25" s="47"/>
      <c r="P25" s="47"/>
      <c r="Q25" s="47"/>
      <c r="R25" s="48"/>
    </row>
    <row r="26" spans="1:18" x14ac:dyDescent="0.4">
      <c r="A26" s="19"/>
      <c r="B26" s="3">
        <f t="shared" si="0"/>
        <v>22</v>
      </c>
      <c r="C26" s="21"/>
      <c r="D26" s="19"/>
      <c r="E26" s="19"/>
      <c r="F26" s="16"/>
      <c r="G26" s="19"/>
      <c r="H26" s="19"/>
      <c r="I26" s="16"/>
      <c r="J26" s="19"/>
      <c r="K26" s="16"/>
      <c r="L26" s="18" t="s">
        <v>130</v>
      </c>
      <c r="M26" s="13"/>
      <c r="N26" s="14"/>
      <c r="O26" s="46" t="s">
        <v>10</v>
      </c>
      <c r="P26" s="46"/>
      <c r="Q26" s="46" t="s">
        <v>10</v>
      </c>
      <c r="R26" s="46"/>
    </row>
    <row r="27" spans="1:18" x14ac:dyDescent="0.4">
      <c r="A27" s="19"/>
      <c r="B27" s="3">
        <f t="shared" si="0"/>
        <v>23</v>
      </c>
      <c r="C27" s="21"/>
      <c r="D27" s="19"/>
      <c r="E27" s="19"/>
      <c r="F27" s="16"/>
      <c r="G27" s="19"/>
      <c r="H27" s="19"/>
      <c r="I27" s="16"/>
      <c r="J27" s="19"/>
      <c r="K27" s="16"/>
      <c r="L27" s="20"/>
      <c r="M27" s="13"/>
      <c r="N27" s="14"/>
      <c r="O27" s="46" t="s">
        <v>1240</v>
      </c>
      <c r="P27" s="46"/>
      <c r="Q27" s="46" t="s">
        <v>1240</v>
      </c>
      <c r="R27" s="46"/>
    </row>
    <row r="28" spans="1:18" x14ac:dyDescent="0.4">
      <c r="A28" s="19"/>
      <c r="B28" s="3">
        <f t="shared" si="0"/>
        <v>24</v>
      </c>
      <c r="C28" s="21"/>
      <c r="D28" s="19"/>
      <c r="E28" s="19"/>
      <c r="F28" s="16"/>
      <c r="G28" s="19"/>
      <c r="H28" s="19"/>
      <c r="I28" s="16"/>
      <c r="J28" s="19"/>
      <c r="K28" s="16"/>
      <c r="L28" t="s">
        <v>131</v>
      </c>
      <c r="M28" s="13"/>
      <c r="N28" s="14"/>
      <c r="O28" s="46" t="s">
        <v>9</v>
      </c>
      <c r="P28" s="46"/>
      <c r="Q28" s="46" t="s">
        <v>9</v>
      </c>
      <c r="R28" s="46"/>
    </row>
    <row r="29" spans="1:18" x14ac:dyDescent="0.4">
      <c r="A29" s="19"/>
      <c r="B29" s="3">
        <f t="shared" si="0"/>
        <v>25</v>
      </c>
      <c r="C29" s="21"/>
      <c r="D29" s="19"/>
      <c r="E29" s="19"/>
      <c r="F29" s="16"/>
      <c r="G29" s="19"/>
      <c r="H29" s="19"/>
      <c r="I29" s="16"/>
      <c r="J29" s="19"/>
      <c r="K29" s="16"/>
      <c r="L29" s="19"/>
      <c r="M29" s="13" t="s">
        <v>132</v>
      </c>
      <c r="N29" s="14"/>
      <c r="O29" s="23" t="s">
        <v>1640</v>
      </c>
      <c r="P29" s="23"/>
      <c r="Q29" s="23" t="s">
        <v>1640</v>
      </c>
      <c r="R29" s="46"/>
    </row>
    <row r="30" spans="1:18" x14ac:dyDescent="0.4">
      <c r="A30" s="19"/>
      <c r="B30" s="3">
        <f t="shared" si="0"/>
        <v>26</v>
      </c>
      <c r="C30" s="21"/>
      <c r="D30" s="19"/>
      <c r="E30" s="19"/>
      <c r="F30" s="16"/>
      <c r="G30" s="19"/>
      <c r="H30" s="19"/>
      <c r="I30" s="17"/>
      <c r="J30" s="20"/>
      <c r="K30" s="17"/>
      <c r="L30" s="12" t="s">
        <v>133</v>
      </c>
      <c r="M30" s="13"/>
      <c r="N30" s="14"/>
      <c r="O30" s="46" t="s">
        <v>36</v>
      </c>
      <c r="P30" s="46"/>
      <c r="Q30" s="46" t="s">
        <v>36</v>
      </c>
      <c r="R30" s="46"/>
    </row>
    <row r="31" spans="1:18" x14ac:dyDescent="0.4">
      <c r="A31" s="19"/>
      <c r="B31" s="3">
        <f t="shared" si="0"/>
        <v>27</v>
      </c>
      <c r="C31" s="21"/>
      <c r="D31" s="19"/>
      <c r="E31" s="19"/>
      <c r="F31" s="16"/>
      <c r="G31" s="19"/>
      <c r="H31" s="19"/>
      <c r="I31" s="15" t="s">
        <v>1307</v>
      </c>
      <c r="J31" s="9"/>
      <c r="K31" s="9"/>
      <c r="L31" s="33"/>
      <c r="M31" s="9"/>
      <c r="N31" s="10"/>
      <c r="O31" s="48"/>
      <c r="P31" s="48"/>
      <c r="Q31" s="48"/>
      <c r="R31" s="48"/>
    </row>
    <row r="32" spans="1:18" x14ac:dyDescent="0.4">
      <c r="A32" s="19"/>
      <c r="B32" s="3">
        <f t="shared" si="0"/>
        <v>28</v>
      </c>
      <c r="C32" s="21"/>
      <c r="D32" s="19"/>
      <c r="E32" s="19"/>
      <c r="F32" s="16"/>
      <c r="G32" s="19"/>
      <c r="H32" s="19"/>
      <c r="I32" s="16"/>
      <c r="J32" s="18" t="s">
        <v>1641</v>
      </c>
      <c r="K32" s="13"/>
      <c r="L32" s="13"/>
      <c r="M32" s="13"/>
      <c r="N32" s="14"/>
      <c r="O32" s="23">
        <v>1</v>
      </c>
      <c r="P32" s="23"/>
      <c r="Q32" s="23">
        <v>1</v>
      </c>
      <c r="R32" s="46"/>
    </row>
    <row r="33" spans="1:18" x14ac:dyDescent="0.4">
      <c r="A33" s="19"/>
      <c r="B33" s="3">
        <f t="shared" si="0"/>
        <v>29</v>
      </c>
      <c r="C33" s="21"/>
      <c r="D33" s="19"/>
      <c r="E33" s="19"/>
      <c r="F33" s="16"/>
      <c r="G33" s="19"/>
      <c r="I33" s="16"/>
      <c r="J33" s="19"/>
      <c r="K33" s="13" t="s">
        <v>134</v>
      </c>
      <c r="L33" s="13"/>
      <c r="M33" s="13"/>
      <c r="N33" s="14"/>
      <c r="O33" s="46" t="s">
        <v>20</v>
      </c>
      <c r="P33" s="46"/>
      <c r="Q33" s="46" t="s">
        <v>20</v>
      </c>
      <c r="R33" s="46"/>
    </row>
    <row r="34" spans="1:18" x14ac:dyDescent="0.4">
      <c r="A34" s="19"/>
      <c r="B34" s="3">
        <f t="shared" si="0"/>
        <v>30</v>
      </c>
      <c r="C34" s="21"/>
      <c r="D34" s="19"/>
      <c r="E34" s="19"/>
      <c r="F34" s="16"/>
      <c r="G34" s="19"/>
      <c r="I34" s="16"/>
      <c r="J34" s="19"/>
      <c r="K34" s="13" t="s">
        <v>135</v>
      </c>
      <c r="L34" s="13"/>
      <c r="M34" s="13"/>
      <c r="N34" s="14"/>
      <c r="O34" s="46" t="s">
        <v>20</v>
      </c>
      <c r="P34" s="46"/>
      <c r="Q34" s="46" t="s">
        <v>20</v>
      </c>
      <c r="R34" s="46"/>
    </row>
    <row r="35" spans="1:18" x14ac:dyDescent="0.4">
      <c r="A35" s="19"/>
      <c r="B35" s="3">
        <f t="shared" si="0"/>
        <v>31</v>
      </c>
      <c r="C35" s="21"/>
      <c r="D35" s="19"/>
      <c r="E35" s="19"/>
      <c r="F35" s="16"/>
      <c r="G35" s="19"/>
      <c r="I35" s="16"/>
      <c r="J35" s="19"/>
      <c r="K35" s="13" t="s">
        <v>136</v>
      </c>
      <c r="L35" s="13"/>
      <c r="M35" s="13"/>
      <c r="N35" s="14"/>
      <c r="O35" s="46" t="s">
        <v>20</v>
      </c>
      <c r="P35" s="46"/>
      <c r="Q35" s="46" t="s">
        <v>20</v>
      </c>
      <c r="R35" s="46"/>
    </row>
    <row r="36" spans="1:18" x14ac:dyDescent="0.4">
      <c r="A36" s="19"/>
      <c r="B36" s="3">
        <f t="shared" si="0"/>
        <v>32</v>
      </c>
      <c r="C36" s="21"/>
      <c r="D36" s="19"/>
      <c r="E36" s="19"/>
      <c r="F36" s="16"/>
      <c r="G36" s="19"/>
      <c r="I36" s="16"/>
      <c r="J36" s="19"/>
      <c r="K36" s="13" t="s">
        <v>137</v>
      </c>
      <c r="L36" s="13"/>
      <c r="M36" s="13"/>
      <c r="N36" s="14"/>
      <c r="O36" s="46" t="s">
        <v>20</v>
      </c>
      <c r="P36" s="46"/>
      <c r="Q36" s="46" t="s">
        <v>20</v>
      </c>
      <c r="R36" s="46"/>
    </row>
    <row r="37" spans="1:18" x14ac:dyDescent="0.4">
      <c r="A37" s="19"/>
      <c r="B37" s="3">
        <f t="shared" si="0"/>
        <v>33</v>
      </c>
      <c r="C37" s="21"/>
      <c r="D37" s="19"/>
      <c r="E37" s="19"/>
      <c r="F37" s="16"/>
      <c r="G37" s="19"/>
      <c r="I37" s="16"/>
      <c r="J37" s="19"/>
      <c r="K37" s="13" t="s">
        <v>138</v>
      </c>
      <c r="L37" s="13"/>
      <c r="M37" s="13"/>
      <c r="N37" s="14"/>
      <c r="O37" s="46" t="s">
        <v>20</v>
      </c>
      <c r="P37" s="46"/>
      <c r="Q37" s="46" t="s">
        <v>20</v>
      </c>
      <c r="R37" s="46"/>
    </row>
    <row r="38" spans="1:18" x14ac:dyDescent="0.4">
      <c r="A38" s="19"/>
      <c r="B38" s="3">
        <f t="shared" si="0"/>
        <v>34</v>
      </c>
      <c r="C38" s="21"/>
      <c r="D38" s="19"/>
      <c r="E38" s="19"/>
      <c r="F38" s="16"/>
      <c r="G38" s="19"/>
      <c r="I38" s="16"/>
      <c r="J38" s="19"/>
      <c r="K38" s="13" t="s">
        <v>139</v>
      </c>
      <c r="L38" s="13"/>
      <c r="M38" s="13"/>
      <c r="N38" s="14"/>
      <c r="O38" s="46" t="s">
        <v>36</v>
      </c>
      <c r="P38" s="46"/>
      <c r="Q38" s="46" t="s">
        <v>36</v>
      </c>
      <c r="R38" s="46"/>
    </row>
    <row r="39" spans="1:18" x14ac:dyDescent="0.4">
      <c r="A39" s="19"/>
      <c r="B39" s="3">
        <f t="shared" si="0"/>
        <v>35</v>
      </c>
      <c r="C39" s="21"/>
      <c r="D39" s="19"/>
      <c r="E39" s="19"/>
      <c r="F39" s="16"/>
      <c r="G39" s="20"/>
      <c r="H39" s="34"/>
      <c r="I39" s="17"/>
      <c r="J39" s="20"/>
      <c r="K39" s="13" t="s">
        <v>140</v>
      </c>
      <c r="L39" s="13"/>
      <c r="M39" s="13"/>
      <c r="N39" s="14"/>
      <c r="O39" s="46" t="s">
        <v>36</v>
      </c>
      <c r="P39" s="46"/>
      <c r="Q39" s="46" t="s">
        <v>36</v>
      </c>
      <c r="R39" s="46"/>
    </row>
    <row r="40" spans="1:18" x14ac:dyDescent="0.4">
      <c r="A40" s="19"/>
      <c r="B40" s="3">
        <f t="shared" si="0"/>
        <v>36</v>
      </c>
      <c r="C40" s="21"/>
      <c r="D40" s="22"/>
      <c r="E40" s="19"/>
      <c r="F40" s="16"/>
      <c r="G40" s="26" t="s">
        <v>1638</v>
      </c>
      <c r="H40" s="13"/>
      <c r="I40" s="13"/>
      <c r="J40" s="13"/>
      <c r="K40" s="13"/>
      <c r="L40" s="13"/>
      <c r="M40" s="13"/>
      <c r="N40" s="14"/>
      <c r="O40" s="46" t="s">
        <v>1240</v>
      </c>
      <c r="P40" s="46"/>
      <c r="Q40" s="46" t="s">
        <v>1240</v>
      </c>
      <c r="R40" s="46"/>
    </row>
    <row r="41" spans="1:18" x14ac:dyDescent="0.4">
      <c r="A41" s="19"/>
      <c r="B41" s="3">
        <f t="shared" si="0"/>
        <v>37</v>
      </c>
      <c r="C41" s="21"/>
      <c r="D41" s="19"/>
      <c r="E41" s="19"/>
      <c r="F41" s="16"/>
      <c r="G41" s="19"/>
      <c r="H41" s="26" t="s">
        <v>1639</v>
      </c>
      <c r="I41" s="13"/>
      <c r="J41" s="13"/>
      <c r="K41" s="13"/>
      <c r="L41" s="13"/>
      <c r="M41" s="13"/>
      <c r="N41" s="14"/>
      <c r="O41" s="46" t="s">
        <v>10</v>
      </c>
      <c r="P41" s="46"/>
      <c r="Q41" s="46" t="s">
        <v>10</v>
      </c>
      <c r="R41" s="46"/>
    </row>
    <row r="42" spans="1:18" x14ac:dyDescent="0.4">
      <c r="A42" s="19"/>
      <c r="B42" s="3">
        <f t="shared" si="0"/>
        <v>38</v>
      </c>
      <c r="C42" s="21"/>
      <c r="D42" s="19"/>
      <c r="E42" s="19"/>
      <c r="F42" s="16"/>
      <c r="G42" s="19"/>
      <c r="H42" s="19"/>
      <c r="I42" s="13" t="s">
        <v>124</v>
      </c>
      <c r="J42" s="13"/>
      <c r="K42" s="13"/>
      <c r="L42" s="13"/>
      <c r="M42" s="13"/>
      <c r="N42" s="14"/>
      <c r="O42" s="51">
        <v>0.5</v>
      </c>
      <c r="P42" s="51"/>
      <c r="Q42" s="51">
        <v>0.5</v>
      </c>
      <c r="R42" s="46"/>
    </row>
    <row r="43" spans="1:18" x14ac:dyDescent="0.4">
      <c r="A43" s="19"/>
      <c r="B43" s="3">
        <f t="shared" si="0"/>
        <v>39</v>
      </c>
      <c r="C43" s="21"/>
      <c r="D43" s="19"/>
      <c r="E43" s="19"/>
      <c r="F43" s="16"/>
      <c r="G43" s="19"/>
      <c r="H43" s="19"/>
      <c r="I43" s="27" t="s">
        <v>31</v>
      </c>
      <c r="J43" s="27"/>
      <c r="K43" s="27"/>
      <c r="L43" s="27"/>
      <c r="M43" s="9"/>
      <c r="N43" s="10"/>
      <c r="O43" s="47"/>
      <c r="P43" s="47"/>
      <c r="Q43" s="47"/>
      <c r="R43" s="48"/>
    </row>
    <row r="44" spans="1:18" x14ac:dyDescent="0.4">
      <c r="A44" s="19"/>
      <c r="B44" s="3">
        <f t="shared" si="0"/>
        <v>40</v>
      </c>
      <c r="C44" s="21"/>
      <c r="D44" s="19"/>
      <c r="E44" s="19"/>
      <c r="F44" s="16"/>
      <c r="G44" s="19"/>
      <c r="H44" s="19"/>
      <c r="I44" s="16"/>
      <c r="J44" s="12" t="s">
        <v>125</v>
      </c>
      <c r="K44" s="13"/>
      <c r="L44" s="13"/>
      <c r="M44" s="13"/>
      <c r="N44" s="14"/>
      <c r="O44" s="52">
        <v>44694</v>
      </c>
      <c r="P44" s="52"/>
      <c r="Q44" s="52">
        <v>44694</v>
      </c>
      <c r="R44" s="46"/>
    </row>
    <row r="45" spans="1:18" x14ac:dyDescent="0.4">
      <c r="A45" s="19"/>
      <c r="B45" s="3">
        <f t="shared" si="0"/>
        <v>41</v>
      </c>
      <c r="C45" s="21"/>
      <c r="D45" s="19"/>
      <c r="E45" s="19"/>
      <c r="F45" s="16"/>
      <c r="G45" s="19"/>
      <c r="H45" s="19"/>
      <c r="I45" s="16"/>
      <c r="J45" s="18" t="s">
        <v>126</v>
      </c>
      <c r="K45" s="26"/>
      <c r="L45" s="26"/>
      <c r="M45" s="13"/>
      <c r="N45" s="14"/>
      <c r="O45" s="46" t="s">
        <v>36</v>
      </c>
      <c r="P45" s="46"/>
      <c r="Q45" s="46" t="s">
        <v>36</v>
      </c>
      <c r="R45" s="46"/>
    </row>
    <row r="46" spans="1:18" x14ac:dyDescent="0.4">
      <c r="A46" s="19"/>
      <c r="B46" s="3">
        <f t="shared" si="0"/>
        <v>42</v>
      </c>
      <c r="C46" s="21"/>
      <c r="D46" s="19"/>
      <c r="E46" s="19"/>
      <c r="F46" s="16"/>
      <c r="G46" s="19"/>
      <c r="H46" s="19"/>
      <c r="I46" s="16"/>
      <c r="J46" s="20"/>
      <c r="K46" s="12"/>
      <c r="L46" s="13"/>
      <c r="M46" s="13"/>
      <c r="N46" s="14"/>
      <c r="O46" s="46" t="s">
        <v>1240</v>
      </c>
      <c r="P46" s="46"/>
      <c r="Q46" s="46" t="s">
        <v>1240</v>
      </c>
      <c r="R46" s="46"/>
    </row>
    <row r="47" spans="1:18" x14ac:dyDescent="0.4">
      <c r="A47" s="19"/>
      <c r="B47" s="3">
        <f t="shared" si="0"/>
        <v>43</v>
      </c>
      <c r="C47" s="21"/>
      <c r="D47" s="19"/>
      <c r="E47" s="19"/>
      <c r="F47" s="16"/>
      <c r="G47" s="19"/>
      <c r="H47" s="19"/>
      <c r="I47" s="16"/>
      <c r="J47" s="19" t="s">
        <v>127</v>
      </c>
      <c r="K47" s="32"/>
      <c r="L47" s="32"/>
      <c r="M47" s="13"/>
      <c r="N47" s="14"/>
      <c r="O47" s="46" t="s">
        <v>36</v>
      </c>
      <c r="P47" s="46"/>
      <c r="Q47" s="46" t="s">
        <v>36</v>
      </c>
      <c r="R47" s="46"/>
    </row>
    <row r="48" spans="1:18" x14ac:dyDescent="0.4">
      <c r="A48" s="19"/>
      <c r="B48" s="3">
        <f t="shared" si="0"/>
        <v>44</v>
      </c>
      <c r="C48" s="21"/>
      <c r="D48" s="19"/>
      <c r="E48" s="19"/>
      <c r="F48" s="16"/>
      <c r="G48" s="19"/>
      <c r="H48" s="19"/>
      <c r="I48" s="16"/>
      <c r="J48" s="19"/>
      <c r="K48" s="12" t="s">
        <v>128</v>
      </c>
      <c r="L48" s="13"/>
      <c r="M48" s="13"/>
      <c r="N48" s="13"/>
      <c r="O48" s="23" t="s">
        <v>1602</v>
      </c>
      <c r="P48" s="23"/>
      <c r="Q48" s="23" t="s">
        <v>1602</v>
      </c>
      <c r="R48" s="46"/>
    </row>
    <row r="49" spans="1:18" x14ac:dyDescent="0.4">
      <c r="A49" s="19"/>
      <c r="B49" s="3">
        <f t="shared" si="0"/>
        <v>45</v>
      </c>
      <c r="C49" s="21"/>
      <c r="D49" s="19"/>
      <c r="E49" s="19"/>
      <c r="F49" s="16"/>
      <c r="G49" s="19"/>
      <c r="H49" s="19"/>
      <c r="I49" s="16"/>
      <c r="J49" s="19"/>
      <c r="K49" s="27" t="s">
        <v>129</v>
      </c>
      <c r="L49" s="9"/>
      <c r="M49" s="9"/>
      <c r="N49" s="10"/>
      <c r="O49" s="47"/>
      <c r="P49" s="47"/>
      <c r="Q49" s="47"/>
      <c r="R49" s="48"/>
    </row>
    <row r="50" spans="1:18" x14ac:dyDescent="0.4">
      <c r="A50" s="19"/>
      <c r="B50" s="3">
        <f t="shared" si="0"/>
        <v>46</v>
      </c>
      <c r="C50" s="21"/>
      <c r="D50" s="19"/>
      <c r="E50" s="19"/>
      <c r="F50" s="16"/>
      <c r="G50" s="19"/>
      <c r="H50" s="19"/>
      <c r="I50" s="16"/>
      <c r="J50" s="19"/>
      <c r="K50" s="16"/>
      <c r="L50" s="18" t="s">
        <v>130</v>
      </c>
      <c r="M50" s="13"/>
      <c r="N50" s="14"/>
      <c r="O50" s="46" t="s">
        <v>10</v>
      </c>
      <c r="P50" s="46"/>
      <c r="Q50" s="46" t="s">
        <v>10</v>
      </c>
      <c r="R50" s="46"/>
    </row>
    <row r="51" spans="1:18" x14ac:dyDescent="0.4">
      <c r="A51" s="19"/>
      <c r="B51" s="3">
        <f t="shared" si="0"/>
        <v>47</v>
      </c>
      <c r="C51" s="21"/>
      <c r="D51" s="19"/>
      <c r="E51" s="19"/>
      <c r="F51" s="16"/>
      <c r="G51" s="19"/>
      <c r="H51" s="19"/>
      <c r="I51" s="16"/>
      <c r="J51" s="19"/>
      <c r="K51" s="16"/>
      <c r="L51" s="20"/>
      <c r="M51" s="13"/>
      <c r="N51" s="14"/>
      <c r="O51" s="46" t="s">
        <v>1240</v>
      </c>
      <c r="P51" s="46"/>
      <c r="Q51" s="46" t="s">
        <v>1240</v>
      </c>
      <c r="R51" s="46"/>
    </row>
    <row r="52" spans="1:18" x14ac:dyDescent="0.4">
      <c r="A52" s="19"/>
      <c r="B52" s="3">
        <f t="shared" si="0"/>
        <v>48</v>
      </c>
      <c r="C52" s="21"/>
      <c r="D52" s="19"/>
      <c r="E52" s="19"/>
      <c r="F52" s="16"/>
      <c r="G52" s="19"/>
      <c r="H52" s="19"/>
      <c r="I52" s="16"/>
      <c r="J52" s="19"/>
      <c r="K52" s="16"/>
      <c r="L52" t="s">
        <v>131</v>
      </c>
      <c r="M52" s="13"/>
      <c r="N52" s="14"/>
      <c r="O52" s="46" t="s">
        <v>9</v>
      </c>
      <c r="P52" s="46"/>
      <c r="Q52" s="46" t="s">
        <v>9</v>
      </c>
      <c r="R52" s="46"/>
    </row>
    <row r="53" spans="1:18" x14ac:dyDescent="0.4">
      <c r="A53" s="19"/>
      <c r="B53" s="3">
        <f t="shared" si="0"/>
        <v>49</v>
      </c>
      <c r="C53" s="21"/>
      <c r="D53" s="19"/>
      <c r="E53" s="19"/>
      <c r="F53" s="16"/>
      <c r="G53" s="19"/>
      <c r="H53" s="19"/>
      <c r="I53" s="16"/>
      <c r="J53" s="19"/>
      <c r="K53" s="16"/>
      <c r="L53" s="19"/>
      <c r="M53" s="13" t="s">
        <v>132</v>
      </c>
      <c r="N53" s="14"/>
      <c r="O53" s="23" t="s">
        <v>1640</v>
      </c>
      <c r="P53" s="23"/>
      <c r="Q53" s="23" t="s">
        <v>1640</v>
      </c>
      <c r="R53" s="46"/>
    </row>
    <row r="54" spans="1:18" x14ac:dyDescent="0.4">
      <c r="A54" s="19"/>
      <c r="B54" s="3">
        <f t="shared" si="0"/>
        <v>50</v>
      </c>
      <c r="C54" s="21"/>
      <c r="D54" s="19"/>
      <c r="E54" s="19"/>
      <c r="F54" s="16"/>
      <c r="G54" s="19"/>
      <c r="H54" s="19"/>
      <c r="I54" s="17"/>
      <c r="J54" s="20"/>
      <c r="K54" s="17"/>
      <c r="L54" s="12" t="s">
        <v>133</v>
      </c>
      <c r="M54" s="13"/>
      <c r="N54" s="14"/>
      <c r="O54" s="46" t="s">
        <v>36</v>
      </c>
      <c r="P54" s="46"/>
      <c r="Q54" s="46" t="s">
        <v>36</v>
      </c>
      <c r="R54" s="46"/>
    </row>
    <row r="55" spans="1:18" x14ac:dyDescent="0.4">
      <c r="A55" s="19"/>
      <c r="B55" s="3">
        <f t="shared" si="0"/>
        <v>51</v>
      </c>
      <c r="C55" s="21"/>
      <c r="D55" s="19"/>
      <c r="E55" s="19"/>
      <c r="F55" s="16"/>
      <c r="G55" s="19"/>
      <c r="H55" s="19"/>
      <c r="I55" s="15" t="s">
        <v>1307</v>
      </c>
      <c r="J55" s="9"/>
      <c r="K55" s="9"/>
      <c r="L55" s="33"/>
      <c r="M55" s="9"/>
      <c r="N55" s="10"/>
      <c r="O55" s="48"/>
      <c r="P55" s="48"/>
      <c r="Q55" s="48"/>
      <c r="R55" s="48"/>
    </row>
    <row r="56" spans="1:18" x14ac:dyDescent="0.4">
      <c r="A56" s="19"/>
      <c r="B56" s="3">
        <f t="shared" si="0"/>
        <v>52</v>
      </c>
      <c r="C56" s="21"/>
      <c r="D56" s="19"/>
      <c r="E56" s="19"/>
      <c r="F56" s="16"/>
      <c r="G56" s="19"/>
      <c r="H56" s="19"/>
      <c r="I56" s="16"/>
      <c r="J56" s="18" t="s">
        <v>1641</v>
      </c>
      <c r="K56" s="13"/>
      <c r="L56" s="13"/>
      <c r="M56" s="13"/>
      <c r="N56" s="14"/>
      <c r="O56" s="23">
        <v>1</v>
      </c>
      <c r="P56" s="23"/>
      <c r="Q56" s="23">
        <v>1</v>
      </c>
      <c r="R56" s="46"/>
    </row>
    <row r="57" spans="1:18" x14ac:dyDescent="0.4">
      <c r="A57" s="19"/>
      <c r="B57" s="3">
        <f t="shared" si="0"/>
        <v>53</v>
      </c>
      <c r="C57" s="21"/>
      <c r="D57" s="19"/>
      <c r="E57" s="19"/>
      <c r="F57" s="16"/>
      <c r="G57" s="19"/>
      <c r="I57" s="16"/>
      <c r="J57" s="19"/>
      <c r="K57" s="13" t="s">
        <v>134</v>
      </c>
      <c r="L57" s="13"/>
      <c r="M57" s="13"/>
      <c r="N57" s="14"/>
      <c r="O57" s="46" t="s">
        <v>20</v>
      </c>
      <c r="P57" s="46"/>
      <c r="Q57" s="46" t="s">
        <v>20</v>
      </c>
      <c r="R57" s="46"/>
    </row>
    <row r="58" spans="1:18" x14ac:dyDescent="0.4">
      <c r="A58" s="19"/>
      <c r="B58" s="3">
        <f t="shared" si="0"/>
        <v>54</v>
      </c>
      <c r="C58" s="21"/>
      <c r="D58" s="19"/>
      <c r="E58" s="19"/>
      <c r="F58" s="16"/>
      <c r="G58" s="19"/>
      <c r="I58" s="16"/>
      <c r="J58" s="19"/>
      <c r="K58" s="13" t="s">
        <v>135</v>
      </c>
      <c r="L58" s="13"/>
      <c r="M58" s="13"/>
      <c r="N58" s="14"/>
      <c r="O58" s="46" t="s">
        <v>20</v>
      </c>
      <c r="P58" s="46"/>
      <c r="Q58" s="46" t="s">
        <v>20</v>
      </c>
      <c r="R58" s="46"/>
    </row>
    <row r="59" spans="1:18" x14ac:dyDescent="0.4">
      <c r="A59" s="19"/>
      <c r="B59" s="3">
        <f t="shared" si="0"/>
        <v>55</v>
      </c>
      <c r="C59" s="21"/>
      <c r="D59" s="19"/>
      <c r="E59" s="19"/>
      <c r="F59" s="16"/>
      <c r="G59" s="19"/>
      <c r="I59" s="16"/>
      <c r="J59" s="19"/>
      <c r="K59" s="13" t="s">
        <v>136</v>
      </c>
      <c r="L59" s="13"/>
      <c r="M59" s="13"/>
      <c r="N59" s="14"/>
      <c r="O59" s="46" t="s">
        <v>20</v>
      </c>
      <c r="P59" s="46"/>
      <c r="Q59" s="46" t="s">
        <v>20</v>
      </c>
      <c r="R59" s="46"/>
    </row>
    <row r="60" spans="1:18" x14ac:dyDescent="0.4">
      <c r="A60" s="19"/>
      <c r="B60" s="3">
        <f t="shared" si="0"/>
        <v>56</v>
      </c>
      <c r="C60" s="21"/>
      <c r="D60" s="19"/>
      <c r="E60" s="19"/>
      <c r="F60" s="16"/>
      <c r="G60" s="19"/>
      <c r="I60" s="16"/>
      <c r="J60" s="19"/>
      <c r="K60" s="13" t="s">
        <v>137</v>
      </c>
      <c r="L60" s="13"/>
      <c r="M60" s="13"/>
      <c r="N60" s="14"/>
      <c r="O60" s="46" t="s">
        <v>20</v>
      </c>
      <c r="P60" s="46"/>
      <c r="Q60" s="46" t="s">
        <v>20</v>
      </c>
      <c r="R60" s="46"/>
    </row>
    <row r="61" spans="1:18" x14ac:dyDescent="0.4">
      <c r="A61" s="19"/>
      <c r="B61" s="3">
        <f t="shared" si="0"/>
        <v>57</v>
      </c>
      <c r="C61" s="21"/>
      <c r="D61" s="19"/>
      <c r="E61" s="19"/>
      <c r="F61" s="16"/>
      <c r="G61" s="19"/>
      <c r="I61" s="16"/>
      <c r="J61" s="19"/>
      <c r="K61" s="13" t="s">
        <v>138</v>
      </c>
      <c r="L61" s="13"/>
      <c r="M61" s="13"/>
      <c r="N61" s="14"/>
      <c r="O61" s="46" t="s">
        <v>20</v>
      </c>
      <c r="P61" s="46"/>
      <c r="Q61" s="46" t="s">
        <v>20</v>
      </c>
      <c r="R61" s="46"/>
    </row>
    <row r="62" spans="1:18" x14ac:dyDescent="0.4">
      <c r="A62" s="19"/>
      <c r="B62" s="3">
        <f t="shared" si="0"/>
        <v>58</v>
      </c>
      <c r="C62" s="21"/>
      <c r="D62" s="19"/>
      <c r="E62" s="19"/>
      <c r="F62" s="16"/>
      <c r="G62" s="19"/>
      <c r="I62" s="16"/>
      <c r="J62" s="19"/>
      <c r="K62" s="13" t="s">
        <v>139</v>
      </c>
      <c r="L62" s="13"/>
      <c r="M62" s="13"/>
      <c r="N62" s="14"/>
      <c r="O62" s="46" t="s">
        <v>36</v>
      </c>
      <c r="P62" s="46"/>
      <c r="Q62" s="46" t="s">
        <v>36</v>
      </c>
      <c r="R62" s="46"/>
    </row>
    <row r="63" spans="1:18" x14ac:dyDescent="0.4">
      <c r="A63" s="20"/>
      <c r="B63" s="3">
        <f t="shared" si="0"/>
        <v>59</v>
      </c>
      <c r="C63" s="21"/>
      <c r="D63" s="20"/>
      <c r="E63" s="20"/>
      <c r="F63" s="17"/>
      <c r="G63" s="20"/>
      <c r="H63" s="34"/>
      <c r="I63" s="17"/>
      <c r="J63" s="20"/>
      <c r="K63" s="13" t="s">
        <v>140</v>
      </c>
      <c r="L63" s="13"/>
      <c r="M63" s="13"/>
      <c r="N63" s="14"/>
      <c r="O63" s="46" t="s">
        <v>36</v>
      </c>
      <c r="P63" s="46"/>
      <c r="Q63" s="46" t="s">
        <v>36</v>
      </c>
      <c r="R63" s="46"/>
    </row>
    <row r="64" spans="1:18" x14ac:dyDescent="0.4">
      <c r="A64" s="35">
        <v>2</v>
      </c>
      <c r="B64" s="3">
        <v>1</v>
      </c>
      <c r="C64" s="21"/>
      <c r="D64" s="18" t="s">
        <v>1632</v>
      </c>
      <c r="E64" s="13"/>
      <c r="F64" s="13"/>
      <c r="G64" s="13"/>
      <c r="H64" s="13"/>
      <c r="I64" s="13"/>
      <c r="J64" s="13"/>
      <c r="K64" s="13"/>
      <c r="L64" s="13"/>
      <c r="M64" s="13"/>
      <c r="N64" s="14"/>
      <c r="O64" s="46" t="s">
        <v>1240</v>
      </c>
      <c r="P64" s="46"/>
      <c r="Q64" s="46" t="s">
        <v>1240</v>
      </c>
      <c r="R64" s="46"/>
    </row>
    <row r="65" spans="1:18" x14ac:dyDescent="0.4">
      <c r="A65" s="19"/>
      <c r="B65" s="3">
        <f t="shared" ref="B65:B121" si="1">B64+1</f>
        <v>2</v>
      </c>
      <c r="C65" s="21"/>
      <c r="D65" s="22"/>
      <c r="E65" s="12" t="s">
        <v>98</v>
      </c>
      <c r="F65" s="13"/>
      <c r="G65" s="13"/>
      <c r="H65" s="13"/>
      <c r="I65" s="13"/>
      <c r="J65" s="13"/>
      <c r="K65" s="13"/>
      <c r="L65" s="13"/>
      <c r="M65" s="13"/>
      <c r="N65" s="14"/>
      <c r="O65" s="46" t="s">
        <v>9</v>
      </c>
      <c r="P65" s="46"/>
      <c r="Q65" s="46" t="s">
        <v>9</v>
      </c>
      <c r="R65" s="46"/>
    </row>
    <row r="66" spans="1:18" x14ac:dyDescent="0.4">
      <c r="A66" s="19"/>
      <c r="B66" s="3">
        <f t="shared" si="1"/>
        <v>3</v>
      </c>
      <c r="C66" s="21"/>
      <c r="D66" s="22"/>
      <c r="E66" s="18" t="s">
        <v>21</v>
      </c>
      <c r="F66" s="26"/>
      <c r="G66" s="13"/>
      <c r="H66" s="13"/>
      <c r="I66" s="13"/>
      <c r="J66" s="13"/>
      <c r="K66" s="13"/>
      <c r="L66" s="13"/>
      <c r="M66" s="13"/>
      <c r="N66" s="14"/>
      <c r="O66" s="46" t="s">
        <v>10</v>
      </c>
      <c r="P66" s="46"/>
      <c r="Q66" s="46" t="s">
        <v>10</v>
      </c>
      <c r="R66" s="46"/>
    </row>
    <row r="67" spans="1:18" x14ac:dyDescent="0.4">
      <c r="A67" s="19"/>
      <c r="B67" s="3">
        <f t="shared" si="1"/>
        <v>4</v>
      </c>
      <c r="C67" s="21"/>
      <c r="D67" s="22"/>
      <c r="E67" s="19"/>
      <c r="F67" s="15" t="s">
        <v>95</v>
      </c>
      <c r="G67" s="9"/>
      <c r="H67" s="9"/>
      <c r="I67" s="9"/>
      <c r="J67" s="9"/>
      <c r="K67" s="9"/>
      <c r="L67" s="9"/>
      <c r="M67" s="9"/>
      <c r="N67" s="10"/>
      <c r="O67" s="48"/>
      <c r="P67" s="48"/>
      <c r="Q67" s="48"/>
      <c r="R67" s="48"/>
    </row>
    <row r="68" spans="1:18" x14ac:dyDescent="0.4">
      <c r="A68" s="19"/>
      <c r="B68" s="3">
        <f t="shared" si="1"/>
        <v>5</v>
      </c>
      <c r="C68" s="21"/>
      <c r="D68" s="22"/>
      <c r="E68" s="19"/>
      <c r="F68" s="16"/>
      <c r="G68" s="13" t="s">
        <v>1633</v>
      </c>
      <c r="H68" s="13"/>
      <c r="I68" s="13"/>
      <c r="J68" s="13"/>
      <c r="K68" s="13"/>
      <c r="L68" s="13"/>
      <c r="M68" s="13"/>
      <c r="N68" s="14"/>
      <c r="O68" s="46" t="s">
        <v>1240</v>
      </c>
      <c r="P68" s="46"/>
      <c r="Q68" s="46" t="s">
        <v>117</v>
      </c>
      <c r="R68" s="46"/>
    </row>
    <row r="69" spans="1:18" x14ac:dyDescent="0.4">
      <c r="A69" s="19"/>
      <c r="B69" s="3">
        <f t="shared" si="1"/>
        <v>6</v>
      </c>
      <c r="C69" s="21"/>
      <c r="D69" s="22"/>
      <c r="E69" s="19"/>
      <c r="F69" s="16"/>
      <c r="G69" s="27" t="s">
        <v>122</v>
      </c>
      <c r="H69" s="9"/>
      <c r="I69" s="9"/>
      <c r="J69" s="9"/>
      <c r="K69" s="9"/>
      <c r="L69" s="9"/>
      <c r="M69" s="9"/>
      <c r="N69" s="10"/>
      <c r="O69" s="47"/>
      <c r="P69" s="47"/>
      <c r="Q69" s="47"/>
      <c r="R69" s="48"/>
    </row>
    <row r="70" spans="1:18" x14ac:dyDescent="0.4">
      <c r="A70" s="19"/>
      <c r="B70" s="3">
        <f t="shared" si="1"/>
        <v>7</v>
      </c>
      <c r="C70" s="21"/>
      <c r="D70" s="22"/>
      <c r="E70" s="19"/>
      <c r="F70" s="16"/>
      <c r="G70" s="28"/>
      <c r="H70" s="13" t="s">
        <v>123</v>
      </c>
      <c r="I70" s="13"/>
      <c r="J70" s="13"/>
      <c r="K70" s="13"/>
      <c r="L70" s="13"/>
      <c r="M70" s="13"/>
      <c r="N70" s="14"/>
      <c r="O70" s="46" t="s">
        <v>10</v>
      </c>
      <c r="P70" s="46"/>
      <c r="Q70" s="46" t="s">
        <v>10</v>
      </c>
      <c r="R70" s="46"/>
    </row>
    <row r="71" spans="1:18" x14ac:dyDescent="0.4">
      <c r="A71" s="19"/>
      <c r="B71" s="3">
        <f t="shared" si="1"/>
        <v>8</v>
      </c>
      <c r="C71" s="21"/>
      <c r="D71" s="22"/>
      <c r="E71" s="19"/>
      <c r="F71" s="16"/>
      <c r="G71" s="28"/>
      <c r="H71" s="26" t="s">
        <v>1635</v>
      </c>
      <c r="I71" s="13"/>
      <c r="J71" s="13"/>
      <c r="K71" s="13"/>
      <c r="L71" s="13"/>
      <c r="M71" s="13"/>
      <c r="N71" s="14"/>
      <c r="O71" s="46" t="s">
        <v>9</v>
      </c>
      <c r="P71" s="46"/>
      <c r="Q71" s="46" t="s">
        <v>9</v>
      </c>
      <c r="R71" s="46"/>
    </row>
    <row r="72" spans="1:18" x14ac:dyDescent="0.4">
      <c r="A72" s="19"/>
      <c r="B72" s="3">
        <f t="shared" si="1"/>
        <v>9</v>
      </c>
      <c r="C72" s="21"/>
      <c r="D72" s="22"/>
      <c r="E72" s="19"/>
      <c r="F72" s="17"/>
      <c r="G72" s="29"/>
      <c r="H72" s="20"/>
      <c r="I72" s="13" t="s">
        <v>1636</v>
      </c>
      <c r="J72" s="13"/>
      <c r="K72" s="13"/>
      <c r="L72" s="13"/>
      <c r="M72" s="13"/>
      <c r="N72" s="14"/>
      <c r="O72" s="49">
        <v>6072</v>
      </c>
      <c r="P72" s="49"/>
      <c r="Q72" s="49">
        <v>6072</v>
      </c>
      <c r="R72" s="46"/>
    </row>
    <row r="73" spans="1:18" x14ac:dyDescent="0.4">
      <c r="A73" s="19"/>
      <c r="B73" s="3">
        <f t="shared" si="1"/>
        <v>10</v>
      </c>
      <c r="C73" s="21"/>
      <c r="D73" s="22"/>
      <c r="E73" s="19"/>
      <c r="F73" s="27" t="s">
        <v>1637</v>
      </c>
      <c r="G73" s="9"/>
      <c r="H73" s="9"/>
      <c r="I73" s="9"/>
      <c r="J73" s="9"/>
      <c r="K73" s="9"/>
      <c r="L73" s="9"/>
      <c r="M73" s="9"/>
      <c r="N73" s="10"/>
      <c r="O73" s="48"/>
      <c r="P73" s="48"/>
      <c r="Q73" s="48"/>
      <c r="R73" s="48"/>
    </row>
    <row r="74" spans="1:18" x14ac:dyDescent="0.4">
      <c r="A74" s="19"/>
      <c r="B74" s="3">
        <f t="shared" si="1"/>
        <v>11</v>
      </c>
      <c r="C74" s="21"/>
      <c r="D74" s="22"/>
      <c r="E74" s="19"/>
      <c r="F74" s="16"/>
      <c r="G74" s="26" t="s">
        <v>1638</v>
      </c>
      <c r="H74" s="13"/>
      <c r="I74" s="13"/>
      <c r="J74" s="13"/>
      <c r="K74" s="13"/>
      <c r="L74" s="13"/>
      <c r="M74" s="13"/>
      <c r="N74" s="14"/>
      <c r="O74" s="46" t="s">
        <v>1240</v>
      </c>
      <c r="P74" s="46"/>
      <c r="Q74" s="46" t="s">
        <v>1240</v>
      </c>
      <c r="R74" s="46"/>
    </row>
    <row r="75" spans="1:18" x14ac:dyDescent="0.4">
      <c r="A75" s="19"/>
      <c r="B75" s="3">
        <f t="shared" si="1"/>
        <v>12</v>
      </c>
      <c r="C75" s="21"/>
      <c r="D75" s="19"/>
      <c r="E75" s="19"/>
      <c r="F75" s="16"/>
      <c r="G75" s="19"/>
      <c r="H75" s="26" t="s">
        <v>1639</v>
      </c>
      <c r="I75" s="13"/>
      <c r="J75" s="13"/>
      <c r="K75" s="13"/>
      <c r="L75" s="13"/>
      <c r="M75" s="13"/>
      <c r="N75" s="14"/>
      <c r="O75" s="46" t="s">
        <v>10</v>
      </c>
      <c r="P75" s="46"/>
      <c r="Q75" s="46" t="s">
        <v>10</v>
      </c>
      <c r="R75" s="46"/>
    </row>
    <row r="76" spans="1:18" x14ac:dyDescent="0.4">
      <c r="A76" s="19"/>
      <c r="B76" s="3">
        <f t="shared" si="1"/>
        <v>13</v>
      </c>
      <c r="C76" s="21"/>
      <c r="D76" s="19"/>
      <c r="E76" s="19"/>
      <c r="F76" s="16"/>
      <c r="G76" s="19"/>
      <c r="H76" s="19"/>
      <c r="I76" s="13" t="s">
        <v>124</v>
      </c>
      <c r="J76" s="13"/>
      <c r="K76" s="13"/>
      <c r="L76" s="13"/>
      <c r="M76" s="13"/>
      <c r="N76" s="14"/>
      <c r="O76" s="51">
        <v>0.29166666666666669</v>
      </c>
      <c r="P76" s="51"/>
      <c r="Q76" s="51">
        <v>0.29166666666666669</v>
      </c>
      <c r="R76" s="46"/>
    </row>
    <row r="77" spans="1:18" x14ac:dyDescent="0.4">
      <c r="A77" s="19"/>
      <c r="B77" s="3">
        <f t="shared" si="1"/>
        <v>14</v>
      </c>
      <c r="C77" s="21"/>
      <c r="D77" s="19"/>
      <c r="E77" s="19"/>
      <c r="F77" s="16"/>
      <c r="G77" s="19"/>
      <c r="H77" s="19"/>
      <c r="I77" s="27" t="s">
        <v>31</v>
      </c>
      <c r="J77" s="27"/>
      <c r="K77" s="27"/>
      <c r="L77" s="27"/>
      <c r="M77" s="9"/>
      <c r="N77" s="10"/>
      <c r="O77" s="47"/>
      <c r="P77" s="47"/>
      <c r="Q77" s="47"/>
      <c r="R77" s="48"/>
    </row>
    <row r="78" spans="1:18" x14ac:dyDescent="0.4">
      <c r="A78" s="19"/>
      <c r="B78" s="3">
        <f t="shared" si="1"/>
        <v>15</v>
      </c>
      <c r="C78" s="21"/>
      <c r="D78" s="19"/>
      <c r="E78" s="19"/>
      <c r="F78" s="16"/>
      <c r="G78" s="19"/>
      <c r="H78" s="19"/>
      <c r="I78" s="16"/>
      <c r="J78" s="12" t="s">
        <v>125</v>
      </c>
      <c r="K78" s="13"/>
      <c r="L78" s="13"/>
      <c r="M78" s="13"/>
      <c r="N78" s="14"/>
      <c r="O78" s="52">
        <v>44694</v>
      </c>
      <c r="P78" s="52"/>
      <c r="Q78" s="52">
        <v>44694</v>
      </c>
      <c r="R78" s="46"/>
    </row>
    <row r="79" spans="1:18" x14ac:dyDescent="0.4">
      <c r="A79" s="19"/>
      <c r="B79" s="3">
        <f t="shared" si="1"/>
        <v>16</v>
      </c>
      <c r="C79" s="21"/>
      <c r="D79" s="19"/>
      <c r="E79" s="19"/>
      <c r="F79" s="16"/>
      <c r="G79" s="19"/>
      <c r="H79" s="19"/>
      <c r="I79" s="16"/>
      <c r="J79" s="18" t="s">
        <v>126</v>
      </c>
      <c r="K79" s="26"/>
      <c r="L79" s="26"/>
      <c r="M79" s="13"/>
      <c r="N79" s="14"/>
      <c r="O79" s="46" t="s">
        <v>36</v>
      </c>
      <c r="P79" s="46"/>
      <c r="Q79" s="46" t="s">
        <v>36</v>
      </c>
      <c r="R79" s="46"/>
    </row>
    <row r="80" spans="1:18" x14ac:dyDescent="0.4">
      <c r="A80" s="19"/>
      <c r="B80" s="3">
        <f t="shared" si="1"/>
        <v>17</v>
      </c>
      <c r="C80" s="21"/>
      <c r="D80" s="19"/>
      <c r="E80" s="19"/>
      <c r="F80" s="16"/>
      <c r="G80" s="19"/>
      <c r="H80" s="19"/>
      <c r="I80" s="16"/>
      <c r="J80" s="20"/>
      <c r="K80" s="12"/>
      <c r="L80" s="13"/>
      <c r="M80" s="13"/>
      <c r="N80" s="14"/>
      <c r="O80" s="46" t="s">
        <v>1240</v>
      </c>
      <c r="P80" s="46"/>
      <c r="Q80" s="46" t="s">
        <v>1240</v>
      </c>
      <c r="R80" s="46"/>
    </row>
    <row r="81" spans="1:18" x14ac:dyDescent="0.4">
      <c r="A81" s="19"/>
      <c r="B81" s="3">
        <f t="shared" si="1"/>
        <v>18</v>
      </c>
      <c r="C81" s="21"/>
      <c r="D81" s="19"/>
      <c r="E81" s="19"/>
      <c r="F81" s="16"/>
      <c r="G81" s="19"/>
      <c r="H81" s="19"/>
      <c r="I81" s="16"/>
      <c r="J81" s="19" t="s">
        <v>127</v>
      </c>
      <c r="K81" s="32"/>
      <c r="L81" s="32"/>
      <c r="M81" s="13"/>
      <c r="N81" s="14"/>
      <c r="O81" s="46" t="s">
        <v>36</v>
      </c>
      <c r="P81" s="46"/>
      <c r="Q81" s="46" t="s">
        <v>36</v>
      </c>
      <c r="R81" s="46"/>
    </row>
    <row r="82" spans="1:18" x14ac:dyDescent="0.4">
      <c r="A82" s="19"/>
      <c r="B82" s="3">
        <f t="shared" si="1"/>
        <v>19</v>
      </c>
      <c r="C82" s="21"/>
      <c r="D82" s="19"/>
      <c r="E82" s="19"/>
      <c r="F82" s="16"/>
      <c r="G82" s="19"/>
      <c r="H82" s="19"/>
      <c r="I82" s="16"/>
      <c r="J82" s="19"/>
      <c r="K82" s="12" t="s">
        <v>128</v>
      </c>
      <c r="L82" s="13"/>
      <c r="M82" s="13"/>
      <c r="N82" s="13"/>
      <c r="O82" s="23" t="s">
        <v>1602</v>
      </c>
      <c r="P82" s="23"/>
      <c r="Q82" s="23" t="s">
        <v>1602</v>
      </c>
      <c r="R82" s="46"/>
    </row>
    <row r="83" spans="1:18" x14ac:dyDescent="0.4">
      <c r="A83" s="19"/>
      <c r="B83" s="3">
        <f t="shared" si="1"/>
        <v>20</v>
      </c>
      <c r="C83" s="21"/>
      <c r="D83" s="19"/>
      <c r="E83" s="19"/>
      <c r="F83" s="16"/>
      <c r="G83" s="19"/>
      <c r="H83" s="19"/>
      <c r="I83" s="16"/>
      <c r="J83" s="19"/>
      <c r="K83" s="27" t="s">
        <v>129</v>
      </c>
      <c r="L83" s="9"/>
      <c r="M83" s="9"/>
      <c r="N83" s="10"/>
      <c r="O83" s="47"/>
      <c r="P83" s="47"/>
      <c r="Q83" s="47"/>
      <c r="R83" s="48"/>
    </row>
    <row r="84" spans="1:18" x14ac:dyDescent="0.4">
      <c r="A84" s="19"/>
      <c r="B84" s="3">
        <f t="shared" si="1"/>
        <v>21</v>
      </c>
      <c r="C84" s="21"/>
      <c r="D84" s="19"/>
      <c r="E84" s="19"/>
      <c r="F84" s="16"/>
      <c r="G84" s="19"/>
      <c r="H84" s="19"/>
      <c r="I84" s="16"/>
      <c r="J84" s="19"/>
      <c r="K84" s="16"/>
      <c r="L84" s="18" t="s">
        <v>130</v>
      </c>
      <c r="M84" s="13"/>
      <c r="N84" s="14"/>
      <c r="O84" s="46" t="s">
        <v>10</v>
      </c>
      <c r="P84" s="46"/>
      <c r="Q84" s="46" t="s">
        <v>10</v>
      </c>
      <c r="R84" s="46"/>
    </row>
    <row r="85" spans="1:18" x14ac:dyDescent="0.4">
      <c r="A85" s="19"/>
      <c r="B85" s="3">
        <f t="shared" si="1"/>
        <v>22</v>
      </c>
      <c r="C85" s="21"/>
      <c r="D85" s="19"/>
      <c r="E85" s="19"/>
      <c r="F85" s="16"/>
      <c r="G85" s="19"/>
      <c r="H85" s="19"/>
      <c r="I85" s="16"/>
      <c r="J85" s="19"/>
      <c r="K85" s="16"/>
      <c r="L85" s="20"/>
      <c r="M85" s="13"/>
      <c r="N85" s="14"/>
      <c r="O85" s="46" t="s">
        <v>1240</v>
      </c>
      <c r="P85" s="46"/>
      <c r="Q85" s="46" t="s">
        <v>1240</v>
      </c>
      <c r="R85" s="46"/>
    </row>
    <row r="86" spans="1:18" x14ac:dyDescent="0.4">
      <c r="A86" s="19"/>
      <c r="B86" s="3">
        <f t="shared" si="1"/>
        <v>23</v>
      </c>
      <c r="C86" s="21"/>
      <c r="D86" s="19"/>
      <c r="E86" s="19"/>
      <c r="F86" s="16"/>
      <c r="G86" s="19"/>
      <c r="H86" s="19"/>
      <c r="I86" s="16"/>
      <c r="J86" s="19"/>
      <c r="K86" s="16"/>
      <c r="L86" t="s">
        <v>131</v>
      </c>
      <c r="M86" s="13"/>
      <c r="N86" s="14"/>
      <c r="O86" s="46" t="s">
        <v>9</v>
      </c>
      <c r="P86" s="46"/>
      <c r="Q86" s="46" t="s">
        <v>9</v>
      </c>
      <c r="R86" s="46"/>
    </row>
    <row r="87" spans="1:18" x14ac:dyDescent="0.4">
      <c r="A87" s="19"/>
      <c r="B87" s="3">
        <f t="shared" si="1"/>
        <v>24</v>
      </c>
      <c r="C87" s="21"/>
      <c r="D87" s="19"/>
      <c r="E87" s="19"/>
      <c r="F87" s="16"/>
      <c r="G87" s="19"/>
      <c r="H87" s="19"/>
      <c r="I87" s="16"/>
      <c r="J87" s="19"/>
      <c r="K87" s="16"/>
      <c r="L87" s="19"/>
      <c r="M87" s="13" t="s">
        <v>132</v>
      </c>
      <c r="N87" s="14"/>
      <c r="O87" s="23" t="s">
        <v>1640</v>
      </c>
      <c r="P87" s="23"/>
      <c r="Q87" s="23" t="s">
        <v>1640</v>
      </c>
      <c r="R87" s="46"/>
    </row>
    <row r="88" spans="1:18" x14ac:dyDescent="0.4">
      <c r="A88" s="19"/>
      <c r="B88" s="3">
        <f t="shared" si="1"/>
        <v>25</v>
      </c>
      <c r="C88" s="21"/>
      <c r="D88" s="19"/>
      <c r="E88" s="19"/>
      <c r="F88" s="16"/>
      <c r="G88" s="19"/>
      <c r="H88" s="19"/>
      <c r="I88" s="17"/>
      <c r="J88" s="20"/>
      <c r="K88" s="17"/>
      <c r="L88" s="12" t="s">
        <v>133</v>
      </c>
      <c r="M88" s="13"/>
      <c r="N88" s="14"/>
      <c r="O88" s="46" t="s">
        <v>36</v>
      </c>
      <c r="P88" s="46"/>
      <c r="Q88" s="46" t="s">
        <v>36</v>
      </c>
      <c r="R88" s="46"/>
    </row>
    <row r="89" spans="1:18" x14ac:dyDescent="0.4">
      <c r="A89" s="19"/>
      <c r="B89" s="3">
        <f t="shared" si="1"/>
        <v>26</v>
      </c>
      <c r="C89" s="21"/>
      <c r="D89" s="19"/>
      <c r="E89" s="19"/>
      <c r="F89" s="16"/>
      <c r="G89" s="19"/>
      <c r="H89" s="19"/>
      <c r="I89" s="15" t="s">
        <v>1307</v>
      </c>
      <c r="J89" s="9"/>
      <c r="K89" s="9"/>
      <c r="L89" s="33"/>
      <c r="M89" s="9"/>
      <c r="N89" s="10"/>
      <c r="O89" s="48"/>
      <c r="P89" s="48"/>
      <c r="Q89" s="48"/>
      <c r="R89" s="48"/>
    </row>
    <row r="90" spans="1:18" x14ac:dyDescent="0.4">
      <c r="A90" s="19"/>
      <c r="B90" s="3">
        <f t="shared" si="1"/>
        <v>27</v>
      </c>
      <c r="C90" s="21"/>
      <c r="D90" s="19"/>
      <c r="E90" s="19"/>
      <c r="F90" s="16"/>
      <c r="G90" s="19"/>
      <c r="H90" s="19"/>
      <c r="I90" s="16"/>
      <c r="J90" s="18" t="s">
        <v>1641</v>
      </c>
      <c r="K90" s="13"/>
      <c r="L90" s="13"/>
      <c r="M90" s="13"/>
      <c r="N90" s="14"/>
      <c r="O90" s="23">
        <v>1</v>
      </c>
      <c r="P90" s="23"/>
      <c r="Q90" s="23">
        <v>1</v>
      </c>
      <c r="R90" s="46"/>
    </row>
    <row r="91" spans="1:18" x14ac:dyDescent="0.4">
      <c r="A91" s="19"/>
      <c r="B91" s="3">
        <f t="shared" si="1"/>
        <v>28</v>
      </c>
      <c r="C91" s="21"/>
      <c r="D91" s="19"/>
      <c r="E91" s="19"/>
      <c r="F91" s="16"/>
      <c r="G91" s="19"/>
      <c r="I91" s="16"/>
      <c r="J91" s="19"/>
      <c r="K91" s="13" t="s">
        <v>134</v>
      </c>
      <c r="L91" s="13"/>
      <c r="M91" s="13"/>
      <c r="N91" s="14"/>
      <c r="O91" s="46" t="s">
        <v>20</v>
      </c>
      <c r="P91" s="46"/>
      <c r="Q91" s="46" t="s">
        <v>20</v>
      </c>
      <c r="R91" s="46"/>
    </row>
    <row r="92" spans="1:18" x14ac:dyDescent="0.4">
      <c r="A92" s="19"/>
      <c r="B92" s="3">
        <f t="shared" si="1"/>
        <v>29</v>
      </c>
      <c r="C92" s="21"/>
      <c r="D92" s="19"/>
      <c r="E92" s="19"/>
      <c r="F92" s="16"/>
      <c r="G92" s="19"/>
      <c r="I92" s="16"/>
      <c r="J92" s="19"/>
      <c r="K92" s="13" t="s">
        <v>135</v>
      </c>
      <c r="L92" s="13"/>
      <c r="M92" s="13"/>
      <c r="N92" s="14"/>
      <c r="O92" s="46" t="s">
        <v>20</v>
      </c>
      <c r="P92" s="46"/>
      <c r="Q92" s="46" t="s">
        <v>20</v>
      </c>
      <c r="R92" s="46"/>
    </row>
    <row r="93" spans="1:18" x14ac:dyDescent="0.4">
      <c r="A93" s="19"/>
      <c r="B93" s="3">
        <f t="shared" si="1"/>
        <v>30</v>
      </c>
      <c r="C93" s="21"/>
      <c r="D93" s="19"/>
      <c r="E93" s="19"/>
      <c r="F93" s="16"/>
      <c r="G93" s="19"/>
      <c r="I93" s="16"/>
      <c r="J93" s="19"/>
      <c r="K93" s="13" t="s">
        <v>136</v>
      </c>
      <c r="L93" s="13"/>
      <c r="M93" s="13"/>
      <c r="N93" s="14"/>
      <c r="O93" s="46" t="s">
        <v>20</v>
      </c>
      <c r="P93" s="46"/>
      <c r="Q93" s="46" t="s">
        <v>20</v>
      </c>
      <c r="R93" s="46"/>
    </row>
    <row r="94" spans="1:18" x14ac:dyDescent="0.4">
      <c r="A94" s="19"/>
      <c r="B94" s="3">
        <f t="shared" si="1"/>
        <v>31</v>
      </c>
      <c r="C94" s="21"/>
      <c r="D94" s="19"/>
      <c r="E94" s="19"/>
      <c r="F94" s="16"/>
      <c r="G94" s="19"/>
      <c r="I94" s="16"/>
      <c r="J94" s="19"/>
      <c r="K94" s="13" t="s">
        <v>137</v>
      </c>
      <c r="L94" s="13"/>
      <c r="M94" s="13"/>
      <c r="N94" s="14"/>
      <c r="O94" s="46" t="s">
        <v>20</v>
      </c>
      <c r="P94" s="46"/>
      <c r="Q94" s="46" t="s">
        <v>20</v>
      </c>
      <c r="R94" s="46"/>
    </row>
    <row r="95" spans="1:18" x14ac:dyDescent="0.4">
      <c r="A95" s="19"/>
      <c r="B95" s="3">
        <f t="shared" si="1"/>
        <v>32</v>
      </c>
      <c r="C95" s="21"/>
      <c r="D95" s="19"/>
      <c r="E95" s="19"/>
      <c r="F95" s="16"/>
      <c r="G95" s="19"/>
      <c r="I95" s="16"/>
      <c r="J95" s="19"/>
      <c r="K95" s="13" t="s">
        <v>138</v>
      </c>
      <c r="L95" s="13"/>
      <c r="M95" s="13"/>
      <c r="N95" s="14"/>
      <c r="O95" s="46" t="s">
        <v>20</v>
      </c>
      <c r="P95" s="46"/>
      <c r="Q95" s="46" t="s">
        <v>20</v>
      </c>
      <c r="R95" s="46"/>
    </row>
    <row r="96" spans="1:18" x14ac:dyDescent="0.4">
      <c r="A96" s="19"/>
      <c r="B96" s="3">
        <f t="shared" si="1"/>
        <v>33</v>
      </c>
      <c r="C96" s="21"/>
      <c r="D96" s="19"/>
      <c r="E96" s="19"/>
      <c r="F96" s="16"/>
      <c r="G96" s="19"/>
      <c r="I96" s="16"/>
      <c r="J96" s="19"/>
      <c r="K96" s="13" t="s">
        <v>139</v>
      </c>
      <c r="L96" s="13"/>
      <c r="M96" s="13"/>
      <c r="N96" s="14"/>
      <c r="O96" s="46" t="s">
        <v>36</v>
      </c>
      <c r="P96" s="46"/>
      <c r="Q96" s="46" t="s">
        <v>36</v>
      </c>
      <c r="R96" s="46"/>
    </row>
    <row r="97" spans="1:18" x14ac:dyDescent="0.4">
      <c r="A97" s="19"/>
      <c r="B97" s="3">
        <f t="shared" si="1"/>
        <v>34</v>
      </c>
      <c r="C97" s="21"/>
      <c r="D97" s="19"/>
      <c r="E97" s="19"/>
      <c r="F97" s="16"/>
      <c r="G97" s="20"/>
      <c r="H97" s="34"/>
      <c r="I97" s="17"/>
      <c r="J97" s="20"/>
      <c r="K97" s="13" t="s">
        <v>140</v>
      </c>
      <c r="L97" s="13"/>
      <c r="M97" s="13"/>
      <c r="N97" s="14"/>
      <c r="O97" s="46" t="s">
        <v>36</v>
      </c>
      <c r="P97" s="46"/>
      <c r="Q97" s="46" t="s">
        <v>36</v>
      </c>
      <c r="R97" s="46"/>
    </row>
    <row r="98" spans="1:18" x14ac:dyDescent="0.4">
      <c r="A98" s="19"/>
      <c r="B98" s="3">
        <f t="shared" si="1"/>
        <v>35</v>
      </c>
      <c r="C98" s="21"/>
      <c r="D98" s="22"/>
      <c r="E98" s="19"/>
      <c r="F98" s="16"/>
      <c r="G98" s="26" t="s">
        <v>1638</v>
      </c>
      <c r="H98" s="13"/>
      <c r="I98" s="13"/>
      <c r="J98" s="13"/>
      <c r="K98" s="13"/>
      <c r="L98" s="13"/>
      <c r="M98" s="13"/>
      <c r="N98" s="14"/>
      <c r="O98" s="46" t="s">
        <v>1240</v>
      </c>
      <c r="P98" s="46"/>
      <c r="Q98" s="46" t="s">
        <v>1240</v>
      </c>
      <c r="R98" s="46"/>
    </row>
    <row r="99" spans="1:18" x14ac:dyDescent="0.4">
      <c r="A99" s="19"/>
      <c r="B99" s="3">
        <f t="shared" si="1"/>
        <v>36</v>
      </c>
      <c r="C99" s="21"/>
      <c r="D99" s="19"/>
      <c r="E99" s="19"/>
      <c r="F99" s="16"/>
      <c r="G99" s="19"/>
      <c r="H99" s="26" t="s">
        <v>1639</v>
      </c>
      <c r="I99" s="13"/>
      <c r="J99" s="13"/>
      <c r="K99" s="13"/>
      <c r="L99" s="13"/>
      <c r="M99" s="13"/>
      <c r="N99" s="14"/>
      <c r="O99" s="46" t="s">
        <v>10</v>
      </c>
      <c r="P99" s="46"/>
      <c r="Q99" s="46" t="s">
        <v>10</v>
      </c>
      <c r="R99" s="46"/>
    </row>
    <row r="100" spans="1:18" x14ac:dyDescent="0.4">
      <c r="A100" s="19"/>
      <c r="B100" s="3">
        <f t="shared" si="1"/>
        <v>37</v>
      </c>
      <c r="C100" s="21"/>
      <c r="D100" s="19"/>
      <c r="E100" s="19"/>
      <c r="F100" s="16"/>
      <c r="G100" s="19"/>
      <c r="H100" s="19"/>
      <c r="I100" s="13" t="s">
        <v>124</v>
      </c>
      <c r="J100" s="13"/>
      <c r="K100" s="13"/>
      <c r="L100" s="13"/>
      <c r="M100" s="13"/>
      <c r="N100" s="14"/>
      <c r="O100" s="51">
        <v>0.5</v>
      </c>
      <c r="P100" s="51"/>
      <c r="Q100" s="51">
        <v>0.5</v>
      </c>
      <c r="R100" s="46"/>
    </row>
    <row r="101" spans="1:18" x14ac:dyDescent="0.4">
      <c r="A101" s="19"/>
      <c r="B101" s="3">
        <f t="shared" si="1"/>
        <v>38</v>
      </c>
      <c r="C101" s="21"/>
      <c r="D101" s="19"/>
      <c r="E101" s="19"/>
      <c r="F101" s="16"/>
      <c r="G101" s="19"/>
      <c r="H101" s="19"/>
      <c r="I101" s="27" t="s">
        <v>31</v>
      </c>
      <c r="J101" s="27"/>
      <c r="K101" s="27"/>
      <c r="L101" s="27"/>
      <c r="M101" s="9"/>
      <c r="N101" s="10"/>
      <c r="O101" s="47"/>
      <c r="P101" s="47"/>
      <c r="Q101" s="47"/>
      <c r="R101" s="48"/>
    </row>
    <row r="102" spans="1:18" x14ac:dyDescent="0.4">
      <c r="A102" s="19"/>
      <c r="B102" s="3">
        <f t="shared" si="1"/>
        <v>39</v>
      </c>
      <c r="C102" s="21"/>
      <c r="D102" s="19"/>
      <c r="E102" s="19"/>
      <c r="F102" s="16"/>
      <c r="G102" s="19"/>
      <c r="H102" s="19"/>
      <c r="I102" s="16"/>
      <c r="J102" s="12" t="s">
        <v>125</v>
      </c>
      <c r="K102" s="13"/>
      <c r="L102" s="13"/>
      <c r="M102" s="13"/>
      <c r="N102" s="14"/>
      <c r="O102" s="52">
        <v>44694</v>
      </c>
      <c r="P102" s="52"/>
      <c r="Q102" s="52">
        <v>44694</v>
      </c>
      <c r="R102" s="46"/>
    </row>
    <row r="103" spans="1:18" x14ac:dyDescent="0.4">
      <c r="A103" s="19"/>
      <c r="B103" s="3">
        <f t="shared" si="1"/>
        <v>40</v>
      </c>
      <c r="C103" s="21"/>
      <c r="D103" s="19"/>
      <c r="E103" s="19"/>
      <c r="F103" s="16"/>
      <c r="G103" s="19"/>
      <c r="H103" s="19"/>
      <c r="I103" s="16"/>
      <c r="J103" s="18" t="s">
        <v>126</v>
      </c>
      <c r="K103" s="26"/>
      <c r="L103" s="26"/>
      <c r="M103" s="13"/>
      <c r="N103" s="14"/>
      <c r="O103" s="46" t="s">
        <v>36</v>
      </c>
      <c r="P103" s="46"/>
      <c r="Q103" s="46" t="s">
        <v>36</v>
      </c>
      <c r="R103" s="46"/>
    </row>
    <row r="104" spans="1:18" x14ac:dyDescent="0.4">
      <c r="A104" s="19"/>
      <c r="B104" s="3">
        <f t="shared" si="1"/>
        <v>41</v>
      </c>
      <c r="C104" s="21"/>
      <c r="D104" s="19"/>
      <c r="E104" s="19"/>
      <c r="F104" s="16"/>
      <c r="G104" s="19"/>
      <c r="H104" s="19"/>
      <c r="I104" s="16"/>
      <c r="J104" s="20"/>
      <c r="K104" s="12"/>
      <c r="L104" s="13"/>
      <c r="M104" s="13"/>
      <c r="N104" s="14"/>
      <c r="O104" s="46" t="s">
        <v>1240</v>
      </c>
      <c r="P104" s="46"/>
      <c r="Q104" s="46" t="s">
        <v>1240</v>
      </c>
      <c r="R104" s="46"/>
    </row>
    <row r="105" spans="1:18" x14ac:dyDescent="0.4">
      <c r="A105" s="19"/>
      <c r="B105" s="3">
        <f t="shared" si="1"/>
        <v>42</v>
      </c>
      <c r="C105" s="21"/>
      <c r="D105" s="19"/>
      <c r="E105" s="19"/>
      <c r="F105" s="16"/>
      <c r="G105" s="19"/>
      <c r="H105" s="19"/>
      <c r="I105" s="16"/>
      <c r="J105" s="19" t="s">
        <v>127</v>
      </c>
      <c r="K105" s="32"/>
      <c r="L105" s="32"/>
      <c r="M105" s="13"/>
      <c r="N105" s="14"/>
      <c r="O105" s="46" t="s">
        <v>36</v>
      </c>
      <c r="P105" s="46"/>
      <c r="Q105" s="46" t="s">
        <v>36</v>
      </c>
      <c r="R105" s="46"/>
    </row>
    <row r="106" spans="1:18" x14ac:dyDescent="0.4">
      <c r="A106" s="19"/>
      <c r="B106" s="3">
        <f t="shared" si="1"/>
        <v>43</v>
      </c>
      <c r="C106" s="21"/>
      <c r="D106" s="19"/>
      <c r="E106" s="19"/>
      <c r="F106" s="16"/>
      <c r="G106" s="19"/>
      <c r="H106" s="19"/>
      <c r="I106" s="16"/>
      <c r="J106" s="19"/>
      <c r="K106" s="12" t="s">
        <v>128</v>
      </c>
      <c r="L106" s="13"/>
      <c r="M106" s="13"/>
      <c r="N106" s="13"/>
      <c r="O106" s="23" t="s">
        <v>1602</v>
      </c>
      <c r="P106" s="23"/>
      <c r="Q106" s="23" t="s">
        <v>1602</v>
      </c>
      <c r="R106" s="46"/>
    </row>
    <row r="107" spans="1:18" x14ac:dyDescent="0.4">
      <c r="A107" s="19"/>
      <c r="B107" s="3">
        <f t="shared" si="1"/>
        <v>44</v>
      </c>
      <c r="C107" s="21"/>
      <c r="D107" s="19"/>
      <c r="E107" s="19"/>
      <c r="F107" s="16"/>
      <c r="G107" s="19"/>
      <c r="H107" s="19"/>
      <c r="I107" s="16"/>
      <c r="J107" s="19"/>
      <c r="K107" s="27" t="s">
        <v>129</v>
      </c>
      <c r="L107" s="9"/>
      <c r="M107" s="9"/>
      <c r="N107" s="10"/>
      <c r="O107" s="47"/>
      <c r="P107" s="47"/>
      <c r="Q107" s="47"/>
      <c r="R107" s="48"/>
    </row>
    <row r="108" spans="1:18" x14ac:dyDescent="0.4">
      <c r="A108" s="19"/>
      <c r="B108" s="3">
        <f t="shared" si="1"/>
        <v>45</v>
      </c>
      <c r="C108" s="21"/>
      <c r="D108" s="19"/>
      <c r="E108" s="19"/>
      <c r="F108" s="16"/>
      <c r="G108" s="19"/>
      <c r="H108" s="19"/>
      <c r="I108" s="16"/>
      <c r="J108" s="19"/>
      <c r="K108" s="16"/>
      <c r="L108" s="18" t="s">
        <v>130</v>
      </c>
      <c r="M108" s="13"/>
      <c r="N108" s="14"/>
      <c r="O108" s="46" t="s">
        <v>10</v>
      </c>
      <c r="P108" s="46"/>
      <c r="Q108" s="46" t="s">
        <v>10</v>
      </c>
      <c r="R108" s="46"/>
    </row>
    <row r="109" spans="1:18" x14ac:dyDescent="0.4">
      <c r="A109" s="19"/>
      <c r="B109" s="3">
        <f t="shared" si="1"/>
        <v>46</v>
      </c>
      <c r="C109" s="21"/>
      <c r="D109" s="19"/>
      <c r="E109" s="19"/>
      <c r="F109" s="16"/>
      <c r="G109" s="19"/>
      <c r="H109" s="19"/>
      <c r="I109" s="16"/>
      <c r="J109" s="19"/>
      <c r="K109" s="16"/>
      <c r="L109" s="20"/>
      <c r="M109" s="13"/>
      <c r="N109" s="14"/>
      <c r="O109" s="46" t="s">
        <v>1240</v>
      </c>
      <c r="P109" s="46"/>
      <c r="Q109" s="46" t="s">
        <v>1240</v>
      </c>
      <c r="R109" s="46"/>
    </row>
    <row r="110" spans="1:18" x14ac:dyDescent="0.4">
      <c r="A110" s="19"/>
      <c r="B110" s="3">
        <f t="shared" si="1"/>
        <v>47</v>
      </c>
      <c r="C110" s="21"/>
      <c r="D110" s="19"/>
      <c r="E110" s="19"/>
      <c r="F110" s="16"/>
      <c r="G110" s="19"/>
      <c r="H110" s="19"/>
      <c r="I110" s="16"/>
      <c r="J110" s="19"/>
      <c r="K110" s="16"/>
      <c r="L110" t="s">
        <v>131</v>
      </c>
      <c r="M110" s="13"/>
      <c r="N110" s="14"/>
      <c r="O110" s="46" t="s">
        <v>9</v>
      </c>
      <c r="P110" s="46"/>
      <c r="Q110" s="46" t="s">
        <v>9</v>
      </c>
      <c r="R110" s="46"/>
    </row>
    <row r="111" spans="1:18" x14ac:dyDescent="0.4">
      <c r="A111" s="19"/>
      <c r="B111" s="3">
        <f t="shared" si="1"/>
        <v>48</v>
      </c>
      <c r="C111" s="21"/>
      <c r="D111" s="19"/>
      <c r="E111" s="19"/>
      <c r="F111" s="16"/>
      <c r="G111" s="19"/>
      <c r="H111" s="19"/>
      <c r="I111" s="16"/>
      <c r="J111" s="19"/>
      <c r="K111" s="16"/>
      <c r="L111" s="19"/>
      <c r="M111" s="13" t="s">
        <v>132</v>
      </c>
      <c r="N111" s="14"/>
      <c r="O111" s="23" t="s">
        <v>1640</v>
      </c>
      <c r="P111" s="23"/>
      <c r="Q111" s="23" t="s">
        <v>1640</v>
      </c>
      <c r="R111" s="46"/>
    </row>
    <row r="112" spans="1:18" x14ac:dyDescent="0.4">
      <c r="A112" s="19"/>
      <c r="B112" s="3">
        <f t="shared" si="1"/>
        <v>49</v>
      </c>
      <c r="C112" s="21"/>
      <c r="D112" s="19"/>
      <c r="E112" s="19"/>
      <c r="F112" s="16"/>
      <c r="G112" s="19"/>
      <c r="H112" s="19"/>
      <c r="I112" s="17"/>
      <c r="J112" s="20"/>
      <c r="K112" s="17"/>
      <c r="L112" s="12" t="s">
        <v>133</v>
      </c>
      <c r="M112" s="13"/>
      <c r="N112" s="14"/>
      <c r="O112" s="46" t="s">
        <v>36</v>
      </c>
      <c r="P112" s="46"/>
      <c r="Q112" s="46" t="s">
        <v>36</v>
      </c>
      <c r="R112" s="46"/>
    </row>
    <row r="113" spans="1:18" x14ac:dyDescent="0.4">
      <c r="A113" s="19"/>
      <c r="B113" s="3">
        <f t="shared" si="1"/>
        <v>50</v>
      </c>
      <c r="C113" s="21"/>
      <c r="D113" s="19"/>
      <c r="E113" s="19"/>
      <c r="F113" s="16"/>
      <c r="G113" s="19"/>
      <c r="H113" s="19"/>
      <c r="I113" s="15" t="s">
        <v>1307</v>
      </c>
      <c r="J113" s="9"/>
      <c r="K113" s="9"/>
      <c r="L113" s="33"/>
      <c r="M113" s="9"/>
      <c r="N113" s="10"/>
      <c r="O113" s="48"/>
      <c r="P113" s="48"/>
      <c r="Q113" s="48"/>
      <c r="R113" s="48"/>
    </row>
    <row r="114" spans="1:18" x14ac:dyDescent="0.4">
      <c r="A114" s="19"/>
      <c r="B114" s="3">
        <f t="shared" si="1"/>
        <v>51</v>
      </c>
      <c r="C114" s="21"/>
      <c r="D114" s="19"/>
      <c r="E114" s="19"/>
      <c r="F114" s="16"/>
      <c r="G114" s="19"/>
      <c r="H114" s="19"/>
      <c r="I114" s="16"/>
      <c r="J114" s="18" t="s">
        <v>1641</v>
      </c>
      <c r="K114" s="13"/>
      <c r="L114" s="13"/>
      <c r="M114" s="13"/>
      <c r="N114" s="14"/>
      <c r="O114" s="23">
        <v>1</v>
      </c>
      <c r="P114" s="23"/>
      <c r="Q114" s="23">
        <v>1</v>
      </c>
      <c r="R114" s="46"/>
    </row>
    <row r="115" spans="1:18" x14ac:dyDescent="0.4">
      <c r="A115" s="19"/>
      <c r="B115" s="3">
        <f t="shared" si="1"/>
        <v>52</v>
      </c>
      <c r="C115" s="21"/>
      <c r="D115" s="19"/>
      <c r="E115" s="19"/>
      <c r="F115" s="16"/>
      <c r="G115" s="19"/>
      <c r="I115" s="16"/>
      <c r="J115" s="19"/>
      <c r="K115" s="13" t="s">
        <v>134</v>
      </c>
      <c r="L115" s="13"/>
      <c r="M115" s="13"/>
      <c r="N115" s="14"/>
      <c r="O115" s="46" t="s">
        <v>20</v>
      </c>
      <c r="P115" s="46"/>
      <c r="Q115" s="46" t="s">
        <v>20</v>
      </c>
      <c r="R115" s="46"/>
    </row>
    <row r="116" spans="1:18" x14ac:dyDescent="0.4">
      <c r="A116" s="19"/>
      <c r="B116" s="3">
        <f t="shared" si="1"/>
        <v>53</v>
      </c>
      <c r="C116" s="21"/>
      <c r="D116" s="19"/>
      <c r="E116" s="19"/>
      <c r="F116" s="16"/>
      <c r="G116" s="19"/>
      <c r="I116" s="16"/>
      <c r="J116" s="19"/>
      <c r="K116" s="13" t="s">
        <v>135</v>
      </c>
      <c r="L116" s="13"/>
      <c r="M116" s="13"/>
      <c r="N116" s="14"/>
      <c r="O116" s="46" t="s">
        <v>20</v>
      </c>
      <c r="P116" s="46"/>
      <c r="Q116" s="46" t="s">
        <v>20</v>
      </c>
      <c r="R116" s="46"/>
    </row>
    <row r="117" spans="1:18" x14ac:dyDescent="0.4">
      <c r="A117" s="19"/>
      <c r="B117" s="3">
        <f t="shared" si="1"/>
        <v>54</v>
      </c>
      <c r="C117" s="21"/>
      <c r="D117" s="19"/>
      <c r="E117" s="19"/>
      <c r="F117" s="16"/>
      <c r="G117" s="19"/>
      <c r="I117" s="16"/>
      <c r="J117" s="19"/>
      <c r="K117" s="13" t="s">
        <v>136</v>
      </c>
      <c r="L117" s="13"/>
      <c r="M117" s="13"/>
      <c r="N117" s="14"/>
      <c r="O117" s="46" t="s">
        <v>20</v>
      </c>
      <c r="P117" s="46"/>
      <c r="Q117" s="46" t="s">
        <v>20</v>
      </c>
      <c r="R117" s="46"/>
    </row>
    <row r="118" spans="1:18" x14ac:dyDescent="0.4">
      <c r="A118" s="19"/>
      <c r="B118" s="3">
        <f t="shared" si="1"/>
        <v>55</v>
      </c>
      <c r="C118" s="21"/>
      <c r="D118" s="19"/>
      <c r="E118" s="19"/>
      <c r="F118" s="16"/>
      <c r="G118" s="19"/>
      <c r="I118" s="16"/>
      <c r="J118" s="19"/>
      <c r="K118" s="13" t="s">
        <v>137</v>
      </c>
      <c r="L118" s="13"/>
      <c r="M118" s="13"/>
      <c r="N118" s="14"/>
      <c r="O118" s="46" t="s">
        <v>20</v>
      </c>
      <c r="P118" s="46"/>
      <c r="Q118" s="46" t="s">
        <v>20</v>
      </c>
      <c r="R118" s="46"/>
    </row>
    <row r="119" spans="1:18" x14ac:dyDescent="0.4">
      <c r="A119" s="19"/>
      <c r="B119" s="3">
        <f t="shared" si="1"/>
        <v>56</v>
      </c>
      <c r="C119" s="21"/>
      <c r="D119" s="19"/>
      <c r="E119" s="19"/>
      <c r="F119" s="16"/>
      <c r="G119" s="19"/>
      <c r="I119" s="16"/>
      <c r="J119" s="19"/>
      <c r="K119" s="13" t="s">
        <v>138</v>
      </c>
      <c r="L119" s="13"/>
      <c r="M119" s="13"/>
      <c r="N119" s="14"/>
      <c r="O119" s="46" t="s">
        <v>20</v>
      </c>
      <c r="P119" s="46"/>
      <c r="Q119" s="46" t="s">
        <v>20</v>
      </c>
      <c r="R119" s="46"/>
    </row>
    <row r="120" spans="1:18" x14ac:dyDescent="0.4">
      <c r="A120" s="19"/>
      <c r="B120" s="3">
        <f t="shared" si="1"/>
        <v>57</v>
      </c>
      <c r="C120" s="21"/>
      <c r="D120" s="19"/>
      <c r="E120" s="19"/>
      <c r="F120" s="16"/>
      <c r="G120" s="19"/>
      <c r="I120" s="16"/>
      <c r="J120" s="19"/>
      <c r="K120" s="13" t="s">
        <v>139</v>
      </c>
      <c r="L120" s="13"/>
      <c r="M120" s="13"/>
      <c r="N120" s="14"/>
      <c r="O120" s="46" t="s">
        <v>36</v>
      </c>
      <c r="P120" s="46"/>
      <c r="Q120" s="46" t="s">
        <v>36</v>
      </c>
      <c r="R120" s="46"/>
    </row>
    <row r="121" spans="1:18" x14ac:dyDescent="0.4">
      <c r="A121" s="20"/>
      <c r="B121" s="3">
        <f t="shared" si="1"/>
        <v>58</v>
      </c>
      <c r="C121" s="24"/>
      <c r="D121" s="20"/>
      <c r="E121" s="20"/>
      <c r="F121" s="17"/>
      <c r="G121" s="20"/>
      <c r="H121" s="34"/>
      <c r="I121" s="17"/>
      <c r="J121" s="20"/>
      <c r="K121" s="13" t="s">
        <v>140</v>
      </c>
      <c r="L121" s="13"/>
      <c r="M121" s="13"/>
      <c r="N121" s="14"/>
      <c r="O121" s="46" t="s">
        <v>36</v>
      </c>
      <c r="P121" s="46"/>
      <c r="Q121" s="46" t="s">
        <v>36</v>
      </c>
      <c r="R121" s="46"/>
    </row>
  </sheetData>
  <phoneticPr fontId="1"/>
  <conditionalFormatting sqref="Q5:Q121">
    <cfRule type="expression" dxfId="9" priority="1">
      <formula>$O5&lt;&gt;$Q5</formula>
    </cfRule>
  </conditionalFormatting>
  <dataValidations count="3">
    <dataValidation type="list" allowBlank="1" showInputMessage="1" showErrorMessage="1" sqref="Q23 Q33:Q39 Q57:Q63 Q30 Q45 Q47 Q54 Q79 Q81 Q91:Q97 Q115:Q121 Q88 Q103 Q105 Q112 O112 O105 O103 O88 O115:O121 O91:O97 O81 O79 O54 O47 O45 O30 O57:O63 O33:O39 O23 O21 Q21" xr:uid="{7E908668-282E-B94D-BCF2-F99AB81F9600}">
      <formula1>work_チェックボックス</formula1>
    </dataValidation>
    <dataValidation type="list" allowBlank="1" showInputMessage="1" showErrorMessage="1" sqref="Q12:Q13 Q17 Q26 Q28 Q41 Q50 Q52 Q65:Q66 Q70:Q71 Q75 Q84 Q86 Q99 Q108 Q110 O110 O108 O99 O86 O84 O75 O70:O71 O65:O66 O52 O50 O41 O28 O26 O17 O12:O13 O7:O8 Q7:Q8" xr:uid="{89D68DB2-6CFE-AB4D-9927-39ABE291438A}">
      <formula1>work_ラジオボタン</formula1>
    </dataValidation>
    <dataValidation type="list" allowBlank="1" showInputMessage="1" showErrorMessage="1" sqref="P5:P121" xr:uid="{7EF77DCE-292E-4171-ACF5-AA0C12536ABC}">
      <formula1>"-,変更"</formula1>
    </dataValidation>
  </dataValidations>
  <pageMargins left="0.7" right="0.7" top="0.75" bottom="0.75" header="0.3" footer="0.3"/>
  <pageSetup paperSize="9" orientation="portrait" horizontalDpi="0" verticalDpi="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BFA2CC-A9EC-9648-96BA-23BEFA864A38}">
  <sheetPr>
    <outlinePr summaryBelow="0" summaryRight="0"/>
  </sheetPr>
  <dimension ref="A1:R18"/>
  <sheetViews>
    <sheetView zoomScale="90" zoomScaleNormal="90" workbookViewId="0">
      <pane ySplit="4" topLeftCell="A5" activePane="bottomLeft" state="frozen"/>
      <selection pane="bottomLeft" activeCell="N19" sqref="N19"/>
    </sheetView>
  </sheetViews>
  <sheetFormatPr defaultColWidth="11.5546875" defaultRowHeight="19.5" x14ac:dyDescent="0.4"/>
  <cols>
    <col min="1" max="1" width="4.6640625" customWidth="1"/>
    <col min="2" max="2" width="6.88671875" bestFit="1" customWidth="1"/>
    <col min="3" max="13" width="4.6640625" customWidth="1"/>
    <col min="14" max="14" width="60.6640625" customWidth="1"/>
    <col min="15" max="15" width="30.88671875" bestFit="1" customWidth="1"/>
    <col min="16" max="16" width="8.6640625" bestFit="1" customWidth="1"/>
    <col min="17" max="17" width="30.88671875" bestFit="1" customWidth="1"/>
    <col min="18" max="18" width="30.6640625" customWidth="1"/>
  </cols>
  <sheetData>
    <row r="1" spans="1:18" x14ac:dyDescent="0.4">
      <c r="A1" s="1" t="str">
        <f ca="1">RIGHT(CELL("filename",A1),LEN(CELL("filename",A1))-FIND("]",CELL("filename",A1)))</f>
        <v>4.5.クォータ</v>
      </c>
    </row>
    <row r="3" spans="1:18" x14ac:dyDescent="0.4">
      <c r="A3" s="61" t="s">
        <v>3</v>
      </c>
      <c r="B3" s="229"/>
      <c r="C3" s="61" t="s">
        <v>4</v>
      </c>
      <c r="D3" s="82"/>
      <c r="E3" s="82"/>
      <c r="F3" s="82"/>
      <c r="G3" s="82"/>
      <c r="H3" s="82"/>
      <c r="I3" s="82"/>
      <c r="J3" s="82"/>
      <c r="K3" s="82"/>
      <c r="L3" s="82"/>
      <c r="M3" s="82"/>
      <c r="N3" s="113"/>
      <c r="O3" s="114" t="s">
        <v>14</v>
      </c>
      <c r="P3" s="124" t="s">
        <v>2915</v>
      </c>
      <c r="Q3" s="124"/>
      <c r="R3" s="114" t="s">
        <v>5</v>
      </c>
    </row>
    <row r="4" spans="1:18" ht="20.25" thickBot="1" x14ac:dyDescent="0.45">
      <c r="A4" s="119"/>
      <c r="B4" s="209" t="s">
        <v>3036</v>
      </c>
      <c r="C4" s="119"/>
      <c r="D4" s="120"/>
      <c r="E4" s="120"/>
      <c r="F4" s="120"/>
      <c r="G4" s="120"/>
      <c r="H4" s="120"/>
      <c r="I4" s="120"/>
      <c r="J4" s="120"/>
      <c r="K4" s="120"/>
      <c r="L4" s="120"/>
      <c r="M4" s="120"/>
      <c r="N4" s="121"/>
      <c r="O4" s="122"/>
      <c r="P4" s="122" t="s">
        <v>2913</v>
      </c>
      <c r="Q4" s="122" t="s">
        <v>2912</v>
      </c>
      <c r="R4" s="122"/>
    </row>
    <row r="5" spans="1:18" ht="20.25" thickTop="1" x14ac:dyDescent="0.4">
      <c r="A5" s="230">
        <v>1</v>
      </c>
      <c r="B5" s="37">
        <v>1</v>
      </c>
      <c r="C5" s="21" t="s">
        <v>1604</v>
      </c>
      <c r="D5" s="25"/>
      <c r="E5" s="33"/>
      <c r="F5" s="33"/>
      <c r="G5" s="33"/>
      <c r="H5" s="33"/>
      <c r="I5" s="33"/>
      <c r="J5" s="33"/>
      <c r="K5" s="33"/>
      <c r="L5" s="33"/>
      <c r="M5" s="33"/>
      <c r="N5" s="29"/>
      <c r="O5" s="125"/>
      <c r="P5" s="125"/>
      <c r="Q5" s="125"/>
      <c r="R5" s="125"/>
    </row>
    <row r="6" spans="1:18" x14ac:dyDescent="0.4">
      <c r="A6" s="231"/>
      <c r="B6" s="14">
        <f>B5+1</f>
        <v>2</v>
      </c>
      <c r="C6" s="21"/>
      <c r="D6" s="18" t="s">
        <v>1632</v>
      </c>
      <c r="E6" s="13"/>
      <c r="F6" s="13"/>
      <c r="G6" s="13"/>
      <c r="H6" s="13"/>
      <c r="I6" s="13"/>
      <c r="J6" s="13"/>
      <c r="K6" s="13"/>
      <c r="L6" s="13"/>
      <c r="M6" s="13"/>
      <c r="N6" s="14"/>
      <c r="O6" s="46" t="s">
        <v>1240</v>
      </c>
      <c r="P6" s="46"/>
      <c r="Q6" s="46"/>
      <c r="R6" s="46"/>
    </row>
    <row r="7" spans="1:18" x14ac:dyDescent="0.4">
      <c r="A7" s="231"/>
      <c r="B7" s="14">
        <f t="shared" ref="B7:B18" si="0">B6+1</f>
        <v>3</v>
      </c>
      <c r="C7" s="21"/>
      <c r="D7" s="22"/>
      <c r="E7" s="12" t="s">
        <v>1885</v>
      </c>
      <c r="F7" s="13"/>
      <c r="G7" s="13"/>
      <c r="H7" s="13"/>
      <c r="I7" s="13"/>
      <c r="J7" s="13"/>
      <c r="K7" s="13"/>
      <c r="L7" s="13"/>
      <c r="M7" s="13"/>
      <c r="N7" s="14"/>
      <c r="O7" s="46" t="s">
        <v>36</v>
      </c>
      <c r="P7" s="46"/>
      <c r="Q7" s="46" t="s">
        <v>36</v>
      </c>
      <c r="R7" s="46"/>
    </row>
    <row r="8" spans="1:18" x14ac:dyDescent="0.4">
      <c r="A8" s="231"/>
      <c r="B8" s="14">
        <f t="shared" si="0"/>
        <v>4</v>
      </c>
      <c r="C8" s="21"/>
      <c r="D8" s="22"/>
      <c r="E8" s="18" t="s">
        <v>1886</v>
      </c>
      <c r="F8" s="26"/>
      <c r="G8" s="13"/>
      <c r="H8" s="13"/>
      <c r="I8" s="13"/>
      <c r="J8" s="13"/>
      <c r="K8" s="13"/>
      <c r="L8" s="13"/>
      <c r="M8" s="13"/>
      <c r="N8" s="14"/>
      <c r="O8" s="46" t="s">
        <v>36</v>
      </c>
      <c r="P8" s="46"/>
      <c r="Q8" s="46" t="s">
        <v>36</v>
      </c>
      <c r="R8" s="46"/>
    </row>
    <row r="9" spans="1:18" x14ac:dyDescent="0.4">
      <c r="A9" s="231"/>
      <c r="B9" s="14">
        <f t="shared" si="0"/>
        <v>5</v>
      </c>
      <c r="C9" s="21"/>
      <c r="D9" s="22"/>
      <c r="E9" s="15" t="s">
        <v>1887</v>
      </c>
      <c r="F9" s="27"/>
      <c r="G9" s="9"/>
      <c r="H9" s="9"/>
      <c r="I9" s="9"/>
      <c r="J9" s="9"/>
      <c r="K9" s="9"/>
      <c r="L9" s="9"/>
      <c r="M9" s="9"/>
      <c r="N9" s="10"/>
      <c r="O9" s="48"/>
      <c r="P9" s="48"/>
      <c r="Q9" s="48"/>
      <c r="R9" s="48"/>
    </row>
    <row r="10" spans="1:18" x14ac:dyDescent="0.4">
      <c r="A10" s="231"/>
      <c r="B10" s="14">
        <f t="shared" si="0"/>
        <v>6</v>
      </c>
      <c r="C10" s="21"/>
      <c r="D10" s="22"/>
      <c r="E10" s="16"/>
      <c r="F10" s="26" t="s">
        <v>141</v>
      </c>
      <c r="G10" s="13"/>
      <c r="H10" s="13"/>
      <c r="I10" s="13"/>
      <c r="J10" s="13"/>
      <c r="K10" s="13"/>
      <c r="L10" s="13"/>
      <c r="M10" s="13"/>
      <c r="N10" s="14"/>
      <c r="O10" s="46" t="s">
        <v>9</v>
      </c>
      <c r="P10" s="46"/>
      <c r="Q10" s="46" t="s">
        <v>9</v>
      </c>
      <c r="R10" s="46"/>
    </row>
    <row r="11" spans="1:18" x14ac:dyDescent="0.4">
      <c r="A11" s="231"/>
      <c r="B11" s="14">
        <f t="shared" si="0"/>
        <v>7</v>
      </c>
      <c r="C11" s="21"/>
      <c r="D11" s="22"/>
      <c r="E11" s="16"/>
      <c r="F11" s="26" t="s">
        <v>1888</v>
      </c>
      <c r="G11" s="13"/>
      <c r="H11" s="13"/>
      <c r="I11" s="13"/>
      <c r="J11" s="13"/>
      <c r="K11" s="13"/>
      <c r="L11" s="13"/>
      <c r="M11" s="13"/>
      <c r="N11" s="14"/>
      <c r="O11" s="46" t="s">
        <v>10</v>
      </c>
      <c r="P11" s="46"/>
      <c r="Q11" s="46" t="s">
        <v>10</v>
      </c>
      <c r="R11" s="46"/>
    </row>
    <row r="12" spans="1:18" x14ac:dyDescent="0.4">
      <c r="A12" s="231"/>
      <c r="B12" s="14">
        <f t="shared" si="0"/>
        <v>8</v>
      </c>
      <c r="C12" s="21"/>
      <c r="D12" s="22"/>
      <c r="E12" s="16"/>
      <c r="F12" s="32"/>
      <c r="G12" s="13" t="s">
        <v>1636</v>
      </c>
      <c r="H12" s="13"/>
      <c r="I12" s="13"/>
      <c r="J12" s="13"/>
      <c r="K12" s="13"/>
      <c r="L12" s="13"/>
      <c r="M12" s="13"/>
      <c r="N12" s="14"/>
      <c r="O12" s="56" t="s">
        <v>1625</v>
      </c>
      <c r="P12" s="56"/>
      <c r="Q12" s="56" t="s">
        <v>1625</v>
      </c>
      <c r="R12" s="46"/>
    </row>
    <row r="13" spans="1:18" x14ac:dyDescent="0.4">
      <c r="A13" s="231"/>
      <c r="B13" s="14">
        <f t="shared" si="0"/>
        <v>9</v>
      </c>
      <c r="C13" s="21"/>
      <c r="D13" s="22"/>
      <c r="E13" s="17"/>
      <c r="F13" s="37"/>
      <c r="G13" s="13" t="s">
        <v>1889</v>
      </c>
      <c r="H13" s="13"/>
      <c r="I13" s="13"/>
      <c r="J13" s="13"/>
      <c r="K13" s="13"/>
      <c r="L13" s="13"/>
      <c r="M13" s="13"/>
      <c r="N13" s="14"/>
      <c r="O13" s="56" t="s">
        <v>1625</v>
      </c>
      <c r="P13" s="56"/>
      <c r="Q13" s="56" t="s">
        <v>1625</v>
      </c>
      <c r="R13" s="46"/>
    </row>
    <row r="14" spans="1:18" x14ac:dyDescent="0.4">
      <c r="A14" s="231"/>
      <c r="B14" s="14">
        <f t="shared" si="0"/>
        <v>10</v>
      </c>
      <c r="C14" s="21"/>
      <c r="D14" s="22"/>
      <c r="E14" s="15" t="s">
        <v>1890</v>
      </c>
      <c r="F14" s="27"/>
      <c r="G14" s="9"/>
      <c r="H14" s="9"/>
      <c r="I14" s="9"/>
      <c r="J14" s="9"/>
      <c r="K14" s="9"/>
      <c r="L14" s="9"/>
      <c r="M14" s="9"/>
      <c r="N14" s="10"/>
      <c r="O14" s="48"/>
      <c r="P14" s="48"/>
      <c r="Q14" s="48"/>
      <c r="R14" s="48"/>
    </row>
    <row r="15" spans="1:18" x14ac:dyDescent="0.4">
      <c r="A15" s="231"/>
      <c r="B15" s="14">
        <f t="shared" si="0"/>
        <v>11</v>
      </c>
      <c r="C15" s="21"/>
      <c r="D15" s="22"/>
      <c r="E15" s="16"/>
      <c r="F15" s="26" t="s">
        <v>1891</v>
      </c>
      <c r="G15" s="13"/>
      <c r="H15" s="13"/>
      <c r="I15" s="13"/>
      <c r="J15" s="13"/>
      <c r="K15" s="13"/>
      <c r="L15" s="13"/>
      <c r="M15" s="13"/>
      <c r="N15" s="14"/>
      <c r="O15" s="46" t="s">
        <v>36</v>
      </c>
      <c r="P15" s="46"/>
      <c r="Q15" s="46" t="s">
        <v>36</v>
      </c>
      <c r="R15" s="46"/>
    </row>
    <row r="16" spans="1:18" x14ac:dyDescent="0.4">
      <c r="A16" s="231"/>
      <c r="B16" s="14">
        <f t="shared" si="0"/>
        <v>12</v>
      </c>
      <c r="C16" s="21"/>
      <c r="D16" s="22"/>
      <c r="E16" s="17"/>
      <c r="F16" s="26" t="s">
        <v>1892</v>
      </c>
      <c r="G16" s="13"/>
      <c r="H16" s="13"/>
      <c r="I16" s="13"/>
      <c r="J16" s="13"/>
      <c r="K16" s="13"/>
      <c r="L16" s="13"/>
      <c r="M16" s="13"/>
      <c r="N16" s="14"/>
      <c r="O16" s="46" t="s">
        <v>36</v>
      </c>
      <c r="P16" s="46"/>
      <c r="Q16" s="46" t="s">
        <v>36</v>
      </c>
      <c r="R16" s="46"/>
    </row>
    <row r="17" spans="1:18" x14ac:dyDescent="0.4">
      <c r="A17" s="231"/>
      <c r="B17" s="14">
        <f t="shared" si="0"/>
        <v>13</v>
      </c>
      <c r="C17" s="21"/>
      <c r="D17" s="22"/>
      <c r="E17" s="15" t="s">
        <v>1893</v>
      </c>
      <c r="F17" s="27"/>
      <c r="G17" s="9"/>
      <c r="H17" s="9"/>
      <c r="I17" s="9"/>
      <c r="J17" s="9"/>
      <c r="K17" s="9"/>
      <c r="L17" s="9"/>
      <c r="M17" s="9"/>
      <c r="N17" s="10"/>
      <c r="O17" s="48"/>
      <c r="P17" s="48"/>
      <c r="Q17" s="48"/>
      <c r="R17" s="48"/>
    </row>
    <row r="18" spans="1:18" x14ac:dyDescent="0.4">
      <c r="A18" s="232"/>
      <c r="B18" s="14">
        <f t="shared" si="0"/>
        <v>14</v>
      </c>
      <c r="C18" s="24"/>
      <c r="D18" s="36"/>
      <c r="E18" s="17"/>
      <c r="F18" s="13"/>
      <c r="G18" s="13"/>
      <c r="H18" s="13"/>
      <c r="I18" s="13"/>
      <c r="J18" s="13"/>
      <c r="K18" s="13"/>
      <c r="L18" s="13"/>
      <c r="M18" s="13"/>
      <c r="N18" s="14"/>
      <c r="O18" s="46" t="s">
        <v>1239</v>
      </c>
      <c r="P18" s="46"/>
      <c r="Q18" s="46" t="s">
        <v>1239</v>
      </c>
      <c r="R18" s="46"/>
    </row>
  </sheetData>
  <phoneticPr fontId="1"/>
  <conditionalFormatting sqref="Q5:Q18">
    <cfRule type="expression" dxfId="8" priority="1">
      <formula>$O5&lt;&gt;$Q5</formula>
    </cfRule>
  </conditionalFormatting>
  <dataValidations count="3">
    <dataValidation type="list" allowBlank="1" showInputMessage="1" showErrorMessage="1" sqref="Q15:Q16 O15:O16 O7:O8 Q7:Q8" xr:uid="{08FFE9A8-FA31-E04C-B65F-7F5614F7F167}">
      <formula1>work_チェックボックス</formula1>
    </dataValidation>
    <dataValidation type="list" allowBlank="1" showInputMessage="1" showErrorMessage="1" sqref="O10:O11 Q10:Q11" xr:uid="{33588F04-42DD-CD42-81B1-BAAB6859EDD0}">
      <formula1>work_ラジオボタン</formula1>
    </dataValidation>
    <dataValidation type="list" allowBlank="1" showInputMessage="1" showErrorMessage="1" sqref="P5:P18" xr:uid="{074588CD-71FE-49A4-8645-89F9F20DECEF}">
      <formula1>"-,変更"</formula1>
    </dataValidation>
  </dataValidations>
  <pageMargins left="0.7" right="0.7" top="0.75" bottom="0.75" header="0.3" footer="0.3"/>
  <pageSetup paperSize="9" orientation="portrait" horizontalDpi="0" verticalDpi="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5F1D5C-10E6-1049-8F81-D2DC67848A91}">
  <dimension ref="A1:L273"/>
  <sheetViews>
    <sheetView topLeftCell="I1" zoomScale="90" zoomScaleNormal="90" workbookViewId="0">
      <selection activeCell="L32" sqref="L32"/>
    </sheetView>
  </sheetViews>
  <sheetFormatPr defaultColWidth="11.5546875" defaultRowHeight="19.5" x14ac:dyDescent="0.4"/>
  <cols>
    <col min="1" max="6" width="4.6640625" customWidth="1"/>
    <col min="7" max="7" width="60.6640625" customWidth="1"/>
    <col min="8" max="8" width="28.88671875" bestFit="1" customWidth="1"/>
    <col min="9" max="9" width="28.88671875" customWidth="1"/>
    <col min="10" max="10" width="8.6640625" bestFit="1" customWidth="1"/>
    <col min="11" max="11" width="28.88671875" customWidth="1"/>
    <col min="12" max="12" width="30.6640625" bestFit="1" customWidth="1"/>
  </cols>
  <sheetData>
    <row r="1" spans="1:12" x14ac:dyDescent="0.4">
      <c r="A1" s="1" t="str">
        <f ca="1">RIGHT(CELL("filename",A1),LEN(CELL("filename",A1))-FIND("]",CELL("filename",A1)))</f>
        <v>5.役割と機能</v>
      </c>
    </row>
    <row r="2" spans="1:12" x14ac:dyDescent="0.4">
      <c r="B2" t="s">
        <v>892</v>
      </c>
    </row>
    <row r="3" spans="1:12" x14ac:dyDescent="0.4">
      <c r="B3" t="s">
        <v>2512</v>
      </c>
    </row>
    <row r="4" spans="1:12" x14ac:dyDescent="0.4">
      <c r="A4" s="61" t="s">
        <v>3</v>
      </c>
      <c r="B4" s="61" t="s">
        <v>4</v>
      </c>
      <c r="C4" s="82"/>
      <c r="D4" s="82"/>
      <c r="E4" s="82"/>
      <c r="F4" s="82"/>
      <c r="G4" s="82"/>
      <c r="H4" s="62" t="s">
        <v>975</v>
      </c>
      <c r="I4" s="62" t="s">
        <v>2907</v>
      </c>
      <c r="J4" s="207" t="s">
        <v>2915</v>
      </c>
      <c r="K4" s="207"/>
      <c r="L4" s="62"/>
    </row>
    <row r="5" spans="1:12" ht="20.25" thickBot="1" x14ac:dyDescent="0.45">
      <c r="A5" s="119"/>
      <c r="B5" s="119"/>
      <c r="C5" s="120"/>
      <c r="D5" s="120"/>
      <c r="E5" s="120"/>
      <c r="F5" s="120"/>
      <c r="G5" s="120"/>
      <c r="H5" s="118"/>
      <c r="I5" s="118"/>
      <c r="J5" s="208" t="s">
        <v>2913</v>
      </c>
      <c r="K5" s="209" t="s">
        <v>3024</v>
      </c>
      <c r="L5" s="118"/>
    </row>
    <row r="6" spans="1:12" ht="20.25" thickTop="1" x14ac:dyDescent="0.4">
      <c r="A6" s="36">
        <v>1</v>
      </c>
      <c r="B6" s="21" t="s">
        <v>893</v>
      </c>
      <c r="C6" s="33"/>
      <c r="D6" s="33"/>
      <c r="E6" s="33"/>
      <c r="F6" s="33"/>
      <c r="G6" s="33"/>
      <c r="H6" s="17"/>
      <c r="I6" s="17"/>
      <c r="J6" s="17"/>
      <c r="K6" s="17"/>
      <c r="L6" s="17"/>
    </row>
    <row r="7" spans="1:12" x14ac:dyDescent="0.4">
      <c r="A7" s="12">
        <f>A6+1</f>
        <v>2</v>
      </c>
      <c r="B7" s="16"/>
      <c r="C7" s="12" t="s">
        <v>894</v>
      </c>
      <c r="D7" s="13"/>
      <c r="E7" s="13"/>
      <c r="F7" s="13"/>
      <c r="G7" s="13"/>
      <c r="H7" s="3" t="s">
        <v>976</v>
      </c>
      <c r="I7" s="11" t="s">
        <v>36</v>
      </c>
      <c r="J7" s="11"/>
      <c r="K7" s="11" t="s">
        <v>36</v>
      </c>
      <c r="L7" s="3"/>
    </row>
    <row r="8" spans="1:12" x14ac:dyDescent="0.4">
      <c r="A8" s="12">
        <f t="shared" ref="A8:A71" si="0">A7+1</f>
        <v>3</v>
      </c>
      <c r="B8" s="16"/>
      <c r="C8" s="15" t="s">
        <v>1444</v>
      </c>
      <c r="D8" s="9"/>
      <c r="E8" s="9"/>
      <c r="F8" s="9"/>
      <c r="G8" s="9"/>
      <c r="H8" s="8" t="s">
        <v>977</v>
      </c>
      <c r="I8" s="2" t="s">
        <v>36</v>
      </c>
      <c r="J8" s="2"/>
      <c r="K8" s="2" t="s">
        <v>36</v>
      </c>
      <c r="L8" s="8"/>
    </row>
    <row r="9" spans="1:12" x14ac:dyDescent="0.4">
      <c r="A9" s="12">
        <f t="shared" si="0"/>
        <v>4</v>
      </c>
      <c r="B9" s="16"/>
      <c r="C9" s="16"/>
      <c r="D9" s="13" t="s">
        <v>1445</v>
      </c>
      <c r="E9" s="13"/>
      <c r="F9" s="13"/>
      <c r="G9" s="13"/>
      <c r="H9" s="3" t="s">
        <v>978</v>
      </c>
      <c r="I9" s="11" t="s">
        <v>36</v>
      </c>
      <c r="J9" s="11"/>
      <c r="K9" s="11" t="s">
        <v>36</v>
      </c>
      <c r="L9" s="3"/>
    </row>
    <row r="10" spans="1:12" x14ac:dyDescent="0.4">
      <c r="A10" s="12">
        <f t="shared" si="0"/>
        <v>5</v>
      </c>
      <c r="B10" s="16"/>
      <c r="C10" s="17"/>
      <c r="D10" s="13" t="s">
        <v>1446</v>
      </c>
      <c r="E10" s="13"/>
      <c r="F10" s="13"/>
      <c r="G10" s="13"/>
      <c r="H10" s="3" t="s">
        <v>979</v>
      </c>
      <c r="I10" s="11" t="s">
        <v>36</v>
      </c>
      <c r="J10" s="11"/>
      <c r="K10" s="11" t="s">
        <v>36</v>
      </c>
      <c r="L10" s="3"/>
    </row>
    <row r="11" spans="1:12" x14ac:dyDescent="0.4">
      <c r="A11" s="12">
        <f t="shared" si="0"/>
        <v>6</v>
      </c>
      <c r="B11" s="16"/>
      <c r="C11" s="12" t="s">
        <v>1447</v>
      </c>
      <c r="D11" s="13"/>
      <c r="E11" s="13"/>
      <c r="F11" s="13"/>
      <c r="G11" s="13"/>
      <c r="H11" s="3" t="s">
        <v>980</v>
      </c>
      <c r="I11" s="11" t="s">
        <v>36</v>
      </c>
      <c r="J11" s="11"/>
      <c r="K11" s="11" t="s">
        <v>36</v>
      </c>
      <c r="L11" s="3"/>
    </row>
    <row r="12" spans="1:12" x14ac:dyDescent="0.4">
      <c r="A12" s="12">
        <f t="shared" si="0"/>
        <v>7</v>
      </c>
      <c r="B12" s="16"/>
      <c r="C12" s="12" t="s">
        <v>1448</v>
      </c>
      <c r="D12" s="13"/>
      <c r="E12" s="13"/>
      <c r="F12" s="13"/>
      <c r="G12" s="13"/>
      <c r="H12" s="3" t="s">
        <v>981</v>
      </c>
      <c r="I12" s="11" t="s">
        <v>36</v>
      </c>
      <c r="J12" s="11"/>
      <c r="K12" s="11" t="s">
        <v>36</v>
      </c>
      <c r="L12" s="3"/>
    </row>
    <row r="13" spans="1:12" x14ac:dyDescent="0.4">
      <c r="A13" s="12">
        <f t="shared" si="0"/>
        <v>8</v>
      </c>
      <c r="B13" s="16"/>
      <c r="C13" s="15" t="s">
        <v>1449</v>
      </c>
      <c r="D13" s="9"/>
      <c r="E13" s="9"/>
      <c r="F13" s="9"/>
      <c r="G13" s="9"/>
      <c r="H13" s="8" t="s">
        <v>982</v>
      </c>
      <c r="I13" s="2" t="s">
        <v>36</v>
      </c>
      <c r="J13" s="2"/>
      <c r="K13" s="2" t="s">
        <v>36</v>
      </c>
      <c r="L13" s="8"/>
    </row>
    <row r="14" spans="1:12" x14ac:dyDescent="0.4">
      <c r="A14" s="12">
        <f t="shared" si="0"/>
        <v>9</v>
      </c>
      <c r="B14" s="16"/>
      <c r="C14" s="16"/>
      <c r="D14" s="13" t="s">
        <v>895</v>
      </c>
      <c r="E14" s="13"/>
      <c r="F14" s="13"/>
      <c r="G14" s="13"/>
      <c r="H14" s="3" t="s">
        <v>983</v>
      </c>
      <c r="I14" s="11" t="s">
        <v>36</v>
      </c>
      <c r="J14" s="11"/>
      <c r="K14" s="11" t="s">
        <v>36</v>
      </c>
      <c r="L14" s="3"/>
    </row>
    <row r="15" spans="1:12" x14ac:dyDescent="0.4">
      <c r="A15" s="12">
        <f t="shared" si="0"/>
        <v>10</v>
      </c>
      <c r="B15" s="16"/>
      <c r="C15" s="16"/>
      <c r="D15" s="13" t="s">
        <v>1450</v>
      </c>
      <c r="E15" s="13"/>
      <c r="F15" s="13"/>
      <c r="G15" s="13"/>
      <c r="H15" s="3" t="s">
        <v>984</v>
      </c>
      <c r="I15" s="11" t="s">
        <v>36</v>
      </c>
      <c r="J15" s="11"/>
      <c r="K15" s="11" t="s">
        <v>36</v>
      </c>
      <c r="L15" s="3"/>
    </row>
    <row r="16" spans="1:12" x14ac:dyDescent="0.4">
      <c r="A16" s="12">
        <f t="shared" si="0"/>
        <v>11</v>
      </c>
      <c r="B16" s="16"/>
      <c r="C16" s="16"/>
      <c r="D16" s="13" t="s">
        <v>1451</v>
      </c>
      <c r="E16" s="13"/>
      <c r="F16" s="13"/>
      <c r="G16" s="13"/>
      <c r="H16" s="3" t="s">
        <v>985</v>
      </c>
      <c r="I16" s="11" t="s">
        <v>36</v>
      </c>
      <c r="J16" s="11"/>
      <c r="K16" s="11" t="s">
        <v>36</v>
      </c>
      <c r="L16" s="3"/>
    </row>
    <row r="17" spans="1:12" x14ac:dyDescent="0.4">
      <c r="A17" s="12">
        <f t="shared" si="0"/>
        <v>12</v>
      </c>
      <c r="B17" s="16"/>
      <c r="C17" s="16"/>
      <c r="D17" s="13" t="s">
        <v>896</v>
      </c>
      <c r="E17" s="13"/>
      <c r="F17" s="13"/>
      <c r="G17" s="13"/>
      <c r="H17" s="3" t="s">
        <v>986</v>
      </c>
      <c r="I17" s="11" t="s">
        <v>36</v>
      </c>
      <c r="J17" s="11"/>
      <c r="K17" s="11" t="s">
        <v>36</v>
      </c>
      <c r="L17" s="3"/>
    </row>
    <row r="18" spans="1:12" x14ac:dyDescent="0.4">
      <c r="A18" s="12">
        <f t="shared" si="0"/>
        <v>13</v>
      </c>
      <c r="B18" s="16"/>
      <c r="C18" s="16"/>
      <c r="D18" s="13" t="s">
        <v>1452</v>
      </c>
      <c r="E18" s="13"/>
      <c r="F18" s="13"/>
      <c r="G18" s="13"/>
      <c r="H18" s="3" t="s">
        <v>987</v>
      </c>
      <c r="I18" s="11" t="s">
        <v>36</v>
      </c>
      <c r="J18" s="11"/>
      <c r="K18" s="11" t="s">
        <v>36</v>
      </c>
      <c r="L18" s="3"/>
    </row>
    <row r="19" spans="1:12" x14ac:dyDescent="0.4">
      <c r="A19" s="12">
        <f t="shared" si="0"/>
        <v>14</v>
      </c>
      <c r="B19" s="16"/>
      <c r="C19" s="17"/>
      <c r="D19" s="13" t="s">
        <v>1453</v>
      </c>
      <c r="E19" s="13"/>
      <c r="F19" s="13"/>
      <c r="G19" s="13"/>
      <c r="H19" s="3" t="s">
        <v>988</v>
      </c>
      <c r="I19" s="11" t="s">
        <v>36</v>
      </c>
      <c r="J19" s="11"/>
      <c r="K19" s="11" t="s">
        <v>36</v>
      </c>
      <c r="L19" s="3"/>
    </row>
    <row r="20" spans="1:12" x14ac:dyDescent="0.4">
      <c r="A20" s="12">
        <f t="shared" si="0"/>
        <v>15</v>
      </c>
      <c r="B20" s="16"/>
      <c r="C20" s="12" t="s">
        <v>1454</v>
      </c>
      <c r="D20" s="13"/>
      <c r="E20" s="13"/>
      <c r="F20" s="13"/>
      <c r="G20" s="13"/>
      <c r="H20" s="3" t="s">
        <v>989</v>
      </c>
      <c r="I20" s="11" t="s">
        <v>36</v>
      </c>
      <c r="J20" s="11"/>
      <c r="K20" s="11" t="s">
        <v>36</v>
      </c>
      <c r="L20" s="3"/>
    </row>
    <row r="21" spans="1:12" x14ac:dyDescent="0.4">
      <c r="A21" s="12">
        <f t="shared" si="0"/>
        <v>16</v>
      </c>
      <c r="B21" s="16"/>
      <c r="C21" s="12" t="s">
        <v>1455</v>
      </c>
      <c r="D21" s="13"/>
      <c r="E21" s="13"/>
      <c r="F21" s="13"/>
      <c r="G21" s="13"/>
      <c r="H21" s="3" t="s">
        <v>990</v>
      </c>
      <c r="I21" s="11" t="s">
        <v>36</v>
      </c>
      <c r="J21" s="11"/>
      <c r="K21" s="11" t="s">
        <v>36</v>
      </c>
      <c r="L21" s="3"/>
    </row>
    <row r="22" spans="1:12" x14ac:dyDescent="0.4">
      <c r="A22" s="12">
        <f t="shared" si="0"/>
        <v>17</v>
      </c>
      <c r="B22" s="16"/>
      <c r="C22" s="12" t="s">
        <v>1456</v>
      </c>
      <c r="D22" s="13"/>
      <c r="E22" s="13"/>
      <c r="F22" s="13"/>
      <c r="G22" s="13"/>
      <c r="H22" s="3" t="s">
        <v>991</v>
      </c>
      <c r="I22" s="11" t="s">
        <v>36</v>
      </c>
      <c r="J22" s="11"/>
      <c r="K22" s="11" t="s">
        <v>36</v>
      </c>
      <c r="L22" s="3"/>
    </row>
    <row r="23" spans="1:12" x14ac:dyDescent="0.4">
      <c r="A23" s="12">
        <f t="shared" si="0"/>
        <v>18</v>
      </c>
      <c r="B23" s="16"/>
      <c r="C23" s="12" t="s">
        <v>1457</v>
      </c>
      <c r="D23" s="13"/>
      <c r="E23" s="13"/>
      <c r="F23" s="13"/>
      <c r="G23" s="13"/>
      <c r="H23" s="3" t="s">
        <v>992</v>
      </c>
      <c r="I23" s="11" t="s">
        <v>36</v>
      </c>
      <c r="J23" s="11"/>
      <c r="K23" s="11" t="s">
        <v>36</v>
      </c>
      <c r="L23" s="3"/>
    </row>
    <row r="24" spans="1:12" x14ac:dyDescent="0.4">
      <c r="A24" s="12">
        <f t="shared" si="0"/>
        <v>19</v>
      </c>
      <c r="B24" s="16"/>
      <c r="C24" s="12" t="s">
        <v>897</v>
      </c>
      <c r="D24" s="13"/>
      <c r="E24" s="13"/>
      <c r="F24" s="13"/>
      <c r="G24" s="13"/>
      <c r="H24" s="3" t="s">
        <v>897</v>
      </c>
      <c r="I24" s="11" t="s">
        <v>36</v>
      </c>
      <c r="J24" s="11"/>
      <c r="K24" s="11" t="s">
        <v>36</v>
      </c>
      <c r="L24" s="3"/>
    </row>
    <row r="25" spans="1:12" x14ac:dyDescent="0.4">
      <c r="A25" s="12">
        <f t="shared" si="0"/>
        <v>20</v>
      </c>
      <c r="B25" s="16"/>
      <c r="C25" s="15" t="s">
        <v>1458</v>
      </c>
      <c r="D25" s="9"/>
      <c r="E25" s="9"/>
      <c r="F25" s="9"/>
      <c r="G25" s="9"/>
      <c r="H25" s="8" t="s">
        <v>993</v>
      </c>
      <c r="I25" s="2" t="s">
        <v>36</v>
      </c>
      <c r="J25" s="2"/>
      <c r="K25" s="2" t="s">
        <v>36</v>
      </c>
      <c r="L25" s="8"/>
    </row>
    <row r="26" spans="1:12" x14ac:dyDescent="0.4">
      <c r="A26" s="12">
        <f t="shared" si="0"/>
        <v>21</v>
      </c>
      <c r="B26" s="16"/>
      <c r="C26" s="16"/>
      <c r="D26" s="27" t="s">
        <v>1459</v>
      </c>
      <c r="E26" s="9"/>
      <c r="F26" s="9"/>
      <c r="G26" s="9"/>
      <c r="H26" s="8" t="s">
        <v>994</v>
      </c>
      <c r="I26" s="2" t="s">
        <v>36</v>
      </c>
      <c r="J26" s="2"/>
      <c r="K26" s="2" t="s">
        <v>36</v>
      </c>
      <c r="L26" s="8"/>
    </row>
    <row r="27" spans="1:12" x14ac:dyDescent="0.4">
      <c r="A27" s="12">
        <f t="shared" si="0"/>
        <v>22</v>
      </c>
      <c r="B27" s="16"/>
      <c r="C27" s="21"/>
      <c r="D27" s="16"/>
      <c r="E27" s="27" t="s">
        <v>898</v>
      </c>
      <c r="F27" s="9"/>
      <c r="G27" s="9"/>
      <c r="H27" s="8" t="s">
        <v>995</v>
      </c>
      <c r="I27" s="2" t="s">
        <v>36</v>
      </c>
      <c r="J27" s="2"/>
      <c r="K27" s="2" t="s">
        <v>36</v>
      </c>
      <c r="L27" s="8"/>
    </row>
    <row r="28" spans="1:12" x14ac:dyDescent="0.4">
      <c r="A28" s="12">
        <f t="shared" si="0"/>
        <v>23</v>
      </c>
      <c r="B28" s="16"/>
      <c r="C28" s="16"/>
      <c r="D28" s="16"/>
      <c r="E28" s="16"/>
      <c r="F28" s="13" t="s">
        <v>1460</v>
      </c>
      <c r="G28" s="13"/>
      <c r="H28" s="3" t="s">
        <v>996</v>
      </c>
      <c r="I28" s="11" t="s">
        <v>36</v>
      </c>
      <c r="J28" s="11"/>
      <c r="K28" s="11" t="s">
        <v>36</v>
      </c>
      <c r="L28" s="3"/>
    </row>
    <row r="29" spans="1:12" x14ac:dyDescent="0.4">
      <c r="A29" s="12">
        <f t="shared" si="0"/>
        <v>24</v>
      </c>
      <c r="B29" s="16"/>
      <c r="C29" s="16"/>
      <c r="D29" s="16"/>
      <c r="E29" s="16"/>
      <c r="F29" s="13" t="s">
        <v>899</v>
      </c>
      <c r="G29" s="13"/>
      <c r="H29" s="3" t="s">
        <v>997</v>
      </c>
      <c r="I29" s="11" t="s">
        <v>36</v>
      </c>
      <c r="J29" s="11"/>
      <c r="K29" s="11" t="s">
        <v>36</v>
      </c>
      <c r="L29" s="3"/>
    </row>
    <row r="30" spans="1:12" x14ac:dyDescent="0.4">
      <c r="A30" s="12">
        <f t="shared" si="0"/>
        <v>25</v>
      </c>
      <c r="B30" s="16"/>
      <c r="C30" s="16"/>
      <c r="D30" s="16"/>
      <c r="E30" s="16"/>
      <c r="F30" s="13" t="s">
        <v>900</v>
      </c>
      <c r="G30" s="13"/>
      <c r="H30" s="3" t="s">
        <v>998</v>
      </c>
      <c r="I30" s="11" t="s">
        <v>36</v>
      </c>
      <c r="J30" s="11"/>
      <c r="K30" s="11" t="s">
        <v>36</v>
      </c>
      <c r="L30" s="3"/>
    </row>
    <row r="31" spans="1:12" x14ac:dyDescent="0.4">
      <c r="A31" s="12">
        <f t="shared" si="0"/>
        <v>26</v>
      </c>
      <c r="B31" s="16"/>
      <c r="C31" s="16"/>
      <c r="D31" s="16"/>
      <c r="E31" s="16"/>
      <c r="F31" s="13" t="s">
        <v>901</v>
      </c>
      <c r="G31" s="13"/>
      <c r="H31" s="3" t="s">
        <v>999</v>
      </c>
      <c r="I31" s="11" t="s">
        <v>36</v>
      </c>
      <c r="J31" s="11"/>
      <c r="K31" s="11" t="s">
        <v>36</v>
      </c>
      <c r="L31" s="3"/>
    </row>
    <row r="32" spans="1:12" x14ac:dyDescent="0.4">
      <c r="A32" s="12">
        <f t="shared" si="0"/>
        <v>27</v>
      </c>
      <c r="B32" s="16"/>
      <c r="C32" s="16"/>
      <c r="D32" s="16"/>
      <c r="E32" s="16"/>
      <c r="F32" s="13" t="s">
        <v>902</v>
      </c>
      <c r="G32" s="13"/>
      <c r="H32" s="3" t="s">
        <v>1000</v>
      </c>
      <c r="I32" s="11" t="s">
        <v>36</v>
      </c>
      <c r="J32" s="11"/>
      <c r="K32" s="11" t="s">
        <v>36</v>
      </c>
      <c r="L32" s="3"/>
    </row>
    <row r="33" spans="1:12" x14ac:dyDescent="0.4">
      <c r="A33" s="12">
        <f t="shared" si="0"/>
        <v>28</v>
      </c>
      <c r="B33" s="16"/>
      <c r="C33" s="16"/>
      <c r="D33" s="16"/>
      <c r="E33" s="17"/>
      <c r="F33" s="13" t="s">
        <v>903</v>
      </c>
      <c r="G33" s="13"/>
      <c r="H33" s="3" t="s">
        <v>1001</v>
      </c>
      <c r="I33" s="11" t="s">
        <v>36</v>
      </c>
      <c r="J33" s="11"/>
      <c r="K33" s="11" t="s">
        <v>36</v>
      </c>
      <c r="L33" s="3"/>
    </row>
    <row r="34" spans="1:12" x14ac:dyDescent="0.4">
      <c r="A34" s="12">
        <f t="shared" si="0"/>
        <v>29</v>
      </c>
      <c r="B34" s="16"/>
      <c r="C34" s="16"/>
      <c r="D34" s="16"/>
      <c r="E34" s="27" t="s">
        <v>904</v>
      </c>
      <c r="F34" s="9"/>
      <c r="G34" s="9"/>
      <c r="H34" s="8" t="s">
        <v>1002</v>
      </c>
      <c r="I34" s="2" t="s">
        <v>36</v>
      </c>
      <c r="J34" s="2"/>
      <c r="K34" s="2" t="s">
        <v>36</v>
      </c>
      <c r="L34" s="8"/>
    </row>
    <row r="35" spans="1:12" x14ac:dyDescent="0.4">
      <c r="A35" s="12">
        <f t="shared" si="0"/>
        <v>30</v>
      </c>
      <c r="B35" s="16"/>
      <c r="C35" s="16"/>
      <c r="D35" s="16"/>
      <c r="E35" s="16"/>
      <c r="F35" s="13" t="s">
        <v>1461</v>
      </c>
      <c r="G35" s="13"/>
      <c r="H35" s="3" t="s">
        <v>1003</v>
      </c>
      <c r="I35" s="11" t="s">
        <v>36</v>
      </c>
      <c r="J35" s="11"/>
      <c r="K35" s="11" t="s">
        <v>36</v>
      </c>
      <c r="L35" s="3"/>
    </row>
    <row r="36" spans="1:12" x14ac:dyDescent="0.4">
      <c r="A36" s="12">
        <f t="shared" si="0"/>
        <v>31</v>
      </c>
      <c r="B36" s="16"/>
      <c r="C36" s="16"/>
      <c r="D36" s="16"/>
      <c r="E36" s="16"/>
      <c r="F36" s="13" t="s">
        <v>905</v>
      </c>
      <c r="G36" s="13"/>
      <c r="H36" s="3" t="s">
        <v>1004</v>
      </c>
      <c r="I36" s="11" t="s">
        <v>36</v>
      </c>
      <c r="J36" s="11"/>
      <c r="K36" s="11" t="s">
        <v>36</v>
      </c>
      <c r="L36" s="3"/>
    </row>
    <row r="37" spans="1:12" x14ac:dyDescent="0.4">
      <c r="A37" s="12">
        <f t="shared" si="0"/>
        <v>32</v>
      </c>
      <c r="B37" s="16"/>
      <c r="C37" s="16"/>
      <c r="D37" s="16"/>
      <c r="E37" s="16"/>
      <c r="F37" s="13" t="s">
        <v>906</v>
      </c>
      <c r="G37" s="13"/>
      <c r="H37" s="3" t="s">
        <v>1005</v>
      </c>
      <c r="I37" s="11" t="s">
        <v>36</v>
      </c>
      <c r="J37" s="11"/>
      <c r="K37" s="11" t="s">
        <v>36</v>
      </c>
      <c r="L37" s="3"/>
    </row>
    <row r="38" spans="1:12" x14ac:dyDescent="0.4">
      <c r="A38" s="12">
        <f t="shared" si="0"/>
        <v>33</v>
      </c>
      <c r="B38" s="16"/>
      <c r="C38" s="16"/>
      <c r="D38" s="16"/>
      <c r="E38" s="16"/>
      <c r="F38" s="13" t="s">
        <v>1462</v>
      </c>
      <c r="G38" s="13"/>
      <c r="H38" s="3" t="s">
        <v>1006</v>
      </c>
      <c r="I38" s="11" t="s">
        <v>36</v>
      </c>
      <c r="J38" s="11"/>
      <c r="K38" s="11" t="s">
        <v>36</v>
      </c>
      <c r="L38" s="3"/>
    </row>
    <row r="39" spans="1:12" x14ac:dyDescent="0.4">
      <c r="A39" s="12">
        <f t="shared" si="0"/>
        <v>34</v>
      </c>
      <c r="B39" s="16"/>
      <c r="C39" s="16"/>
      <c r="D39" s="16"/>
      <c r="E39" s="16"/>
      <c r="F39" s="13" t="s">
        <v>907</v>
      </c>
      <c r="G39" s="13"/>
      <c r="H39" s="3" t="s">
        <v>1007</v>
      </c>
      <c r="I39" s="11" t="s">
        <v>36</v>
      </c>
      <c r="J39" s="11"/>
      <c r="K39" s="11" t="s">
        <v>36</v>
      </c>
      <c r="L39" s="3"/>
    </row>
    <row r="40" spans="1:12" x14ac:dyDescent="0.4">
      <c r="A40" s="12">
        <f t="shared" si="0"/>
        <v>35</v>
      </c>
      <c r="B40" s="16"/>
      <c r="C40" s="16"/>
      <c r="D40" s="16"/>
      <c r="E40" s="16"/>
      <c r="F40" s="13" t="s">
        <v>908</v>
      </c>
      <c r="G40" s="13"/>
      <c r="H40" s="3" t="s">
        <v>1008</v>
      </c>
      <c r="I40" s="11" t="s">
        <v>36</v>
      </c>
      <c r="J40" s="11"/>
      <c r="K40" s="11" t="s">
        <v>36</v>
      </c>
      <c r="L40" s="3"/>
    </row>
    <row r="41" spans="1:12" x14ac:dyDescent="0.4">
      <c r="A41" s="12">
        <f t="shared" si="0"/>
        <v>36</v>
      </c>
      <c r="B41" s="16"/>
      <c r="C41" s="16"/>
      <c r="D41" s="16"/>
      <c r="E41" s="16"/>
      <c r="F41" s="13" t="s">
        <v>909</v>
      </c>
      <c r="G41" s="13"/>
      <c r="H41" s="3" t="s">
        <v>1009</v>
      </c>
      <c r="I41" s="11" t="s">
        <v>36</v>
      </c>
      <c r="J41" s="11"/>
      <c r="K41" s="11" t="s">
        <v>36</v>
      </c>
      <c r="L41" s="3"/>
    </row>
    <row r="42" spans="1:12" x14ac:dyDescent="0.4">
      <c r="A42" s="12">
        <f t="shared" si="0"/>
        <v>37</v>
      </c>
      <c r="B42" s="16"/>
      <c r="C42" s="16"/>
      <c r="D42" s="16"/>
      <c r="E42" s="16"/>
      <c r="F42" s="13" t="s">
        <v>910</v>
      </c>
      <c r="G42" s="13"/>
      <c r="H42" s="3" t="s">
        <v>1010</v>
      </c>
      <c r="I42" s="11" t="s">
        <v>36</v>
      </c>
      <c r="J42" s="11"/>
      <c r="K42" s="11" t="s">
        <v>36</v>
      </c>
      <c r="L42" s="3"/>
    </row>
    <row r="43" spans="1:12" x14ac:dyDescent="0.4">
      <c r="A43" s="12">
        <f t="shared" si="0"/>
        <v>38</v>
      </c>
      <c r="B43" s="16"/>
      <c r="C43" s="16"/>
      <c r="D43" s="16"/>
      <c r="E43" s="16"/>
      <c r="F43" s="13" t="s">
        <v>911</v>
      </c>
      <c r="G43" s="13"/>
      <c r="H43" s="3" t="s">
        <v>1011</v>
      </c>
      <c r="I43" s="11" t="s">
        <v>36</v>
      </c>
      <c r="J43" s="11"/>
      <c r="K43" s="11" t="s">
        <v>36</v>
      </c>
      <c r="L43" s="3"/>
    </row>
    <row r="44" spans="1:12" x14ac:dyDescent="0.4">
      <c r="A44" s="12">
        <f t="shared" si="0"/>
        <v>39</v>
      </c>
      <c r="B44" s="16"/>
      <c r="C44" s="16"/>
      <c r="D44" s="16"/>
      <c r="E44" s="15" t="s">
        <v>1241</v>
      </c>
      <c r="F44" s="9"/>
      <c r="G44" s="9"/>
      <c r="H44" s="8" t="s">
        <v>1012</v>
      </c>
      <c r="I44" s="2" t="s">
        <v>36</v>
      </c>
      <c r="J44" s="2"/>
      <c r="K44" s="2" t="s">
        <v>36</v>
      </c>
      <c r="L44" s="8"/>
    </row>
    <row r="45" spans="1:12" x14ac:dyDescent="0.4">
      <c r="A45" s="12">
        <f t="shared" si="0"/>
        <v>40</v>
      </c>
      <c r="B45" s="16"/>
      <c r="C45" s="16"/>
      <c r="D45" s="16"/>
      <c r="E45" s="16"/>
      <c r="F45" s="13" t="s">
        <v>912</v>
      </c>
      <c r="G45" s="13"/>
      <c r="H45" s="3" t="s">
        <v>1013</v>
      </c>
      <c r="I45" s="11" t="s">
        <v>36</v>
      </c>
      <c r="J45" s="11"/>
      <c r="K45" s="11" t="s">
        <v>36</v>
      </c>
      <c r="L45" s="3"/>
    </row>
    <row r="46" spans="1:12" x14ac:dyDescent="0.4">
      <c r="A46" s="12">
        <f t="shared" si="0"/>
        <v>41</v>
      </c>
      <c r="B46" s="16"/>
      <c r="C46" s="16"/>
      <c r="D46" s="16"/>
      <c r="E46" s="17"/>
      <c r="F46" s="13" t="s">
        <v>913</v>
      </c>
      <c r="G46" s="13"/>
      <c r="H46" s="3" t="s">
        <v>1014</v>
      </c>
      <c r="I46" s="11" t="s">
        <v>36</v>
      </c>
      <c r="J46" s="11"/>
      <c r="K46" s="11" t="s">
        <v>36</v>
      </c>
      <c r="L46" s="3"/>
    </row>
    <row r="47" spans="1:12" x14ac:dyDescent="0.4">
      <c r="A47" s="12">
        <f t="shared" si="0"/>
        <v>42</v>
      </c>
      <c r="B47" s="16"/>
      <c r="C47" s="16"/>
      <c r="D47" s="16"/>
      <c r="E47" s="27" t="s">
        <v>914</v>
      </c>
      <c r="F47" s="9"/>
      <c r="G47" s="9"/>
      <c r="H47" s="8" t="s">
        <v>1015</v>
      </c>
      <c r="I47" s="2" t="s">
        <v>36</v>
      </c>
      <c r="J47" s="2"/>
      <c r="K47" s="2" t="s">
        <v>36</v>
      </c>
      <c r="L47" s="8"/>
    </row>
    <row r="48" spans="1:12" x14ac:dyDescent="0.4">
      <c r="A48" s="12">
        <f t="shared" si="0"/>
        <v>43</v>
      </c>
      <c r="B48" s="16"/>
      <c r="C48" s="16"/>
      <c r="D48" s="16"/>
      <c r="E48" s="28"/>
      <c r="F48" s="13" t="s">
        <v>915</v>
      </c>
      <c r="G48" s="13"/>
      <c r="H48" s="3" t="s">
        <v>1016</v>
      </c>
      <c r="I48" s="11" t="s">
        <v>36</v>
      </c>
      <c r="J48" s="11"/>
      <c r="K48" s="11" t="s">
        <v>36</v>
      </c>
      <c r="L48" s="3"/>
    </row>
    <row r="49" spans="1:12" x14ac:dyDescent="0.4">
      <c r="A49" s="12">
        <f t="shared" si="0"/>
        <v>44</v>
      </c>
      <c r="B49" s="16"/>
      <c r="C49" s="16"/>
      <c r="D49" s="16"/>
      <c r="E49" s="28"/>
      <c r="F49" s="13" t="s">
        <v>916</v>
      </c>
      <c r="G49" s="13"/>
      <c r="H49" s="3" t="s">
        <v>1017</v>
      </c>
      <c r="I49" s="11" t="s">
        <v>36</v>
      </c>
      <c r="J49" s="11"/>
      <c r="K49" s="11" t="s">
        <v>36</v>
      </c>
      <c r="L49" s="3"/>
    </row>
    <row r="50" spans="1:12" x14ac:dyDescent="0.4">
      <c r="A50" s="12">
        <f t="shared" si="0"/>
        <v>45</v>
      </c>
      <c r="B50" s="16"/>
      <c r="C50" s="16"/>
      <c r="D50" s="16"/>
      <c r="E50" s="28"/>
      <c r="F50" s="13" t="s">
        <v>917</v>
      </c>
      <c r="G50" s="13"/>
      <c r="H50" s="3" t="s">
        <v>1018</v>
      </c>
      <c r="I50" s="11" t="s">
        <v>36</v>
      </c>
      <c r="J50" s="11"/>
      <c r="K50" s="11" t="s">
        <v>36</v>
      </c>
      <c r="L50" s="3"/>
    </row>
    <row r="51" spans="1:12" x14ac:dyDescent="0.4">
      <c r="A51" s="12">
        <f t="shared" si="0"/>
        <v>46</v>
      </c>
      <c r="B51" s="16"/>
      <c r="C51" s="16"/>
      <c r="D51" s="16"/>
      <c r="E51" s="28"/>
      <c r="F51" s="13" t="s">
        <v>1463</v>
      </c>
      <c r="G51" s="13"/>
      <c r="H51" s="3" t="s">
        <v>1019</v>
      </c>
      <c r="I51" s="11" t="s">
        <v>36</v>
      </c>
      <c r="J51" s="11"/>
      <c r="K51" s="11" t="s">
        <v>36</v>
      </c>
      <c r="L51" s="3"/>
    </row>
    <row r="52" spans="1:12" x14ac:dyDescent="0.4">
      <c r="A52" s="12">
        <f t="shared" si="0"/>
        <v>47</v>
      </c>
      <c r="B52" s="16"/>
      <c r="C52" s="16"/>
      <c r="D52" s="16"/>
      <c r="E52" s="28"/>
      <c r="F52" s="13" t="s">
        <v>1464</v>
      </c>
      <c r="G52" s="13"/>
      <c r="H52" s="3" t="s">
        <v>1020</v>
      </c>
      <c r="I52" s="11" t="s">
        <v>36</v>
      </c>
      <c r="J52" s="11"/>
      <c r="K52" s="11" t="s">
        <v>36</v>
      </c>
      <c r="L52" s="3"/>
    </row>
    <row r="53" spans="1:12" x14ac:dyDescent="0.4">
      <c r="A53" s="12">
        <f t="shared" si="0"/>
        <v>48</v>
      </c>
      <c r="B53" s="16"/>
      <c r="C53" s="16"/>
      <c r="D53" s="16"/>
      <c r="E53" s="29"/>
      <c r="F53" s="13" t="s">
        <v>918</v>
      </c>
      <c r="G53" s="13"/>
      <c r="H53" s="3" t="s">
        <v>1021</v>
      </c>
      <c r="I53" s="11" t="s">
        <v>36</v>
      </c>
      <c r="J53" s="11"/>
      <c r="K53" s="11" t="s">
        <v>36</v>
      </c>
      <c r="L53" s="3"/>
    </row>
    <row r="54" spans="1:12" x14ac:dyDescent="0.4">
      <c r="A54" s="12">
        <f t="shared" si="0"/>
        <v>49</v>
      </c>
      <c r="B54" s="16"/>
      <c r="C54" s="16"/>
      <c r="D54" s="16"/>
      <c r="E54" s="21" t="s">
        <v>1465</v>
      </c>
      <c r="F54" s="9"/>
      <c r="G54" s="9"/>
      <c r="H54" s="8" t="s">
        <v>1022</v>
      </c>
      <c r="I54" s="2" t="s">
        <v>36</v>
      </c>
      <c r="J54" s="2"/>
      <c r="K54" s="2" t="s">
        <v>36</v>
      </c>
      <c r="L54" s="8"/>
    </row>
    <row r="55" spans="1:12" x14ac:dyDescent="0.4">
      <c r="A55" s="12">
        <f t="shared" si="0"/>
        <v>50</v>
      </c>
      <c r="B55" s="16"/>
      <c r="C55" s="16"/>
      <c r="D55" s="16"/>
      <c r="E55" s="16"/>
      <c r="F55" s="13" t="s">
        <v>919</v>
      </c>
      <c r="G55" s="13"/>
      <c r="H55" s="3" t="s">
        <v>1023</v>
      </c>
      <c r="I55" s="11" t="s">
        <v>36</v>
      </c>
      <c r="J55" s="11"/>
      <c r="K55" s="11" t="s">
        <v>36</v>
      </c>
      <c r="L55" s="3"/>
    </row>
    <row r="56" spans="1:12" x14ac:dyDescent="0.4">
      <c r="A56" s="12">
        <f t="shared" si="0"/>
        <v>51</v>
      </c>
      <c r="B56" s="16"/>
      <c r="C56" s="16"/>
      <c r="D56" s="16"/>
      <c r="E56" s="16"/>
      <c r="F56" s="13" t="s">
        <v>2513</v>
      </c>
      <c r="G56" s="13"/>
      <c r="H56" s="3" t="s">
        <v>1024</v>
      </c>
      <c r="I56" s="11" t="s">
        <v>36</v>
      </c>
      <c r="J56" s="11"/>
      <c r="K56" s="11" t="s">
        <v>36</v>
      </c>
      <c r="L56" s="3"/>
    </row>
    <row r="57" spans="1:12" x14ac:dyDescent="0.4">
      <c r="A57" s="12">
        <f t="shared" si="0"/>
        <v>52</v>
      </c>
      <c r="B57" s="16"/>
      <c r="C57" s="16"/>
      <c r="D57" s="16"/>
      <c r="E57" s="16"/>
      <c r="F57" s="13" t="s">
        <v>920</v>
      </c>
      <c r="G57" s="13"/>
      <c r="H57" s="3" t="s">
        <v>1025</v>
      </c>
      <c r="I57" s="11" t="s">
        <v>36</v>
      </c>
      <c r="J57" s="11"/>
      <c r="K57" s="11" t="s">
        <v>36</v>
      </c>
      <c r="L57" s="3"/>
    </row>
    <row r="58" spans="1:12" x14ac:dyDescent="0.4">
      <c r="A58" s="12">
        <f t="shared" si="0"/>
        <v>53</v>
      </c>
      <c r="B58" s="16"/>
      <c r="C58" s="16"/>
      <c r="D58" s="16"/>
      <c r="E58" s="16"/>
      <c r="F58" s="13" t="s">
        <v>921</v>
      </c>
      <c r="G58" s="13"/>
      <c r="H58" s="3" t="s">
        <v>1026</v>
      </c>
      <c r="I58" s="11" t="s">
        <v>36</v>
      </c>
      <c r="J58" s="11"/>
      <c r="K58" s="11" t="s">
        <v>36</v>
      </c>
      <c r="L58" s="3"/>
    </row>
    <row r="59" spans="1:12" x14ac:dyDescent="0.4">
      <c r="A59" s="12">
        <f t="shared" si="0"/>
        <v>54</v>
      </c>
      <c r="B59" s="16"/>
      <c r="C59" s="16"/>
      <c r="D59" s="16"/>
      <c r="E59" s="16"/>
      <c r="F59" s="13" t="s">
        <v>922</v>
      </c>
      <c r="G59" s="13"/>
      <c r="H59" s="3" t="s">
        <v>1027</v>
      </c>
      <c r="I59" s="11" t="s">
        <v>36</v>
      </c>
      <c r="J59" s="11"/>
      <c r="K59" s="11" t="s">
        <v>36</v>
      </c>
      <c r="L59" s="3"/>
    </row>
    <row r="60" spans="1:12" x14ac:dyDescent="0.4">
      <c r="A60" s="12">
        <f t="shared" si="0"/>
        <v>55</v>
      </c>
      <c r="B60" s="16"/>
      <c r="C60" s="16"/>
      <c r="D60" s="16"/>
      <c r="E60" s="16"/>
      <c r="F60" s="13" t="s">
        <v>2514</v>
      </c>
      <c r="G60" s="13"/>
      <c r="H60" s="3" t="s">
        <v>1028</v>
      </c>
      <c r="I60" s="11" t="s">
        <v>36</v>
      </c>
      <c r="J60" s="11"/>
      <c r="K60" s="11" t="s">
        <v>36</v>
      </c>
      <c r="L60" s="3"/>
    </row>
    <row r="61" spans="1:12" x14ac:dyDescent="0.4">
      <c r="A61" s="12">
        <f t="shared" si="0"/>
        <v>56</v>
      </c>
      <c r="B61" s="16"/>
      <c r="C61" s="16"/>
      <c r="D61" s="16"/>
      <c r="E61" s="16"/>
      <c r="F61" s="13" t="s">
        <v>924</v>
      </c>
      <c r="G61" s="13"/>
      <c r="H61" s="3" t="s">
        <v>1029</v>
      </c>
      <c r="I61" s="11" t="s">
        <v>36</v>
      </c>
      <c r="J61" s="11"/>
      <c r="K61" s="11" t="s">
        <v>36</v>
      </c>
      <c r="L61" s="3"/>
    </row>
    <row r="62" spans="1:12" x14ac:dyDescent="0.4">
      <c r="A62" s="12">
        <f t="shared" si="0"/>
        <v>57</v>
      </c>
      <c r="B62" s="16"/>
      <c r="C62" s="16"/>
      <c r="D62" s="16"/>
      <c r="E62" s="16"/>
      <c r="F62" s="13" t="s">
        <v>1466</v>
      </c>
      <c r="G62" s="13"/>
      <c r="H62" s="3" t="s">
        <v>1030</v>
      </c>
      <c r="I62" s="11" t="s">
        <v>36</v>
      </c>
      <c r="J62" s="11"/>
      <c r="K62" s="11" t="s">
        <v>36</v>
      </c>
      <c r="L62" s="3"/>
    </row>
    <row r="63" spans="1:12" x14ac:dyDescent="0.4">
      <c r="A63" s="12">
        <f t="shared" si="0"/>
        <v>58</v>
      </c>
      <c r="B63" s="16"/>
      <c r="C63" s="16"/>
      <c r="D63" s="16"/>
      <c r="E63" s="16"/>
      <c r="F63" s="13" t="s">
        <v>925</v>
      </c>
      <c r="G63" s="13"/>
      <c r="H63" s="3" t="s">
        <v>1031</v>
      </c>
      <c r="I63" s="11" t="s">
        <v>36</v>
      </c>
      <c r="J63" s="11"/>
      <c r="K63" s="11" t="s">
        <v>36</v>
      </c>
      <c r="L63" s="3"/>
    </row>
    <row r="64" spans="1:12" x14ac:dyDescent="0.4">
      <c r="A64" s="12">
        <f t="shared" si="0"/>
        <v>59</v>
      </c>
      <c r="B64" s="16"/>
      <c r="C64" s="16"/>
      <c r="D64" s="16"/>
      <c r="E64" s="16"/>
      <c r="F64" s="13" t="s">
        <v>926</v>
      </c>
      <c r="G64" s="13"/>
      <c r="H64" s="3" t="s">
        <v>1032</v>
      </c>
      <c r="I64" s="11" t="s">
        <v>36</v>
      </c>
      <c r="J64" s="11"/>
      <c r="K64" s="11" t="s">
        <v>36</v>
      </c>
      <c r="L64" s="3"/>
    </row>
    <row r="65" spans="1:12" x14ac:dyDescent="0.4">
      <c r="A65" s="12">
        <f t="shared" si="0"/>
        <v>60</v>
      </c>
      <c r="B65" s="16"/>
      <c r="C65" s="16"/>
      <c r="D65" s="17"/>
      <c r="E65" s="17"/>
      <c r="F65" s="13" t="s">
        <v>1467</v>
      </c>
      <c r="G65" s="13"/>
      <c r="H65" s="3" t="s">
        <v>1033</v>
      </c>
      <c r="I65" s="11" t="s">
        <v>36</v>
      </c>
      <c r="J65" s="11"/>
      <c r="K65" s="11" t="s">
        <v>36</v>
      </c>
      <c r="L65" s="3"/>
    </row>
    <row r="66" spans="1:12" x14ac:dyDescent="0.4">
      <c r="A66" s="12">
        <f t="shared" si="0"/>
        <v>61</v>
      </c>
      <c r="B66" s="16"/>
      <c r="C66" s="16"/>
      <c r="D66" s="15" t="s">
        <v>1468</v>
      </c>
      <c r="E66" s="33"/>
      <c r="F66" s="9"/>
      <c r="G66" s="9"/>
      <c r="H66" s="8" t="s">
        <v>1034</v>
      </c>
      <c r="I66" s="2" t="s">
        <v>36</v>
      </c>
      <c r="J66" s="2"/>
      <c r="K66" s="2" t="s">
        <v>36</v>
      </c>
      <c r="L66" s="8"/>
    </row>
    <row r="67" spans="1:12" x14ac:dyDescent="0.4">
      <c r="A67" s="12">
        <f t="shared" si="0"/>
        <v>62</v>
      </c>
      <c r="B67" s="16"/>
      <c r="C67" s="16"/>
      <c r="D67" s="16"/>
      <c r="E67" s="13" t="s">
        <v>1469</v>
      </c>
      <c r="F67" s="13"/>
      <c r="G67" s="13"/>
      <c r="H67" s="3" t="s">
        <v>1035</v>
      </c>
      <c r="I67" s="11" t="s">
        <v>36</v>
      </c>
      <c r="J67" s="11"/>
      <c r="K67" s="11" t="s">
        <v>36</v>
      </c>
      <c r="L67" s="3"/>
    </row>
    <row r="68" spans="1:12" x14ac:dyDescent="0.4">
      <c r="A68" s="12">
        <f t="shared" si="0"/>
        <v>63</v>
      </c>
      <c r="B68" s="16"/>
      <c r="C68" s="16"/>
      <c r="D68" s="17"/>
      <c r="E68" s="13" t="s">
        <v>927</v>
      </c>
      <c r="F68" s="13"/>
      <c r="G68" s="13"/>
      <c r="H68" s="3" t="s">
        <v>1036</v>
      </c>
      <c r="I68" s="11" t="s">
        <v>36</v>
      </c>
      <c r="J68" s="11"/>
      <c r="K68" s="11" t="s">
        <v>36</v>
      </c>
      <c r="L68" s="3"/>
    </row>
    <row r="69" spans="1:12" x14ac:dyDescent="0.4">
      <c r="A69" s="12">
        <f t="shared" si="0"/>
        <v>64</v>
      </c>
      <c r="B69" s="16"/>
      <c r="C69" s="16"/>
      <c r="D69" s="15" t="s">
        <v>1470</v>
      </c>
      <c r="E69" s="9"/>
      <c r="F69" s="9"/>
      <c r="G69" s="9"/>
      <c r="H69" s="8" t="s">
        <v>1037</v>
      </c>
      <c r="I69" s="2" t="s">
        <v>36</v>
      </c>
      <c r="J69" s="2"/>
      <c r="K69" s="2" t="s">
        <v>36</v>
      </c>
      <c r="L69" s="8"/>
    </row>
    <row r="70" spans="1:12" x14ac:dyDescent="0.4">
      <c r="A70" s="12">
        <f t="shared" si="0"/>
        <v>65</v>
      </c>
      <c r="B70" s="16"/>
      <c r="C70" s="16"/>
      <c r="D70" s="16"/>
      <c r="E70" s="13" t="s">
        <v>1471</v>
      </c>
      <c r="F70" s="13"/>
      <c r="G70" s="13"/>
      <c r="H70" s="3" t="s">
        <v>1038</v>
      </c>
      <c r="I70" s="11" t="s">
        <v>36</v>
      </c>
      <c r="J70" s="11"/>
      <c r="K70" s="11" t="s">
        <v>36</v>
      </c>
      <c r="L70" s="3"/>
    </row>
    <row r="71" spans="1:12" x14ac:dyDescent="0.4">
      <c r="A71" s="12">
        <f t="shared" si="0"/>
        <v>66</v>
      </c>
      <c r="B71" s="16"/>
      <c r="C71" s="16"/>
      <c r="D71" s="16"/>
      <c r="E71" s="27" t="s">
        <v>928</v>
      </c>
      <c r="F71" s="9"/>
      <c r="G71" s="9"/>
      <c r="H71" s="8" t="s">
        <v>1039</v>
      </c>
      <c r="I71" s="2" t="s">
        <v>36</v>
      </c>
      <c r="J71" s="2"/>
      <c r="K71" s="2" t="s">
        <v>36</v>
      </c>
      <c r="L71" s="8"/>
    </row>
    <row r="72" spans="1:12" x14ac:dyDescent="0.4">
      <c r="A72" s="12">
        <f t="shared" ref="A72:A137" si="1">A71+1</f>
        <v>67</v>
      </c>
      <c r="B72" s="16"/>
      <c r="C72" s="16"/>
      <c r="D72" s="16"/>
      <c r="E72" s="28"/>
      <c r="F72" s="13" t="s">
        <v>1472</v>
      </c>
      <c r="G72" s="13"/>
      <c r="H72" s="3" t="s">
        <v>1040</v>
      </c>
      <c r="I72" s="11" t="s">
        <v>36</v>
      </c>
      <c r="J72" s="11"/>
      <c r="K72" s="11" t="s">
        <v>36</v>
      </c>
      <c r="L72" s="3"/>
    </row>
    <row r="73" spans="1:12" x14ac:dyDescent="0.4">
      <c r="A73" s="12">
        <f t="shared" si="1"/>
        <v>68</v>
      </c>
      <c r="B73" s="16"/>
      <c r="C73" s="16"/>
      <c r="D73" s="16"/>
      <c r="E73" s="28"/>
      <c r="F73" s="13" t="s">
        <v>929</v>
      </c>
      <c r="G73" s="13"/>
      <c r="H73" s="3" t="s">
        <v>1041</v>
      </c>
      <c r="I73" s="11" t="s">
        <v>36</v>
      </c>
      <c r="J73" s="11"/>
      <c r="K73" s="11" t="s">
        <v>36</v>
      </c>
      <c r="L73" s="3"/>
    </row>
    <row r="74" spans="1:12" x14ac:dyDescent="0.4">
      <c r="A74" s="12">
        <f t="shared" si="1"/>
        <v>69</v>
      </c>
      <c r="B74" s="16"/>
      <c r="C74" s="16"/>
      <c r="D74" s="16"/>
      <c r="E74" s="28"/>
      <c r="F74" s="13" t="s">
        <v>1473</v>
      </c>
      <c r="G74" s="13"/>
      <c r="H74" s="3" t="s">
        <v>1042</v>
      </c>
      <c r="I74" s="11" t="s">
        <v>36</v>
      </c>
      <c r="J74" s="11"/>
      <c r="K74" s="11" t="s">
        <v>36</v>
      </c>
      <c r="L74" s="3"/>
    </row>
    <row r="75" spans="1:12" x14ac:dyDescent="0.4">
      <c r="A75" s="12">
        <f t="shared" si="1"/>
        <v>70</v>
      </c>
      <c r="B75" s="16"/>
      <c r="C75" s="16"/>
      <c r="D75" s="16"/>
      <c r="E75" s="29"/>
      <c r="F75" s="13" t="s">
        <v>1474</v>
      </c>
      <c r="G75" s="13"/>
      <c r="H75" s="3" t="s">
        <v>1043</v>
      </c>
      <c r="I75" s="11" t="s">
        <v>36</v>
      </c>
      <c r="J75" s="11"/>
      <c r="K75" s="11" t="s">
        <v>36</v>
      </c>
      <c r="L75" s="3"/>
    </row>
    <row r="76" spans="1:12" x14ac:dyDescent="0.4">
      <c r="A76" s="12">
        <f t="shared" si="1"/>
        <v>71</v>
      </c>
      <c r="B76" s="16"/>
      <c r="C76" s="16"/>
      <c r="D76" s="16"/>
      <c r="E76" s="13" t="s">
        <v>1475</v>
      </c>
      <c r="F76" s="13"/>
      <c r="G76" s="13"/>
      <c r="H76" s="3" t="s">
        <v>1044</v>
      </c>
      <c r="I76" s="11" t="s">
        <v>36</v>
      </c>
      <c r="J76" s="11"/>
      <c r="K76" s="11" t="s">
        <v>36</v>
      </c>
      <c r="L76" s="3"/>
    </row>
    <row r="77" spans="1:12" x14ac:dyDescent="0.4">
      <c r="A77" s="12">
        <f t="shared" si="1"/>
        <v>72</v>
      </c>
      <c r="B77" s="16"/>
      <c r="C77" s="17"/>
      <c r="D77" s="17"/>
      <c r="E77" s="13" t="s">
        <v>1476</v>
      </c>
      <c r="F77" s="13"/>
      <c r="G77" s="13"/>
      <c r="H77" s="3" t="s">
        <v>1045</v>
      </c>
      <c r="I77" s="11" t="s">
        <v>36</v>
      </c>
      <c r="J77" s="11"/>
      <c r="K77" s="11" t="s">
        <v>36</v>
      </c>
      <c r="L77" s="3"/>
    </row>
    <row r="78" spans="1:12" x14ac:dyDescent="0.4">
      <c r="A78" s="12">
        <f t="shared" si="1"/>
        <v>73</v>
      </c>
      <c r="B78" s="16"/>
      <c r="C78" s="15" t="s">
        <v>2515</v>
      </c>
      <c r="D78" s="9"/>
      <c r="E78" s="9"/>
      <c r="F78" s="9"/>
      <c r="G78" s="9"/>
      <c r="H78" s="8" t="s">
        <v>2518</v>
      </c>
      <c r="I78" s="2" t="s">
        <v>36</v>
      </c>
      <c r="J78" s="2"/>
      <c r="K78" s="2" t="s">
        <v>36</v>
      </c>
      <c r="L78" s="8"/>
    </row>
    <row r="79" spans="1:12" x14ac:dyDescent="0.4">
      <c r="A79" s="12">
        <f t="shared" si="1"/>
        <v>74</v>
      </c>
      <c r="B79" s="16"/>
      <c r="C79" s="16"/>
      <c r="D79" s="13" t="s">
        <v>2516</v>
      </c>
      <c r="E79" s="13"/>
      <c r="F79" s="13"/>
      <c r="G79" s="13"/>
      <c r="H79" s="3" t="s">
        <v>2519</v>
      </c>
      <c r="I79" s="11" t="s">
        <v>36</v>
      </c>
      <c r="J79" s="11"/>
      <c r="K79" s="11" t="s">
        <v>36</v>
      </c>
      <c r="L79" s="3"/>
    </row>
    <row r="80" spans="1:12" x14ac:dyDescent="0.4">
      <c r="A80" s="12">
        <f t="shared" si="1"/>
        <v>75</v>
      </c>
      <c r="B80" s="16"/>
      <c r="C80" s="16"/>
      <c r="D80" s="13" t="s">
        <v>2517</v>
      </c>
      <c r="E80" s="13"/>
      <c r="F80" s="13"/>
      <c r="G80" s="13"/>
      <c r="H80" s="3" t="s">
        <v>2520</v>
      </c>
      <c r="I80" s="11" t="s">
        <v>36</v>
      </c>
      <c r="J80" s="11"/>
      <c r="K80" s="11" t="s">
        <v>36</v>
      </c>
      <c r="L80" s="3"/>
    </row>
    <row r="81" spans="1:12" x14ac:dyDescent="0.4">
      <c r="A81" s="12">
        <f t="shared" si="1"/>
        <v>76</v>
      </c>
      <c r="B81" s="16"/>
      <c r="C81" s="15" t="s">
        <v>930</v>
      </c>
      <c r="D81" s="9"/>
      <c r="E81" s="9"/>
      <c r="F81" s="9"/>
      <c r="G81" s="9"/>
      <c r="H81" s="8" t="s">
        <v>1046</v>
      </c>
      <c r="I81" s="2" t="s">
        <v>36</v>
      </c>
      <c r="J81" s="2"/>
      <c r="K81" s="2" t="s">
        <v>36</v>
      </c>
      <c r="L81" s="8"/>
    </row>
    <row r="82" spans="1:12" x14ac:dyDescent="0.4">
      <c r="A82" s="12">
        <f t="shared" si="1"/>
        <v>77</v>
      </c>
      <c r="B82" s="16"/>
      <c r="C82" s="16"/>
      <c r="D82" s="13" t="s">
        <v>931</v>
      </c>
      <c r="E82" s="13"/>
      <c r="F82" s="13"/>
      <c r="G82" s="13"/>
      <c r="H82" s="3" t="s">
        <v>1047</v>
      </c>
      <c r="I82" s="11" t="s">
        <v>36</v>
      </c>
      <c r="J82" s="11"/>
      <c r="K82" s="11" t="s">
        <v>36</v>
      </c>
      <c r="L82" s="3"/>
    </row>
    <row r="83" spans="1:12" x14ac:dyDescent="0.4">
      <c r="A83" s="12">
        <f t="shared" si="1"/>
        <v>78</v>
      </c>
      <c r="B83" s="16"/>
      <c r="C83" s="16"/>
      <c r="D83" s="13" t="s">
        <v>932</v>
      </c>
      <c r="E83" s="13"/>
      <c r="F83" s="13"/>
      <c r="G83" s="13"/>
      <c r="H83" s="3" t="s">
        <v>1048</v>
      </c>
      <c r="I83" s="11" t="s">
        <v>36</v>
      </c>
      <c r="J83" s="11"/>
      <c r="K83" s="11" t="s">
        <v>36</v>
      </c>
      <c r="L83" s="3"/>
    </row>
    <row r="84" spans="1:12" x14ac:dyDescent="0.4">
      <c r="A84" s="12">
        <f t="shared" si="1"/>
        <v>79</v>
      </c>
      <c r="B84" s="16"/>
      <c r="C84" s="17"/>
      <c r="D84" s="13" t="s">
        <v>933</v>
      </c>
      <c r="E84" s="13"/>
      <c r="F84" s="13"/>
      <c r="G84" s="13"/>
      <c r="H84" s="3" t="s">
        <v>1049</v>
      </c>
      <c r="I84" s="11" t="s">
        <v>36</v>
      </c>
      <c r="J84" s="11"/>
      <c r="K84" s="11" t="s">
        <v>36</v>
      </c>
      <c r="L84" s="3"/>
    </row>
    <row r="85" spans="1:12" x14ac:dyDescent="0.4">
      <c r="A85" s="12">
        <f t="shared" si="1"/>
        <v>80</v>
      </c>
      <c r="B85" s="16"/>
      <c r="C85" s="15" t="s">
        <v>1477</v>
      </c>
      <c r="D85" s="9"/>
      <c r="E85" s="9"/>
      <c r="F85" s="9"/>
      <c r="G85" s="9"/>
      <c r="H85" s="8" t="s">
        <v>1050</v>
      </c>
      <c r="I85" s="2" t="s">
        <v>36</v>
      </c>
      <c r="J85" s="2"/>
      <c r="K85" s="2" t="s">
        <v>36</v>
      </c>
      <c r="L85" s="8"/>
    </row>
    <row r="86" spans="1:12" x14ac:dyDescent="0.4">
      <c r="A86" s="12">
        <f t="shared" si="1"/>
        <v>81</v>
      </c>
      <c r="B86" s="16"/>
      <c r="C86" s="16"/>
      <c r="D86" s="13" t="s">
        <v>1478</v>
      </c>
      <c r="E86" s="13"/>
      <c r="F86" s="13"/>
      <c r="G86" s="13"/>
      <c r="H86" s="3" t="s">
        <v>1051</v>
      </c>
      <c r="I86" s="11" t="s">
        <v>36</v>
      </c>
      <c r="J86" s="11"/>
      <c r="K86" s="11" t="s">
        <v>36</v>
      </c>
      <c r="L86" s="3"/>
    </row>
    <row r="87" spans="1:12" x14ac:dyDescent="0.4">
      <c r="A87" s="12">
        <f t="shared" si="1"/>
        <v>82</v>
      </c>
      <c r="B87" s="16"/>
      <c r="C87" s="17"/>
      <c r="D87" s="13" t="s">
        <v>1479</v>
      </c>
      <c r="E87" s="13"/>
      <c r="F87" s="13"/>
      <c r="G87" s="13"/>
      <c r="H87" s="3" t="s">
        <v>1052</v>
      </c>
      <c r="I87" s="11" t="s">
        <v>36</v>
      </c>
      <c r="J87" s="11"/>
      <c r="K87" s="11" t="s">
        <v>36</v>
      </c>
      <c r="L87" s="3"/>
    </row>
    <row r="88" spans="1:12" x14ac:dyDescent="0.4">
      <c r="A88" s="12">
        <f t="shared" si="1"/>
        <v>83</v>
      </c>
      <c r="B88" s="16"/>
      <c r="C88" s="12" t="s">
        <v>934</v>
      </c>
      <c r="D88" s="13"/>
      <c r="E88" s="13"/>
      <c r="F88" s="13"/>
      <c r="G88" s="13"/>
      <c r="H88" s="3" t="s">
        <v>1053</v>
      </c>
      <c r="I88" s="11" t="s">
        <v>36</v>
      </c>
      <c r="J88" s="11"/>
      <c r="K88" s="11" t="s">
        <v>36</v>
      </c>
      <c r="L88" s="3"/>
    </row>
    <row r="89" spans="1:12" x14ac:dyDescent="0.4">
      <c r="A89" s="12">
        <f t="shared" si="1"/>
        <v>84</v>
      </c>
      <c r="B89" s="16"/>
      <c r="C89" s="12" t="s">
        <v>1480</v>
      </c>
      <c r="D89" s="13"/>
      <c r="E89" s="13"/>
      <c r="F89" s="13"/>
      <c r="G89" s="13"/>
      <c r="H89" s="3" t="s">
        <v>1054</v>
      </c>
      <c r="I89" s="11" t="s">
        <v>36</v>
      </c>
      <c r="J89" s="11"/>
      <c r="K89" s="11" t="s">
        <v>36</v>
      </c>
      <c r="L89" s="3"/>
    </row>
    <row r="90" spans="1:12" x14ac:dyDescent="0.4">
      <c r="A90" s="12">
        <f t="shared" si="1"/>
        <v>85</v>
      </c>
      <c r="B90" s="16"/>
      <c r="C90" s="15" t="s">
        <v>1481</v>
      </c>
      <c r="D90" s="9"/>
      <c r="E90" s="9"/>
      <c r="F90" s="9"/>
      <c r="G90" s="9"/>
      <c r="H90" s="8" t="s">
        <v>1055</v>
      </c>
      <c r="I90" s="2" t="s">
        <v>20</v>
      </c>
      <c r="J90" s="2"/>
      <c r="K90" s="2" t="s">
        <v>20</v>
      </c>
      <c r="L90" s="8"/>
    </row>
    <row r="91" spans="1:12" x14ac:dyDescent="0.4">
      <c r="A91" s="12">
        <f t="shared" si="1"/>
        <v>86</v>
      </c>
      <c r="B91" s="16"/>
      <c r="C91" s="16"/>
      <c r="D91" s="27" t="s">
        <v>1482</v>
      </c>
      <c r="E91" s="9"/>
      <c r="F91" s="9"/>
      <c r="G91" s="9"/>
      <c r="H91" s="8" t="s">
        <v>1056</v>
      </c>
      <c r="I91" s="2" t="s">
        <v>36</v>
      </c>
      <c r="J91" s="2"/>
      <c r="K91" s="2" t="s">
        <v>36</v>
      </c>
      <c r="L91" s="8"/>
    </row>
    <row r="92" spans="1:12" x14ac:dyDescent="0.4">
      <c r="A92" s="12">
        <f t="shared" si="1"/>
        <v>87</v>
      </c>
      <c r="B92" s="16"/>
      <c r="C92" s="16"/>
      <c r="D92" s="16"/>
      <c r="E92" s="13" t="s">
        <v>1483</v>
      </c>
      <c r="F92" s="13"/>
      <c r="G92" s="13"/>
      <c r="H92" s="3" t="s">
        <v>1057</v>
      </c>
      <c r="I92" s="11" t="s">
        <v>36</v>
      </c>
      <c r="J92" s="11"/>
      <c r="K92" s="11" t="s">
        <v>36</v>
      </c>
      <c r="L92" s="3"/>
    </row>
    <row r="93" spans="1:12" x14ac:dyDescent="0.4">
      <c r="A93" s="12">
        <f t="shared" si="1"/>
        <v>88</v>
      </c>
      <c r="B93" s="16"/>
      <c r="C93" s="16"/>
      <c r="D93" s="16"/>
      <c r="E93" s="13" t="s">
        <v>1484</v>
      </c>
      <c r="F93" s="13"/>
      <c r="G93" s="13"/>
      <c r="H93" s="3" t="s">
        <v>1058</v>
      </c>
      <c r="I93" s="11" t="s">
        <v>36</v>
      </c>
      <c r="J93" s="11"/>
      <c r="K93" s="11" t="s">
        <v>36</v>
      </c>
      <c r="L93" s="3"/>
    </row>
    <row r="94" spans="1:12" x14ac:dyDescent="0.4">
      <c r="A94" s="12">
        <f t="shared" si="1"/>
        <v>89</v>
      </c>
      <c r="B94" s="16"/>
      <c r="C94" s="16"/>
      <c r="D94" s="16"/>
      <c r="E94" s="13" t="s">
        <v>935</v>
      </c>
      <c r="F94" s="13"/>
      <c r="G94" s="13"/>
      <c r="H94" s="3" t="s">
        <v>1059</v>
      </c>
      <c r="I94" s="11" t="s">
        <v>36</v>
      </c>
      <c r="J94" s="11"/>
      <c r="K94" s="11" t="s">
        <v>36</v>
      </c>
      <c r="L94" s="3"/>
    </row>
    <row r="95" spans="1:12" x14ac:dyDescent="0.4">
      <c r="A95" s="12">
        <f t="shared" si="1"/>
        <v>90</v>
      </c>
      <c r="B95" s="16"/>
      <c r="C95" s="16"/>
      <c r="D95" s="16"/>
      <c r="E95" s="13" t="s">
        <v>1485</v>
      </c>
      <c r="F95" s="13"/>
      <c r="G95" s="13"/>
      <c r="H95" s="3" t="s">
        <v>1060</v>
      </c>
      <c r="I95" s="11" t="s">
        <v>36</v>
      </c>
      <c r="J95" s="11"/>
      <c r="K95" s="11" t="s">
        <v>36</v>
      </c>
      <c r="L95" s="3"/>
    </row>
    <row r="96" spans="1:12" x14ac:dyDescent="0.4">
      <c r="A96" s="12">
        <f t="shared" si="1"/>
        <v>91</v>
      </c>
      <c r="B96" s="16"/>
      <c r="C96" s="16"/>
      <c r="D96" s="16"/>
      <c r="E96" s="13" t="s">
        <v>1486</v>
      </c>
      <c r="F96" s="13"/>
      <c r="G96" s="13"/>
      <c r="H96" s="3" t="s">
        <v>1061</v>
      </c>
      <c r="I96" s="11" t="s">
        <v>36</v>
      </c>
      <c r="J96" s="11"/>
      <c r="K96" s="11" t="s">
        <v>36</v>
      </c>
      <c r="L96" s="3"/>
    </row>
    <row r="97" spans="1:12" x14ac:dyDescent="0.4">
      <c r="A97" s="12">
        <f t="shared" si="1"/>
        <v>92</v>
      </c>
      <c r="B97" s="16"/>
      <c r="C97" s="16"/>
      <c r="D97" s="16"/>
      <c r="E97" s="13" t="s">
        <v>1487</v>
      </c>
      <c r="F97" s="13"/>
      <c r="G97" s="13"/>
      <c r="H97" s="3" t="s">
        <v>1062</v>
      </c>
      <c r="I97" s="11" t="s">
        <v>36</v>
      </c>
      <c r="J97" s="11"/>
      <c r="K97" s="11" t="s">
        <v>36</v>
      </c>
      <c r="L97" s="3"/>
    </row>
    <row r="98" spans="1:12" x14ac:dyDescent="0.4">
      <c r="A98" s="12">
        <f t="shared" si="1"/>
        <v>93</v>
      </c>
      <c r="B98" s="16"/>
      <c r="C98" s="16"/>
      <c r="D98" s="16"/>
      <c r="E98" s="13" t="s">
        <v>1488</v>
      </c>
      <c r="F98" s="13"/>
      <c r="G98" s="13"/>
      <c r="H98" s="3" t="s">
        <v>1063</v>
      </c>
      <c r="I98" s="11" t="s">
        <v>36</v>
      </c>
      <c r="J98" s="11"/>
      <c r="K98" s="11" t="s">
        <v>36</v>
      </c>
      <c r="L98" s="3"/>
    </row>
    <row r="99" spans="1:12" x14ac:dyDescent="0.4">
      <c r="A99" s="12">
        <f t="shared" si="1"/>
        <v>94</v>
      </c>
      <c r="B99" s="16"/>
      <c r="C99" s="16"/>
      <c r="D99" s="16"/>
      <c r="E99" s="13" t="s">
        <v>1489</v>
      </c>
      <c r="F99" s="13"/>
      <c r="G99" s="13"/>
      <c r="H99" s="3" t="s">
        <v>1064</v>
      </c>
      <c r="I99" s="11" t="s">
        <v>36</v>
      </c>
      <c r="J99" s="11"/>
      <c r="K99" s="11" t="s">
        <v>36</v>
      </c>
      <c r="L99" s="3"/>
    </row>
    <row r="100" spans="1:12" x14ac:dyDescent="0.4">
      <c r="A100" s="12">
        <f t="shared" si="1"/>
        <v>95</v>
      </c>
      <c r="B100" s="16"/>
      <c r="C100" s="16"/>
      <c r="D100" s="16"/>
      <c r="E100" s="13" t="s">
        <v>1490</v>
      </c>
      <c r="F100" s="13"/>
      <c r="G100" s="13"/>
      <c r="H100" s="3" t="s">
        <v>1065</v>
      </c>
      <c r="I100" s="11" t="s">
        <v>36</v>
      </c>
      <c r="J100" s="11"/>
      <c r="K100" s="11" t="s">
        <v>36</v>
      </c>
      <c r="L100" s="3"/>
    </row>
    <row r="101" spans="1:12" x14ac:dyDescent="0.4">
      <c r="A101" s="12">
        <f t="shared" si="1"/>
        <v>96</v>
      </c>
      <c r="B101" s="16"/>
      <c r="C101" s="16"/>
      <c r="D101" s="16"/>
      <c r="E101" s="13" t="s">
        <v>1491</v>
      </c>
      <c r="F101" s="13"/>
      <c r="G101" s="13"/>
      <c r="H101" s="3" t="s">
        <v>1066</v>
      </c>
      <c r="I101" s="11" t="s">
        <v>36</v>
      </c>
      <c r="J101" s="11"/>
      <c r="K101" s="11" t="s">
        <v>36</v>
      </c>
      <c r="L101" s="3"/>
    </row>
    <row r="102" spans="1:12" x14ac:dyDescent="0.4">
      <c r="A102" s="12">
        <f t="shared" si="1"/>
        <v>97</v>
      </c>
      <c r="B102" s="16"/>
      <c r="C102" s="16"/>
      <c r="D102" s="17"/>
      <c r="E102" s="13" t="s">
        <v>1492</v>
      </c>
      <c r="F102" s="13"/>
      <c r="G102" s="13"/>
      <c r="H102" s="3" t="s">
        <v>1067</v>
      </c>
      <c r="I102" s="11" t="s">
        <v>36</v>
      </c>
      <c r="J102" s="11"/>
      <c r="K102" s="11" t="s">
        <v>36</v>
      </c>
      <c r="L102" s="3"/>
    </row>
    <row r="103" spans="1:12" x14ac:dyDescent="0.4">
      <c r="A103" s="12">
        <f t="shared" si="1"/>
        <v>98</v>
      </c>
      <c r="B103" s="16"/>
      <c r="C103" s="17"/>
      <c r="D103" s="13" t="s">
        <v>1493</v>
      </c>
      <c r="E103" s="13"/>
      <c r="F103" s="13"/>
      <c r="G103" s="13"/>
      <c r="H103" s="3" t="s">
        <v>1068</v>
      </c>
      <c r="I103" s="11" t="s">
        <v>20</v>
      </c>
      <c r="J103" s="11"/>
      <c r="K103" s="11" t="s">
        <v>20</v>
      </c>
      <c r="L103" s="3"/>
    </row>
    <row r="104" spans="1:12" x14ac:dyDescent="0.4">
      <c r="A104" s="12">
        <f t="shared" si="1"/>
        <v>99</v>
      </c>
      <c r="B104" s="16"/>
      <c r="C104" s="12" t="s">
        <v>1494</v>
      </c>
      <c r="D104" s="13"/>
      <c r="E104" s="13"/>
      <c r="F104" s="13"/>
      <c r="G104" s="13"/>
      <c r="H104" s="3" t="s">
        <v>1069</v>
      </c>
      <c r="I104" s="11" t="s">
        <v>36</v>
      </c>
      <c r="J104" s="11"/>
      <c r="K104" s="11" t="s">
        <v>36</v>
      </c>
      <c r="L104" s="3"/>
    </row>
    <row r="105" spans="1:12" x14ac:dyDescent="0.4">
      <c r="A105" s="12">
        <f t="shared" si="1"/>
        <v>100</v>
      </c>
      <c r="B105" s="16"/>
      <c r="C105" s="15" t="s">
        <v>1495</v>
      </c>
      <c r="D105" s="9"/>
      <c r="E105" s="9"/>
      <c r="F105" s="9"/>
      <c r="G105" s="9"/>
      <c r="H105" s="8" t="s">
        <v>1070</v>
      </c>
      <c r="I105" s="2" t="s">
        <v>36</v>
      </c>
      <c r="J105" s="2"/>
      <c r="K105" s="2" t="s">
        <v>36</v>
      </c>
      <c r="L105" s="8"/>
    </row>
    <row r="106" spans="1:12" x14ac:dyDescent="0.4">
      <c r="A106" s="12">
        <f t="shared" si="1"/>
        <v>101</v>
      </c>
      <c r="B106" s="16"/>
      <c r="C106" s="16"/>
      <c r="D106" s="13" t="s">
        <v>936</v>
      </c>
      <c r="E106" s="13"/>
      <c r="F106" s="13"/>
      <c r="G106" s="13"/>
      <c r="H106" s="3" t="s">
        <v>1071</v>
      </c>
      <c r="I106" s="11" t="s">
        <v>36</v>
      </c>
      <c r="J106" s="11"/>
      <c r="K106" s="11" t="s">
        <v>36</v>
      </c>
      <c r="L106" s="3"/>
    </row>
    <row r="107" spans="1:12" x14ac:dyDescent="0.4">
      <c r="A107" s="12">
        <f t="shared" si="1"/>
        <v>102</v>
      </c>
      <c r="B107" s="16"/>
      <c r="C107" s="16"/>
      <c r="D107" s="13" t="s">
        <v>1496</v>
      </c>
      <c r="E107" s="13"/>
      <c r="F107" s="13"/>
      <c r="G107" s="13"/>
      <c r="H107" s="3" t="s">
        <v>1072</v>
      </c>
      <c r="I107" s="11" t="s">
        <v>36</v>
      </c>
      <c r="J107" s="11"/>
      <c r="K107" s="11" t="s">
        <v>36</v>
      </c>
      <c r="L107" s="3"/>
    </row>
    <row r="108" spans="1:12" x14ac:dyDescent="0.4">
      <c r="A108" s="12">
        <f t="shared" si="1"/>
        <v>103</v>
      </c>
      <c r="B108" s="16"/>
      <c r="C108" s="17"/>
      <c r="D108" s="13" t="s">
        <v>1497</v>
      </c>
      <c r="E108" s="13"/>
      <c r="F108" s="13"/>
      <c r="G108" s="13"/>
      <c r="H108" s="3" t="s">
        <v>1073</v>
      </c>
      <c r="I108" s="11" t="s">
        <v>36</v>
      </c>
      <c r="J108" s="11"/>
      <c r="K108" s="11" t="s">
        <v>36</v>
      </c>
      <c r="L108" s="3"/>
    </row>
    <row r="109" spans="1:12" x14ac:dyDescent="0.4">
      <c r="A109" s="12">
        <f t="shared" si="1"/>
        <v>104</v>
      </c>
      <c r="B109" s="16"/>
      <c r="C109" s="15" t="s">
        <v>1498</v>
      </c>
      <c r="D109" s="9"/>
      <c r="E109" s="9"/>
      <c r="F109" s="9"/>
      <c r="G109" s="9"/>
      <c r="H109" s="8" t="s">
        <v>1074</v>
      </c>
      <c r="I109" s="2" t="s">
        <v>36</v>
      </c>
      <c r="J109" s="2"/>
      <c r="K109" s="2" t="s">
        <v>36</v>
      </c>
      <c r="L109" s="8"/>
    </row>
    <row r="110" spans="1:12" x14ac:dyDescent="0.4">
      <c r="A110" s="12">
        <f t="shared" si="1"/>
        <v>105</v>
      </c>
      <c r="B110" s="16"/>
      <c r="C110" s="16"/>
      <c r="D110" s="13" t="s">
        <v>1499</v>
      </c>
      <c r="E110" s="13"/>
      <c r="F110" s="13"/>
      <c r="G110" s="13"/>
      <c r="H110" s="3" t="s">
        <v>1076</v>
      </c>
      <c r="I110" s="11" t="s">
        <v>36</v>
      </c>
      <c r="J110" s="11"/>
      <c r="K110" s="11" t="s">
        <v>36</v>
      </c>
      <c r="L110" s="3"/>
    </row>
    <row r="111" spans="1:12" x14ac:dyDescent="0.4">
      <c r="A111" s="12">
        <f t="shared" si="1"/>
        <v>106</v>
      </c>
      <c r="B111" s="16"/>
      <c r="C111" s="16"/>
      <c r="D111" s="13" t="s">
        <v>1500</v>
      </c>
      <c r="E111" s="13"/>
      <c r="F111" s="13"/>
      <c r="G111" s="13"/>
      <c r="H111" s="3" t="s">
        <v>1077</v>
      </c>
      <c r="I111" s="11" t="s">
        <v>36</v>
      </c>
      <c r="J111" s="11"/>
      <c r="K111" s="11" t="s">
        <v>36</v>
      </c>
      <c r="L111" s="3"/>
    </row>
    <row r="112" spans="1:12" x14ac:dyDescent="0.4">
      <c r="A112" s="12">
        <f t="shared" si="1"/>
        <v>107</v>
      </c>
      <c r="B112" s="16"/>
      <c r="C112" s="16"/>
      <c r="D112" s="13" t="s">
        <v>2521</v>
      </c>
      <c r="E112" s="13"/>
      <c r="F112" s="13"/>
      <c r="G112" s="13"/>
      <c r="H112" s="3" t="s">
        <v>1075</v>
      </c>
      <c r="I112" s="11" t="s">
        <v>36</v>
      </c>
      <c r="J112" s="11"/>
      <c r="K112" s="11" t="s">
        <v>36</v>
      </c>
      <c r="L112" s="3"/>
    </row>
    <row r="113" spans="1:12" x14ac:dyDescent="0.4">
      <c r="A113" s="12">
        <f t="shared" si="1"/>
        <v>108</v>
      </c>
      <c r="B113" s="16"/>
      <c r="C113" s="16"/>
      <c r="D113" s="13" t="s">
        <v>1501</v>
      </c>
      <c r="E113" s="13"/>
      <c r="F113" s="13"/>
      <c r="G113" s="13"/>
      <c r="H113" s="3" t="s">
        <v>1078</v>
      </c>
      <c r="I113" s="11" t="s">
        <v>36</v>
      </c>
      <c r="J113" s="11"/>
      <c r="K113" s="11" t="s">
        <v>36</v>
      </c>
      <c r="L113" s="3"/>
    </row>
    <row r="114" spans="1:12" x14ac:dyDescent="0.4">
      <c r="A114" s="12">
        <f t="shared" si="1"/>
        <v>109</v>
      </c>
      <c r="B114" s="16"/>
      <c r="C114" s="16"/>
      <c r="D114" s="13" t="s">
        <v>1502</v>
      </c>
      <c r="E114" s="13"/>
      <c r="F114" s="13"/>
      <c r="G114" s="13"/>
      <c r="H114" s="3" t="s">
        <v>1079</v>
      </c>
      <c r="I114" s="11" t="s">
        <v>36</v>
      </c>
      <c r="J114" s="11"/>
      <c r="K114" s="11" t="s">
        <v>36</v>
      </c>
      <c r="L114" s="3"/>
    </row>
    <row r="115" spans="1:12" x14ac:dyDescent="0.4">
      <c r="A115" s="12">
        <f t="shared" si="1"/>
        <v>110</v>
      </c>
      <c r="B115" s="16"/>
      <c r="C115" s="17"/>
      <c r="D115" s="13" t="s">
        <v>1503</v>
      </c>
      <c r="E115" s="13"/>
      <c r="F115" s="13"/>
      <c r="G115" s="13"/>
      <c r="H115" s="3" t="s">
        <v>1080</v>
      </c>
      <c r="I115" s="11" t="s">
        <v>36</v>
      </c>
      <c r="J115" s="11"/>
      <c r="K115" s="11" t="s">
        <v>36</v>
      </c>
      <c r="L115" s="3"/>
    </row>
    <row r="116" spans="1:12" x14ac:dyDescent="0.4">
      <c r="A116" s="12">
        <f t="shared" si="1"/>
        <v>111</v>
      </c>
      <c r="B116" s="16"/>
      <c r="C116" s="15" t="s">
        <v>1504</v>
      </c>
      <c r="D116" s="9"/>
      <c r="E116" s="9"/>
      <c r="F116" s="9"/>
      <c r="G116" s="9"/>
      <c r="H116" s="8" t="s">
        <v>1081</v>
      </c>
      <c r="I116" s="2" t="s">
        <v>36</v>
      </c>
      <c r="J116" s="2"/>
      <c r="K116" s="2" t="s">
        <v>36</v>
      </c>
      <c r="L116" s="8"/>
    </row>
    <row r="117" spans="1:12" x14ac:dyDescent="0.4">
      <c r="A117" s="12">
        <f t="shared" si="1"/>
        <v>112</v>
      </c>
      <c r="B117" s="16"/>
      <c r="C117" s="16"/>
      <c r="D117" s="13" t="s">
        <v>1505</v>
      </c>
      <c r="E117" s="13"/>
      <c r="F117" s="13"/>
      <c r="G117" s="13"/>
      <c r="H117" s="3" t="s">
        <v>1082</v>
      </c>
      <c r="I117" s="11" t="s">
        <v>36</v>
      </c>
      <c r="J117" s="11"/>
      <c r="K117" s="11" t="s">
        <v>36</v>
      </c>
      <c r="L117" s="3"/>
    </row>
    <row r="118" spans="1:12" x14ac:dyDescent="0.4">
      <c r="A118" s="12">
        <f t="shared" si="1"/>
        <v>113</v>
      </c>
      <c r="B118" s="16"/>
      <c r="C118" s="16"/>
      <c r="D118" s="13" t="s">
        <v>1506</v>
      </c>
      <c r="E118" s="13"/>
      <c r="F118" s="13"/>
      <c r="G118" s="13"/>
      <c r="H118" s="3" t="s">
        <v>1083</v>
      </c>
      <c r="I118" s="11" t="s">
        <v>36</v>
      </c>
      <c r="J118" s="11"/>
      <c r="K118" s="11" t="s">
        <v>36</v>
      </c>
      <c r="L118" s="3"/>
    </row>
    <row r="119" spans="1:12" x14ac:dyDescent="0.4">
      <c r="A119" s="12">
        <f t="shared" si="1"/>
        <v>114</v>
      </c>
      <c r="B119" s="16"/>
      <c r="C119" s="17"/>
      <c r="D119" s="13" t="s">
        <v>1507</v>
      </c>
      <c r="E119" s="13"/>
      <c r="F119" s="13"/>
      <c r="G119" s="13"/>
      <c r="H119" s="3" t="s">
        <v>1084</v>
      </c>
      <c r="I119" s="11" t="s">
        <v>36</v>
      </c>
      <c r="J119" s="11"/>
      <c r="K119" s="11" t="s">
        <v>36</v>
      </c>
      <c r="L119" s="3"/>
    </row>
    <row r="120" spans="1:12" x14ac:dyDescent="0.4">
      <c r="A120" s="12">
        <f t="shared" si="1"/>
        <v>115</v>
      </c>
      <c r="B120" s="15" t="s">
        <v>1226</v>
      </c>
      <c r="C120" s="25"/>
      <c r="D120" s="9"/>
      <c r="E120" s="9"/>
      <c r="F120" s="9"/>
      <c r="G120" s="9"/>
      <c r="H120" s="8"/>
      <c r="I120" s="2"/>
      <c r="J120" s="2"/>
      <c r="K120" s="2"/>
      <c r="L120" s="8"/>
    </row>
    <row r="121" spans="1:12" x14ac:dyDescent="0.4">
      <c r="A121" s="12">
        <f t="shared" si="1"/>
        <v>116</v>
      </c>
      <c r="B121" s="16"/>
      <c r="C121" s="15" t="s">
        <v>937</v>
      </c>
      <c r="D121" s="9"/>
      <c r="E121" s="9"/>
      <c r="F121" s="9"/>
      <c r="G121" s="9"/>
      <c r="H121" s="8" t="s">
        <v>1085</v>
      </c>
      <c r="I121" s="2" t="s">
        <v>36</v>
      </c>
      <c r="J121" s="2"/>
      <c r="K121" s="2" t="s">
        <v>36</v>
      </c>
      <c r="L121" s="8"/>
    </row>
    <row r="122" spans="1:12" x14ac:dyDescent="0.4">
      <c r="A122" s="12">
        <f t="shared" si="1"/>
        <v>117</v>
      </c>
      <c r="B122" s="16"/>
      <c r="C122" s="16"/>
      <c r="D122" s="13" t="s">
        <v>938</v>
      </c>
      <c r="E122" s="13"/>
      <c r="F122" s="13"/>
      <c r="G122" s="13"/>
      <c r="H122" s="3" t="s">
        <v>1086</v>
      </c>
      <c r="I122" s="11" t="s">
        <v>36</v>
      </c>
      <c r="J122" s="11"/>
      <c r="K122" s="11" t="s">
        <v>36</v>
      </c>
      <c r="L122" s="3"/>
    </row>
    <row r="123" spans="1:12" x14ac:dyDescent="0.4">
      <c r="A123" s="12">
        <f t="shared" si="1"/>
        <v>118</v>
      </c>
      <c r="B123" s="16"/>
      <c r="C123" s="16"/>
      <c r="D123" s="13" t="s">
        <v>939</v>
      </c>
      <c r="E123" s="13"/>
      <c r="F123" s="13"/>
      <c r="G123" s="13"/>
      <c r="H123" s="3" t="s">
        <v>1087</v>
      </c>
      <c r="I123" s="11" t="s">
        <v>36</v>
      </c>
      <c r="J123" s="11"/>
      <c r="K123" s="11" t="s">
        <v>36</v>
      </c>
      <c r="L123" s="3"/>
    </row>
    <row r="124" spans="1:12" x14ac:dyDescent="0.4">
      <c r="A124" s="12">
        <f t="shared" si="1"/>
        <v>119</v>
      </c>
      <c r="B124" s="16"/>
      <c r="C124" s="17"/>
      <c r="D124" s="13" t="s">
        <v>940</v>
      </c>
      <c r="E124" s="13"/>
      <c r="F124" s="13"/>
      <c r="G124" s="13"/>
      <c r="H124" s="3" t="s">
        <v>1088</v>
      </c>
      <c r="I124" s="11" t="s">
        <v>36</v>
      </c>
      <c r="J124" s="11"/>
      <c r="K124" s="11" t="s">
        <v>36</v>
      </c>
      <c r="L124" s="3"/>
    </row>
    <row r="125" spans="1:12" x14ac:dyDescent="0.4">
      <c r="A125" s="12">
        <f t="shared" si="1"/>
        <v>120</v>
      </c>
      <c r="B125" s="16"/>
      <c r="C125" s="15" t="s">
        <v>2522</v>
      </c>
      <c r="D125" s="9"/>
      <c r="E125" s="9"/>
      <c r="F125" s="9"/>
      <c r="G125" s="9"/>
      <c r="H125" s="8" t="s">
        <v>1089</v>
      </c>
      <c r="I125" s="2" t="s">
        <v>20</v>
      </c>
      <c r="J125" s="2"/>
      <c r="K125" s="2" t="s">
        <v>20</v>
      </c>
      <c r="L125" s="8"/>
    </row>
    <row r="126" spans="1:12" x14ac:dyDescent="0.4">
      <c r="A126" s="12">
        <f t="shared" si="1"/>
        <v>121</v>
      </c>
      <c r="B126" s="16"/>
      <c r="C126" s="16"/>
      <c r="D126" s="13" t="s">
        <v>2523</v>
      </c>
      <c r="E126" s="13"/>
      <c r="F126" s="13"/>
      <c r="G126" s="13"/>
      <c r="H126" s="3" t="s">
        <v>1090</v>
      </c>
      <c r="I126" s="11" t="s">
        <v>20</v>
      </c>
      <c r="J126" s="11"/>
      <c r="K126" s="11" t="s">
        <v>20</v>
      </c>
      <c r="L126" s="3"/>
    </row>
    <row r="127" spans="1:12" x14ac:dyDescent="0.4">
      <c r="A127" s="12">
        <f t="shared" si="1"/>
        <v>122</v>
      </c>
      <c r="B127" s="16"/>
      <c r="C127" s="16"/>
      <c r="D127" s="13" t="s">
        <v>923</v>
      </c>
      <c r="E127" s="13"/>
      <c r="F127" s="13"/>
      <c r="G127" s="13"/>
      <c r="H127" s="3" t="s">
        <v>1091</v>
      </c>
      <c r="I127" s="11" t="s">
        <v>36</v>
      </c>
      <c r="J127" s="11"/>
      <c r="K127" s="11" t="s">
        <v>36</v>
      </c>
      <c r="L127" s="3"/>
    </row>
    <row r="128" spans="1:12" x14ac:dyDescent="0.4">
      <c r="A128" s="12">
        <f t="shared" si="1"/>
        <v>123</v>
      </c>
      <c r="B128" s="16"/>
      <c r="C128" s="16"/>
      <c r="D128" s="27" t="s">
        <v>1508</v>
      </c>
      <c r="E128" s="9"/>
      <c r="F128" s="9"/>
      <c r="G128" s="9"/>
      <c r="H128" s="8" t="s">
        <v>1092</v>
      </c>
      <c r="I128" s="2" t="s">
        <v>20</v>
      </c>
      <c r="J128" s="2"/>
      <c r="K128" s="2" t="s">
        <v>20</v>
      </c>
      <c r="L128" s="8"/>
    </row>
    <row r="129" spans="1:12" x14ac:dyDescent="0.4">
      <c r="A129" s="12">
        <f t="shared" si="1"/>
        <v>124</v>
      </c>
      <c r="B129" s="16"/>
      <c r="C129" s="16"/>
      <c r="D129" s="28"/>
      <c r="E129" s="13" t="s">
        <v>939</v>
      </c>
      <c r="F129" s="13"/>
      <c r="G129" s="13"/>
      <c r="H129" s="3" t="s">
        <v>1093</v>
      </c>
      <c r="I129" s="11" t="s">
        <v>36</v>
      </c>
      <c r="J129" s="11"/>
      <c r="K129" s="11" t="s">
        <v>36</v>
      </c>
      <c r="L129" s="3"/>
    </row>
    <row r="130" spans="1:12" x14ac:dyDescent="0.4">
      <c r="A130" s="12">
        <f t="shared" si="1"/>
        <v>125</v>
      </c>
      <c r="B130" s="16"/>
      <c r="C130" s="16"/>
      <c r="D130" s="28"/>
      <c r="E130" s="13" t="s">
        <v>941</v>
      </c>
      <c r="F130" s="13"/>
      <c r="G130" s="13"/>
      <c r="H130" s="3" t="s">
        <v>1094</v>
      </c>
      <c r="I130" s="11" t="s">
        <v>36</v>
      </c>
      <c r="J130" s="11"/>
      <c r="K130" s="11" t="s">
        <v>36</v>
      </c>
      <c r="L130" s="3"/>
    </row>
    <row r="131" spans="1:12" x14ac:dyDescent="0.4">
      <c r="A131" s="12">
        <f t="shared" si="1"/>
        <v>126</v>
      </c>
      <c r="B131" s="16"/>
      <c r="C131" s="16"/>
      <c r="D131" s="28"/>
      <c r="E131" s="13" t="s">
        <v>1509</v>
      </c>
      <c r="F131" s="13"/>
      <c r="G131" s="13"/>
      <c r="H131" s="3" t="s">
        <v>1095</v>
      </c>
      <c r="I131" s="11" t="s">
        <v>20</v>
      </c>
      <c r="J131" s="11"/>
      <c r="K131" s="11" t="s">
        <v>20</v>
      </c>
      <c r="L131" s="3"/>
    </row>
    <row r="132" spans="1:12" x14ac:dyDescent="0.4">
      <c r="A132" s="12">
        <f t="shared" si="1"/>
        <v>127</v>
      </c>
      <c r="B132" s="16"/>
      <c r="C132" s="16"/>
      <c r="D132" s="28"/>
      <c r="E132" s="13" t="s">
        <v>1510</v>
      </c>
      <c r="F132" s="13"/>
      <c r="G132" s="13"/>
      <c r="H132" s="3" t="s">
        <v>1096</v>
      </c>
      <c r="I132" s="11" t="s">
        <v>36</v>
      </c>
      <c r="J132" s="11"/>
      <c r="K132" s="11" t="s">
        <v>36</v>
      </c>
      <c r="L132" s="3"/>
    </row>
    <row r="133" spans="1:12" x14ac:dyDescent="0.4">
      <c r="A133" s="12">
        <f t="shared" si="1"/>
        <v>128</v>
      </c>
      <c r="B133" s="16"/>
      <c r="C133" s="17"/>
      <c r="D133" s="29"/>
      <c r="E133" s="13" t="s">
        <v>942</v>
      </c>
      <c r="F133" s="13"/>
      <c r="G133" s="13"/>
      <c r="H133" s="3" t="s">
        <v>1097</v>
      </c>
      <c r="I133" s="11" t="s">
        <v>36</v>
      </c>
      <c r="J133" s="11"/>
      <c r="K133" s="11" t="s">
        <v>36</v>
      </c>
      <c r="L133" s="3"/>
    </row>
    <row r="134" spans="1:12" x14ac:dyDescent="0.4">
      <c r="A134" s="12">
        <f t="shared" si="1"/>
        <v>129</v>
      </c>
      <c r="B134" s="16"/>
      <c r="C134" s="12" t="s">
        <v>943</v>
      </c>
      <c r="D134" s="13"/>
      <c r="E134" s="13"/>
      <c r="F134" s="13"/>
      <c r="G134" s="13"/>
      <c r="H134" s="3" t="s">
        <v>1098</v>
      </c>
      <c r="I134" s="11" t="s">
        <v>36</v>
      </c>
      <c r="J134" s="11"/>
      <c r="K134" s="11" t="s">
        <v>36</v>
      </c>
      <c r="L134" s="3"/>
    </row>
    <row r="135" spans="1:12" x14ac:dyDescent="0.4">
      <c r="A135" s="12">
        <f t="shared" si="1"/>
        <v>130</v>
      </c>
      <c r="B135" s="16"/>
      <c r="C135" s="12" t="s">
        <v>1511</v>
      </c>
      <c r="D135" s="13"/>
      <c r="E135" s="13"/>
      <c r="F135" s="13"/>
      <c r="G135" s="13"/>
      <c r="H135" s="3" t="s">
        <v>1099</v>
      </c>
      <c r="I135" s="11" t="s">
        <v>36</v>
      </c>
      <c r="J135" s="11"/>
      <c r="K135" s="11" t="s">
        <v>36</v>
      </c>
      <c r="L135" s="3"/>
    </row>
    <row r="136" spans="1:12" x14ac:dyDescent="0.4">
      <c r="A136" s="12">
        <f t="shared" si="1"/>
        <v>131</v>
      </c>
      <c r="B136" s="16"/>
      <c r="C136" s="12" t="s">
        <v>944</v>
      </c>
      <c r="D136" s="13"/>
      <c r="E136" s="13"/>
      <c r="F136" s="13"/>
      <c r="G136" s="13"/>
      <c r="H136" s="3" t="s">
        <v>944</v>
      </c>
      <c r="I136" s="11" t="s">
        <v>36</v>
      </c>
      <c r="J136" s="11"/>
      <c r="K136" s="11" t="s">
        <v>36</v>
      </c>
      <c r="L136" s="3"/>
    </row>
    <row r="137" spans="1:12" x14ac:dyDescent="0.4">
      <c r="A137" s="12">
        <f t="shared" si="1"/>
        <v>132</v>
      </c>
      <c r="B137" s="16"/>
      <c r="C137" s="12" t="s">
        <v>945</v>
      </c>
      <c r="D137" s="13"/>
      <c r="E137" s="13"/>
      <c r="F137" s="13"/>
      <c r="G137" s="13"/>
      <c r="H137" s="3" t="s">
        <v>1100</v>
      </c>
      <c r="I137" s="11" t="s">
        <v>36</v>
      </c>
      <c r="J137" s="11"/>
      <c r="K137" s="11" t="s">
        <v>36</v>
      </c>
      <c r="L137" s="3"/>
    </row>
    <row r="138" spans="1:12" x14ac:dyDescent="0.4">
      <c r="A138" s="12">
        <f t="shared" ref="A138:A140" si="2">A137+1</f>
        <v>133</v>
      </c>
      <c r="B138" s="16"/>
      <c r="C138" s="12" t="s">
        <v>2524</v>
      </c>
      <c r="D138" s="13"/>
      <c r="E138" s="13"/>
      <c r="F138" s="13"/>
      <c r="G138" s="13"/>
      <c r="H138" s="3" t="s">
        <v>2525</v>
      </c>
      <c r="I138" s="11" t="s">
        <v>36</v>
      </c>
      <c r="J138" s="11"/>
      <c r="K138" s="11" t="s">
        <v>36</v>
      </c>
      <c r="L138" s="3"/>
    </row>
    <row r="139" spans="1:12" x14ac:dyDescent="0.4">
      <c r="A139" s="12">
        <f t="shared" si="2"/>
        <v>134</v>
      </c>
      <c r="B139" s="16"/>
      <c r="C139" s="12" t="s">
        <v>1512</v>
      </c>
      <c r="D139" s="13"/>
      <c r="E139" s="13"/>
      <c r="F139" s="13"/>
      <c r="G139" s="13"/>
      <c r="H139" s="3" t="s">
        <v>1101</v>
      </c>
      <c r="I139" s="11" t="s">
        <v>36</v>
      </c>
      <c r="J139" s="11"/>
      <c r="K139" s="11" t="s">
        <v>36</v>
      </c>
      <c r="L139" s="3"/>
    </row>
    <row r="140" spans="1:12" x14ac:dyDescent="0.4">
      <c r="A140" s="12">
        <f t="shared" si="2"/>
        <v>135</v>
      </c>
      <c r="B140" s="16"/>
      <c r="C140" s="12" t="s">
        <v>1513</v>
      </c>
      <c r="D140" s="13"/>
      <c r="E140" s="13"/>
      <c r="F140" s="13"/>
      <c r="G140" s="13"/>
      <c r="H140" s="3" t="s">
        <v>1102</v>
      </c>
      <c r="I140" s="11" t="s">
        <v>36</v>
      </c>
      <c r="J140" s="11"/>
      <c r="K140" s="11" t="s">
        <v>36</v>
      </c>
      <c r="L140" s="3"/>
    </row>
    <row r="141" spans="1:12" x14ac:dyDescent="0.4">
      <c r="A141" s="12">
        <f t="shared" ref="A141:A155" si="3">A140+1</f>
        <v>136</v>
      </c>
      <c r="B141" s="16"/>
      <c r="C141" s="12" t="s">
        <v>946</v>
      </c>
      <c r="D141" s="13"/>
      <c r="E141" s="13"/>
      <c r="F141" s="13"/>
      <c r="G141" s="13"/>
      <c r="H141" s="3" t="s">
        <v>1103</v>
      </c>
      <c r="I141" s="11" t="s">
        <v>36</v>
      </c>
      <c r="J141" s="11"/>
      <c r="K141" s="11" t="s">
        <v>36</v>
      </c>
      <c r="L141" s="3"/>
    </row>
    <row r="142" spans="1:12" x14ac:dyDescent="0.4">
      <c r="A142" s="12">
        <f t="shared" si="3"/>
        <v>137</v>
      </c>
      <c r="B142" s="16"/>
      <c r="C142" s="12" t="s">
        <v>1514</v>
      </c>
      <c r="D142" s="13"/>
      <c r="E142" s="13"/>
      <c r="F142" s="13"/>
      <c r="G142" s="13"/>
      <c r="H142" s="3" t="s">
        <v>1104</v>
      </c>
      <c r="I142" s="11" t="s">
        <v>36</v>
      </c>
      <c r="J142" s="11"/>
      <c r="K142" s="11" t="s">
        <v>36</v>
      </c>
      <c r="L142" s="3"/>
    </row>
    <row r="143" spans="1:12" x14ac:dyDescent="0.4">
      <c r="A143" s="12">
        <f t="shared" si="3"/>
        <v>138</v>
      </c>
      <c r="B143" s="16"/>
      <c r="C143" s="12" t="s">
        <v>947</v>
      </c>
      <c r="D143" s="13"/>
      <c r="E143" s="13"/>
      <c r="F143" s="13"/>
      <c r="G143" s="13"/>
      <c r="H143" s="3" t="s">
        <v>1105</v>
      </c>
      <c r="I143" s="11" t="s">
        <v>36</v>
      </c>
      <c r="J143" s="11"/>
      <c r="K143" s="11" t="s">
        <v>36</v>
      </c>
      <c r="L143" s="3"/>
    </row>
    <row r="144" spans="1:12" x14ac:dyDescent="0.4">
      <c r="A144" s="12">
        <f t="shared" si="3"/>
        <v>139</v>
      </c>
      <c r="B144" s="16"/>
      <c r="C144" s="12" t="s">
        <v>1515</v>
      </c>
      <c r="D144" s="13"/>
      <c r="E144" s="13"/>
      <c r="F144" s="13"/>
      <c r="G144" s="13"/>
      <c r="H144" s="3" t="s">
        <v>1106</v>
      </c>
      <c r="I144" s="11" t="s">
        <v>36</v>
      </c>
      <c r="J144" s="11"/>
      <c r="K144" s="11" t="s">
        <v>36</v>
      </c>
      <c r="L144" s="3"/>
    </row>
    <row r="145" spans="1:12" x14ac:dyDescent="0.4">
      <c r="A145" s="12">
        <f t="shared" si="3"/>
        <v>140</v>
      </c>
      <c r="B145" s="16"/>
      <c r="C145" s="12" t="s">
        <v>1516</v>
      </c>
      <c r="D145" s="13"/>
      <c r="E145" s="13"/>
      <c r="F145" s="13"/>
      <c r="G145" s="13"/>
      <c r="H145" s="3" t="s">
        <v>1107</v>
      </c>
      <c r="I145" s="11" t="s">
        <v>36</v>
      </c>
      <c r="J145" s="11"/>
      <c r="K145" s="11" t="s">
        <v>36</v>
      </c>
      <c r="L145" s="3"/>
    </row>
    <row r="146" spans="1:12" x14ac:dyDescent="0.4">
      <c r="A146" s="12">
        <f t="shared" si="3"/>
        <v>141</v>
      </c>
      <c r="B146" s="16"/>
      <c r="C146" s="12" t="s">
        <v>948</v>
      </c>
      <c r="D146" s="13"/>
      <c r="E146" s="13"/>
      <c r="F146" s="13"/>
      <c r="G146" s="13"/>
      <c r="H146" s="3" t="s">
        <v>1108</v>
      </c>
      <c r="I146" s="11" t="s">
        <v>36</v>
      </c>
      <c r="J146" s="11"/>
      <c r="K146" s="11" t="s">
        <v>36</v>
      </c>
      <c r="L146" s="3"/>
    </row>
    <row r="147" spans="1:12" x14ac:dyDescent="0.4">
      <c r="A147" s="12">
        <f t="shared" si="3"/>
        <v>142</v>
      </c>
      <c r="B147" s="16"/>
      <c r="C147" s="12" t="s">
        <v>2526</v>
      </c>
      <c r="D147" s="13"/>
      <c r="E147" s="13"/>
      <c r="F147" s="13"/>
      <c r="G147" s="13"/>
      <c r="H147" s="3" t="s">
        <v>2527</v>
      </c>
      <c r="I147" s="11" t="s">
        <v>20</v>
      </c>
      <c r="J147" s="11"/>
      <c r="K147" s="11" t="s">
        <v>20</v>
      </c>
      <c r="L147" s="3"/>
    </row>
    <row r="148" spans="1:12" x14ac:dyDescent="0.4">
      <c r="A148" s="12">
        <f t="shared" si="3"/>
        <v>143</v>
      </c>
      <c r="B148" s="16"/>
      <c r="C148" s="15" t="s">
        <v>949</v>
      </c>
      <c r="D148" s="9"/>
      <c r="E148" s="9"/>
      <c r="F148" s="9"/>
      <c r="G148" s="9"/>
      <c r="H148" s="8" t="s">
        <v>1109</v>
      </c>
      <c r="I148" s="2" t="s">
        <v>36</v>
      </c>
      <c r="J148" s="2"/>
      <c r="K148" s="2" t="s">
        <v>36</v>
      </c>
      <c r="L148" s="8"/>
    </row>
    <row r="149" spans="1:12" x14ac:dyDescent="0.4">
      <c r="A149" s="12">
        <f t="shared" si="3"/>
        <v>144</v>
      </c>
      <c r="B149" s="16"/>
      <c r="C149" s="16"/>
      <c r="D149" s="13" t="s">
        <v>1517</v>
      </c>
      <c r="E149" s="13"/>
      <c r="F149" s="13"/>
      <c r="G149" s="13"/>
      <c r="H149" s="3" t="s">
        <v>1110</v>
      </c>
      <c r="I149" s="11" t="s">
        <v>36</v>
      </c>
      <c r="J149" s="11"/>
      <c r="K149" s="11" t="s">
        <v>36</v>
      </c>
      <c r="L149" s="3"/>
    </row>
    <row r="150" spans="1:12" x14ac:dyDescent="0.4">
      <c r="A150" s="12">
        <f t="shared" si="3"/>
        <v>145</v>
      </c>
      <c r="B150" s="16"/>
      <c r="C150" s="17"/>
      <c r="D150" s="13" t="s">
        <v>1518</v>
      </c>
      <c r="E150" s="13"/>
      <c r="F150" s="13"/>
      <c r="G150" s="13"/>
      <c r="H150" s="3" t="s">
        <v>1111</v>
      </c>
      <c r="I150" s="11" t="s">
        <v>36</v>
      </c>
      <c r="J150" s="11"/>
      <c r="K150" s="11" t="s">
        <v>36</v>
      </c>
      <c r="L150" s="3"/>
    </row>
    <row r="151" spans="1:12" x14ac:dyDescent="0.4">
      <c r="A151" s="12">
        <f t="shared" si="3"/>
        <v>146</v>
      </c>
      <c r="B151" s="16"/>
      <c r="C151" s="12" t="s">
        <v>950</v>
      </c>
      <c r="D151" s="13"/>
      <c r="E151" s="13"/>
      <c r="F151" s="13"/>
      <c r="G151" s="13"/>
      <c r="H151" s="3" t="s">
        <v>1112</v>
      </c>
      <c r="I151" s="11" t="s">
        <v>36</v>
      </c>
      <c r="J151" s="11"/>
      <c r="K151" s="11" t="s">
        <v>36</v>
      </c>
      <c r="L151" s="3"/>
    </row>
    <row r="152" spans="1:12" x14ac:dyDescent="0.4">
      <c r="A152" s="12">
        <f t="shared" si="3"/>
        <v>147</v>
      </c>
      <c r="B152" s="16"/>
      <c r="C152" s="12" t="s">
        <v>2528</v>
      </c>
      <c r="D152" s="13"/>
      <c r="E152" s="13"/>
      <c r="F152" s="13"/>
      <c r="G152" s="13"/>
      <c r="H152" s="3" t="s">
        <v>1113</v>
      </c>
      <c r="I152" s="11" t="s">
        <v>36</v>
      </c>
      <c r="J152" s="11"/>
      <c r="K152" s="11" t="s">
        <v>36</v>
      </c>
      <c r="L152" s="3"/>
    </row>
    <row r="153" spans="1:12" x14ac:dyDescent="0.4">
      <c r="A153" s="12">
        <f t="shared" si="3"/>
        <v>148</v>
      </c>
      <c r="B153" s="16"/>
      <c r="C153" s="12" t="s">
        <v>951</v>
      </c>
      <c r="D153" s="13"/>
      <c r="E153" s="13"/>
      <c r="F153" s="13"/>
      <c r="G153" s="13"/>
      <c r="H153" s="3" t="s">
        <v>1114</v>
      </c>
      <c r="I153" s="11" t="s">
        <v>36</v>
      </c>
      <c r="J153" s="11"/>
      <c r="K153" s="11" t="s">
        <v>36</v>
      </c>
      <c r="L153" s="3"/>
    </row>
    <row r="154" spans="1:12" x14ac:dyDescent="0.4">
      <c r="A154" s="12">
        <f t="shared" si="3"/>
        <v>149</v>
      </c>
      <c r="B154" s="16"/>
      <c r="C154" s="12" t="s">
        <v>952</v>
      </c>
      <c r="D154" s="13"/>
      <c r="E154" s="13"/>
      <c r="F154" s="13"/>
      <c r="G154" s="13"/>
      <c r="H154" s="3" t="s">
        <v>1115</v>
      </c>
      <c r="I154" s="11" t="s">
        <v>36</v>
      </c>
      <c r="J154" s="11"/>
      <c r="K154" s="11" t="s">
        <v>36</v>
      </c>
      <c r="L154" s="3"/>
    </row>
    <row r="155" spans="1:12" x14ac:dyDescent="0.4">
      <c r="A155" s="12">
        <f t="shared" si="3"/>
        <v>150</v>
      </c>
      <c r="B155" s="16"/>
      <c r="C155" s="15" t="s">
        <v>2529</v>
      </c>
      <c r="D155" s="9"/>
      <c r="E155" s="9"/>
      <c r="F155" s="9"/>
      <c r="G155" s="9"/>
      <c r="H155" s="8" t="s">
        <v>1116</v>
      </c>
      <c r="I155" s="2" t="s">
        <v>36</v>
      </c>
      <c r="J155" s="2"/>
      <c r="K155" s="2" t="s">
        <v>36</v>
      </c>
      <c r="L155" s="8"/>
    </row>
    <row r="156" spans="1:12" x14ac:dyDescent="0.4">
      <c r="A156" s="12">
        <f t="shared" ref="A156:A206" si="4">A155+1</f>
        <v>151</v>
      </c>
      <c r="B156" s="16"/>
      <c r="C156" s="16"/>
      <c r="D156" s="13" t="s">
        <v>2530</v>
      </c>
      <c r="E156" s="13"/>
      <c r="F156" s="13"/>
      <c r="G156" s="13"/>
      <c r="H156" s="3" t="s">
        <v>1117</v>
      </c>
      <c r="I156" s="11" t="s">
        <v>36</v>
      </c>
      <c r="J156" s="11"/>
      <c r="K156" s="11" t="s">
        <v>36</v>
      </c>
      <c r="L156" s="3"/>
    </row>
    <row r="157" spans="1:12" x14ac:dyDescent="0.4">
      <c r="A157" s="12">
        <f t="shared" si="4"/>
        <v>152</v>
      </c>
      <c r="B157" s="16"/>
      <c r="C157" s="17"/>
      <c r="D157" s="13" t="s">
        <v>2531</v>
      </c>
      <c r="E157" s="13"/>
      <c r="F157" s="13"/>
      <c r="G157" s="13"/>
      <c r="H157" s="3" t="s">
        <v>1118</v>
      </c>
      <c r="I157" s="11" t="s">
        <v>36</v>
      </c>
      <c r="J157" s="11"/>
      <c r="K157" s="11" t="s">
        <v>36</v>
      </c>
      <c r="L157" s="3"/>
    </row>
    <row r="158" spans="1:12" x14ac:dyDescent="0.4">
      <c r="A158" s="12">
        <f t="shared" si="4"/>
        <v>153</v>
      </c>
      <c r="B158" s="16"/>
      <c r="C158" s="12" t="s">
        <v>953</v>
      </c>
      <c r="D158" s="13"/>
      <c r="E158" s="13"/>
      <c r="F158" s="13"/>
      <c r="G158" s="13"/>
      <c r="H158" s="3" t="s">
        <v>1119</v>
      </c>
      <c r="I158" s="11" t="s">
        <v>36</v>
      </c>
      <c r="J158" s="11"/>
      <c r="K158" s="11" t="s">
        <v>36</v>
      </c>
      <c r="L158" s="3"/>
    </row>
    <row r="159" spans="1:12" x14ac:dyDescent="0.4">
      <c r="A159" s="12">
        <f t="shared" si="4"/>
        <v>154</v>
      </c>
      <c r="B159" s="16"/>
      <c r="C159" s="12" t="s">
        <v>1519</v>
      </c>
      <c r="D159" s="13"/>
      <c r="E159" s="13"/>
      <c r="F159" s="13"/>
      <c r="G159" s="13"/>
      <c r="H159" s="3" t="s">
        <v>1120</v>
      </c>
      <c r="I159" s="11" t="s">
        <v>36</v>
      </c>
      <c r="J159" s="11"/>
      <c r="K159" s="11" t="s">
        <v>36</v>
      </c>
      <c r="L159" s="3"/>
    </row>
    <row r="160" spans="1:12" x14ac:dyDescent="0.4">
      <c r="A160" s="12">
        <f t="shared" si="4"/>
        <v>155</v>
      </c>
      <c r="B160" s="16"/>
      <c r="C160" s="15" t="s">
        <v>1520</v>
      </c>
      <c r="D160" s="9"/>
      <c r="E160" s="9"/>
      <c r="F160" s="9"/>
      <c r="G160" s="9"/>
      <c r="H160" s="8" t="s">
        <v>1121</v>
      </c>
      <c r="I160" s="2" t="s">
        <v>36</v>
      </c>
      <c r="J160" s="2"/>
      <c r="K160" s="2" t="s">
        <v>36</v>
      </c>
      <c r="L160" s="8"/>
    </row>
    <row r="161" spans="1:12" x14ac:dyDescent="0.4">
      <c r="A161" s="12">
        <f t="shared" si="4"/>
        <v>156</v>
      </c>
      <c r="B161" s="16"/>
      <c r="C161" s="17"/>
      <c r="D161" s="13" t="s">
        <v>1521</v>
      </c>
      <c r="E161" s="13"/>
      <c r="F161" s="13"/>
      <c r="G161" s="13"/>
      <c r="H161" s="3" t="s">
        <v>1122</v>
      </c>
      <c r="I161" s="11" t="s">
        <v>36</v>
      </c>
      <c r="J161" s="11"/>
      <c r="K161" s="11" t="s">
        <v>36</v>
      </c>
      <c r="L161" s="3"/>
    </row>
    <row r="162" spans="1:12" x14ac:dyDescent="0.4">
      <c r="A162" s="12">
        <f t="shared" si="4"/>
        <v>157</v>
      </c>
      <c r="B162" s="16"/>
      <c r="C162" s="12" t="s">
        <v>2532</v>
      </c>
      <c r="D162" s="13"/>
      <c r="E162" s="13"/>
      <c r="F162" s="13"/>
      <c r="G162" s="13"/>
      <c r="H162" s="3" t="s">
        <v>1123</v>
      </c>
      <c r="I162" s="11" t="s">
        <v>36</v>
      </c>
      <c r="J162" s="11"/>
      <c r="K162" s="11" t="s">
        <v>36</v>
      </c>
      <c r="L162" s="3"/>
    </row>
    <row r="163" spans="1:12" x14ac:dyDescent="0.4">
      <c r="A163" s="12">
        <f t="shared" si="4"/>
        <v>158</v>
      </c>
      <c r="B163" s="16"/>
      <c r="C163" s="12" t="s">
        <v>2533</v>
      </c>
      <c r="D163" s="13"/>
      <c r="E163" s="13"/>
      <c r="F163" s="13"/>
      <c r="G163" s="13"/>
      <c r="H163" s="3" t="s">
        <v>1124</v>
      </c>
      <c r="I163" s="11" t="s">
        <v>36</v>
      </c>
      <c r="J163" s="11"/>
      <c r="K163" s="11" t="s">
        <v>36</v>
      </c>
      <c r="L163" s="3"/>
    </row>
    <row r="164" spans="1:12" x14ac:dyDescent="0.4">
      <c r="A164" s="12">
        <f t="shared" si="4"/>
        <v>159</v>
      </c>
      <c r="B164" s="16"/>
      <c r="C164" s="12" t="s">
        <v>1522</v>
      </c>
      <c r="D164" s="13"/>
      <c r="E164" s="13"/>
      <c r="F164" s="13"/>
      <c r="G164" s="13"/>
      <c r="H164" s="3" t="s">
        <v>1125</v>
      </c>
      <c r="I164" s="11" t="s">
        <v>36</v>
      </c>
      <c r="J164" s="11"/>
      <c r="K164" s="11" t="s">
        <v>36</v>
      </c>
      <c r="L164" s="3"/>
    </row>
    <row r="165" spans="1:12" x14ac:dyDescent="0.4">
      <c r="A165" s="12">
        <f t="shared" si="4"/>
        <v>160</v>
      </c>
      <c r="B165" s="16"/>
      <c r="C165" s="12" t="s">
        <v>954</v>
      </c>
      <c r="D165" s="13"/>
      <c r="E165" s="13"/>
      <c r="F165" s="13"/>
      <c r="G165" s="13"/>
      <c r="H165" s="3" t="s">
        <v>1126</v>
      </c>
      <c r="I165" s="11" t="s">
        <v>36</v>
      </c>
      <c r="J165" s="11"/>
      <c r="K165" s="11" t="s">
        <v>36</v>
      </c>
      <c r="L165" s="3"/>
    </row>
    <row r="166" spans="1:12" x14ac:dyDescent="0.4">
      <c r="A166" s="12">
        <f t="shared" si="4"/>
        <v>161</v>
      </c>
      <c r="B166" s="16"/>
      <c r="C166" s="12" t="s">
        <v>955</v>
      </c>
      <c r="D166" s="13"/>
      <c r="E166" s="13"/>
      <c r="F166" s="13"/>
      <c r="G166" s="13"/>
      <c r="H166" s="3" t="s">
        <v>1127</v>
      </c>
      <c r="I166" s="11" t="s">
        <v>36</v>
      </c>
      <c r="J166" s="11"/>
      <c r="K166" s="11" t="s">
        <v>36</v>
      </c>
      <c r="L166" s="3"/>
    </row>
    <row r="167" spans="1:12" x14ac:dyDescent="0.4">
      <c r="A167" s="12">
        <f t="shared" si="4"/>
        <v>162</v>
      </c>
      <c r="B167" s="16"/>
      <c r="C167" s="15" t="s">
        <v>956</v>
      </c>
      <c r="D167" s="9"/>
      <c r="E167" s="9"/>
      <c r="F167" s="9"/>
      <c r="G167" s="9"/>
      <c r="H167" s="8" t="s">
        <v>1128</v>
      </c>
      <c r="I167" s="2" t="s">
        <v>20</v>
      </c>
      <c r="J167" s="2"/>
      <c r="K167" s="2" t="s">
        <v>20</v>
      </c>
      <c r="L167" s="8"/>
    </row>
    <row r="168" spans="1:12" x14ac:dyDescent="0.4">
      <c r="A168" s="12">
        <f t="shared" si="4"/>
        <v>163</v>
      </c>
      <c r="B168" s="16"/>
      <c r="C168" s="16"/>
      <c r="D168" s="13" t="s">
        <v>957</v>
      </c>
      <c r="E168" s="13"/>
      <c r="F168" s="13"/>
      <c r="G168" s="13"/>
      <c r="H168" s="3" t="s">
        <v>1129</v>
      </c>
      <c r="I168" s="11" t="s">
        <v>20</v>
      </c>
      <c r="J168" s="11"/>
      <c r="K168" s="11" t="s">
        <v>20</v>
      </c>
      <c r="L168" s="3"/>
    </row>
    <row r="169" spans="1:12" x14ac:dyDescent="0.4">
      <c r="A169" s="12">
        <f t="shared" si="4"/>
        <v>164</v>
      </c>
      <c r="B169" s="16"/>
      <c r="C169" s="16"/>
      <c r="D169" s="13" t="s">
        <v>958</v>
      </c>
      <c r="E169" s="13"/>
      <c r="F169" s="13"/>
      <c r="G169" s="13"/>
      <c r="H169" s="3" t="s">
        <v>1130</v>
      </c>
      <c r="I169" s="11" t="s">
        <v>36</v>
      </c>
      <c r="J169" s="11"/>
      <c r="K169" s="11" t="s">
        <v>36</v>
      </c>
      <c r="L169" s="3"/>
    </row>
    <row r="170" spans="1:12" x14ac:dyDescent="0.4">
      <c r="A170" s="12">
        <f t="shared" si="4"/>
        <v>165</v>
      </c>
      <c r="B170" s="16"/>
      <c r="C170" s="16"/>
      <c r="D170" s="13" t="s">
        <v>959</v>
      </c>
      <c r="E170" s="13"/>
      <c r="F170" s="13"/>
      <c r="G170" s="13"/>
      <c r="H170" s="3" t="s">
        <v>1131</v>
      </c>
      <c r="I170" s="11" t="s">
        <v>36</v>
      </c>
      <c r="J170" s="11"/>
      <c r="K170" s="11" t="s">
        <v>36</v>
      </c>
      <c r="L170" s="3"/>
    </row>
    <row r="171" spans="1:12" x14ac:dyDescent="0.4">
      <c r="A171" s="12">
        <f t="shared" si="4"/>
        <v>166</v>
      </c>
      <c r="B171" s="16"/>
      <c r="C171" s="17"/>
      <c r="D171" s="13" t="s">
        <v>960</v>
      </c>
      <c r="E171" s="13"/>
      <c r="F171" s="13"/>
      <c r="G171" s="13"/>
      <c r="H171" s="3" t="s">
        <v>1132</v>
      </c>
      <c r="I171" s="11" t="s">
        <v>36</v>
      </c>
      <c r="J171" s="11"/>
      <c r="K171" s="11" t="s">
        <v>36</v>
      </c>
      <c r="L171" s="3"/>
    </row>
    <row r="172" spans="1:12" x14ac:dyDescent="0.4">
      <c r="A172" s="12">
        <f t="shared" si="4"/>
        <v>167</v>
      </c>
      <c r="B172" s="16"/>
      <c r="C172" s="12" t="s">
        <v>1523</v>
      </c>
      <c r="D172" s="13"/>
      <c r="E172" s="13"/>
      <c r="F172" s="13"/>
      <c r="G172" s="13"/>
      <c r="H172" s="3" t="s">
        <v>1133</v>
      </c>
      <c r="I172" s="11" t="s">
        <v>36</v>
      </c>
      <c r="J172" s="11"/>
      <c r="K172" s="11" t="s">
        <v>36</v>
      </c>
      <c r="L172" s="3"/>
    </row>
    <row r="173" spans="1:12" x14ac:dyDescent="0.4">
      <c r="A173" s="12">
        <f t="shared" si="4"/>
        <v>168</v>
      </c>
      <c r="B173" s="16"/>
      <c r="C173" s="12" t="s">
        <v>2534</v>
      </c>
      <c r="D173" s="13"/>
      <c r="E173" s="13"/>
      <c r="F173" s="13"/>
      <c r="G173" s="13"/>
      <c r="H173" s="3" t="s">
        <v>2535</v>
      </c>
      <c r="I173" s="11" t="s">
        <v>36</v>
      </c>
      <c r="J173" s="11"/>
      <c r="K173" s="11" t="s">
        <v>36</v>
      </c>
      <c r="L173" s="3"/>
    </row>
    <row r="174" spans="1:12" x14ac:dyDescent="0.4">
      <c r="A174" s="12">
        <f t="shared" si="4"/>
        <v>169</v>
      </c>
      <c r="B174" s="16"/>
      <c r="C174" s="12" t="s">
        <v>961</v>
      </c>
      <c r="D174" s="13"/>
      <c r="E174" s="13"/>
      <c r="F174" s="13"/>
      <c r="G174" s="13"/>
      <c r="H174" s="3" t="s">
        <v>1134</v>
      </c>
      <c r="I174" s="11" t="s">
        <v>36</v>
      </c>
      <c r="J174" s="11"/>
      <c r="K174" s="11" t="s">
        <v>36</v>
      </c>
      <c r="L174" s="3"/>
    </row>
    <row r="175" spans="1:12" x14ac:dyDescent="0.4">
      <c r="A175" s="12">
        <f t="shared" si="4"/>
        <v>170</v>
      </c>
      <c r="B175" s="16"/>
      <c r="C175" s="12" t="s">
        <v>962</v>
      </c>
      <c r="D175" s="13"/>
      <c r="E175" s="13"/>
      <c r="F175" s="13"/>
      <c r="G175" s="13"/>
      <c r="H175" s="3" t="s">
        <v>1135</v>
      </c>
      <c r="I175" s="11" t="s">
        <v>36</v>
      </c>
      <c r="J175" s="11"/>
      <c r="K175" s="11" t="s">
        <v>36</v>
      </c>
      <c r="L175" s="3"/>
    </row>
    <row r="176" spans="1:12" x14ac:dyDescent="0.4">
      <c r="A176" s="12">
        <f t="shared" si="4"/>
        <v>171</v>
      </c>
      <c r="B176" s="16"/>
      <c r="C176" s="12" t="s">
        <v>963</v>
      </c>
      <c r="D176" s="13"/>
      <c r="E176" s="13"/>
      <c r="F176" s="13"/>
      <c r="G176" s="13"/>
      <c r="H176" s="3" t="s">
        <v>1136</v>
      </c>
      <c r="I176" s="11" t="s">
        <v>36</v>
      </c>
      <c r="J176" s="11"/>
      <c r="K176" s="11" t="s">
        <v>36</v>
      </c>
      <c r="L176" s="3"/>
    </row>
    <row r="177" spans="1:12" x14ac:dyDescent="0.4">
      <c r="A177" s="12">
        <f t="shared" si="4"/>
        <v>172</v>
      </c>
      <c r="B177" s="16"/>
      <c r="C177" s="15" t="s">
        <v>1524</v>
      </c>
      <c r="D177" s="9"/>
      <c r="E177" s="9"/>
      <c r="F177" s="9"/>
      <c r="G177" s="9"/>
      <c r="H177" s="8" t="s">
        <v>1137</v>
      </c>
      <c r="I177" s="2" t="s">
        <v>36</v>
      </c>
      <c r="J177" s="2"/>
      <c r="K177" s="2" t="s">
        <v>36</v>
      </c>
      <c r="L177" s="8"/>
    </row>
    <row r="178" spans="1:12" x14ac:dyDescent="0.4">
      <c r="A178" s="12">
        <f t="shared" si="4"/>
        <v>173</v>
      </c>
      <c r="B178" s="16"/>
      <c r="C178" s="16"/>
      <c r="D178" s="13" t="s">
        <v>964</v>
      </c>
      <c r="E178" s="13"/>
      <c r="F178" s="13"/>
      <c r="G178" s="13"/>
      <c r="H178" s="3" t="s">
        <v>1138</v>
      </c>
      <c r="I178" s="11" t="s">
        <v>36</v>
      </c>
      <c r="J178" s="11"/>
      <c r="K178" s="11" t="s">
        <v>36</v>
      </c>
      <c r="L178" s="3"/>
    </row>
    <row r="179" spans="1:12" x14ac:dyDescent="0.4">
      <c r="A179" s="12">
        <f t="shared" si="4"/>
        <v>174</v>
      </c>
      <c r="B179" s="16"/>
      <c r="C179" s="16"/>
      <c r="D179" s="13" t="s">
        <v>965</v>
      </c>
      <c r="E179" s="13"/>
      <c r="F179" s="13"/>
      <c r="G179" s="13"/>
      <c r="H179" s="3" t="s">
        <v>1139</v>
      </c>
      <c r="I179" s="11" t="s">
        <v>36</v>
      </c>
      <c r="J179" s="11"/>
      <c r="K179" s="11" t="s">
        <v>36</v>
      </c>
      <c r="L179" s="3"/>
    </row>
    <row r="180" spans="1:12" x14ac:dyDescent="0.4">
      <c r="A180" s="12">
        <f t="shared" si="4"/>
        <v>175</v>
      </c>
      <c r="B180" s="16"/>
      <c r="C180" s="17"/>
      <c r="D180" s="13" t="s">
        <v>966</v>
      </c>
      <c r="E180" s="13"/>
      <c r="F180" s="13"/>
      <c r="G180" s="13"/>
      <c r="H180" s="3" t="s">
        <v>1140</v>
      </c>
      <c r="I180" s="11" t="s">
        <v>36</v>
      </c>
      <c r="J180" s="11"/>
      <c r="K180" s="11" t="s">
        <v>36</v>
      </c>
      <c r="L180" s="3"/>
    </row>
    <row r="181" spans="1:12" x14ac:dyDescent="0.4">
      <c r="A181" s="12">
        <f t="shared" si="4"/>
        <v>176</v>
      </c>
      <c r="B181" s="16"/>
      <c r="C181" s="12" t="s">
        <v>1525</v>
      </c>
      <c r="D181" s="13"/>
      <c r="E181" s="13"/>
      <c r="F181" s="13"/>
      <c r="G181" s="13"/>
      <c r="H181" s="3" t="s">
        <v>1141</v>
      </c>
      <c r="I181" s="11" t="s">
        <v>36</v>
      </c>
      <c r="J181" s="11"/>
      <c r="K181" s="11" t="s">
        <v>36</v>
      </c>
      <c r="L181" s="3"/>
    </row>
    <row r="182" spans="1:12" x14ac:dyDescent="0.4">
      <c r="A182" s="12">
        <f t="shared" si="4"/>
        <v>177</v>
      </c>
      <c r="B182" s="16"/>
      <c r="C182" s="12" t="s">
        <v>1526</v>
      </c>
      <c r="D182" s="13"/>
      <c r="E182" s="13"/>
      <c r="F182" s="13"/>
      <c r="G182" s="13"/>
      <c r="H182" s="3" t="s">
        <v>1142</v>
      </c>
      <c r="I182" s="11" t="s">
        <v>36</v>
      </c>
      <c r="J182" s="11"/>
      <c r="K182" s="11" t="s">
        <v>36</v>
      </c>
      <c r="L182" s="3"/>
    </row>
    <row r="183" spans="1:12" x14ac:dyDescent="0.4">
      <c r="A183" s="12">
        <f t="shared" si="4"/>
        <v>178</v>
      </c>
      <c r="B183" s="16"/>
      <c r="C183" s="12" t="s">
        <v>967</v>
      </c>
      <c r="D183" s="13"/>
      <c r="E183" s="13"/>
      <c r="F183" s="13"/>
      <c r="G183" s="13"/>
      <c r="H183" s="3" t="s">
        <v>1143</v>
      </c>
      <c r="I183" s="11" t="s">
        <v>36</v>
      </c>
      <c r="J183" s="11"/>
      <c r="K183" s="11" t="s">
        <v>36</v>
      </c>
      <c r="L183" s="3"/>
    </row>
    <row r="184" spans="1:12" x14ac:dyDescent="0.4">
      <c r="A184" s="12">
        <f t="shared" si="4"/>
        <v>179</v>
      </c>
      <c r="B184" s="16"/>
      <c r="C184" s="12" t="s">
        <v>1527</v>
      </c>
      <c r="D184" s="13"/>
      <c r="E184" s="13"/>
      <c r="F184" s="13"/>
      <c r="G184" s="13"/>
      <c r="H184" s="3" t="s">
        <v>1144</v>
      </c>
      <c r="I184" s="11" t="s">
        <v>36</v>
      </c>
      <c r="J184" s="11"/>
      <c r="K184" s="11" t="s">
        <v>36</v>
      </c>
      <c r="L184" s="3"/>
    </row>
    <row r="185" spans="1:12" x14ac:dyDescent="0.4">
      <c r="A185" s="12">
        <f t="shared" si="4"/>
        <v>180</v>
      </c>
      <c r="B185" s="16"/>
      <c r="C185" s="12" t="s">
        <v>1528</v>
      </c>
      <c r="D185" s="13"/>
      <c r="E185" s="13"/>
      <c r="F185" s="13"/>
      <c r="G185" s="13"/>
      <c r="H185" s="3" t="s">
        <v>1145</v>
      </c>
      <c r="I185" s="11" t="s">
        <v>20</v>
      </c>
      <c r="J185" s="11"/>
      <c r="K185" s="11" t="s">
        <v>20</v>
      </c>
      <c r="L185" s="3"/>
    </row>
    <row r="186" spans="1:12" x14ac:dyDescent="0.4">
      <c r="A186" s="12">
        <f t="shared" si="4"/>
        <v>181</v>
      </c>
      <c r="B186" s="16"/>
      <c r="C186" s="12" t="s">
        <v>968</v>
      </c>
      <c r="D186" s="13"/>
      <c r="E186" s="13"/>
      <c r="F186" s="13"/>
      <c r="G186" s="13"/>
      <c r="H186" s="3" t="s">
        <v>1146</v>
      </c>
      <c r="I186" s="11" t="s">
        <v>20</v>
      </c>
      <c r="J186" s="11"/>
      <c r="K186" s="11" t="s">
        <v>20</v>
      </c>
      <c r="L186" s="3"/>
    </row>
    <row r="187" spans="1:12" x14ac:dyDescent="0.4">
      <c r="A187" s="12">
        <f t="shared" si="4"/>
        <v>182</v>
      </c>
      <c r="B187" s="16"/>
      <c r="C187" s="12" t="s">
        <v>1529</v>
      </c>
      <c r="D187" s="13"/>
      <c r="E187" s="13"/>
      <c r="F187" s="13"/>
      <c r="G187" s="13"/>
      <c r="H187" s="3" t="s">
        <v>1147</v>
      </c>
      <c r="I187" s="11" t="s">
        <v>36</v>
      </c>
      <c r="J187" s="11"/>
      <c r="K187" s="11" t="s">
        <v>36</v>
      </c>
      <c r="L187" s="3"/>
    </row>
    <row r="188" spans="1:12" x14ac:dyDescent="0.4">
      <c r="A188" s="12">
        <f t="shared" si="4"/>
        <v>183</v>
      </c>
      <c r="B188" s="16"/>
      <c r="C188" s="12" t="s">
        <v>1530</v>
      </c>
      <c r="D188" s="13"/>
      <c r="E188" s="13"/>
      <c r="F188" s="13"/>
      <c r="G188" s="13"/>
      <c r="H188" s="3" t="s">
        <v>1148</v>
      </c>
      <c r="I188" s="11" t="s">
        <v>36</v>
      </c>
      <c r="J188" s="11"/>
      <c r="K188" s="11" t="s">
        <v>36</v>
      </c>
      <c r="L188" s="3"/>
    </row>
    <row r="189" spans="1:12" x14ac:dyDescent="0.4">
      <c r="A189" s="12">
        <f t="shared" si="4"/>
        <v>184</v>
      </c>
      <c r="B189" s="16"/>
      <c r="C189" s="12" t="s">
        <v>2536</v>
      </c>
      <c r="D189" s="13"/>
      <c r="E189" s="13"/>
      <c r="F189" s="13"/>
      <c r="G189" s="13"/>
      <c r="H189" s="3" t="s">
        <v>2537</v>
      </c>
      <c r="I189" s="11" t="s">
        <v>36</v>
      </c>
      <c r="J189" s="11"/>
      <c r="K189" s="11" t="s">
        <v>36</v>
      </c>
      <c r="L189" s="3"/>
    </row>
    <row r="190" spans="1:12" x14ac:dyDescent="0.4">
      <c r="A190" s="12">
        <f t="shared" si="4"/>
        <v>185</v>
      </c>
      <c r="B190" s="16"/>
      <c r="C190" s="12" t="s">
        <v>2538</v>
      </c>
      <c r="D190" s="13"/>
      <c r="E190" s="13"/>
      <c r="F190" s="13"/>
      <c r="G190" s="13"/>
      <c r="H190" s="3" t="s">
        <v>2539</v>
      </c>
      <c r="I190" s="11" t="s">
        <v>36</v>
      </c>
      <c r="J190" s="11"/>
      <c r="K190" s="11" t="s">
        <v>36</v>
      </c>
      <c r="L190" s="3"/>
    </row>
    <row r="191" spans="1:12" x14ac:dyDescent="0.4">
      <c r="A191" s="12">
        <f t="shared" si="4"/>
        <v>186</v>
      </c>
      <c r="B191" s="16"/>
      <c r="C191" s="12" t="s">
        <v>2540</v>
      </c>
      <c r="D191" s="13"/>
      <c r="E191" s="13"/>
      <c r="F191" s="13"/>
      <c r="G191" s="13"/>
      <c r="H191" s="3" t="s">
        <v>2541</v>
      </c>
      <c r="I191" s="11" t="s">
        <v>20</v>
      </c>
      <c r="J191" s="11"/>
      <c r="K191" s="11" t="s">
        <v>20</v>
      </c>
      <c r="L191" s="3"/>
    </row>
    <row r="192" spans="1:12" x14ac:dyDescent="0.4">
      <c r="A192" s="12">
        <f t="shared" si="4"/>
        <v>187</v>
      </c>
      <c r="B192" s="16"/>
      <c r="C192" s="12" t="s">
        <v>2542</v>
      </c>
      <c r="D192" s="13"/>
      <c r="E192" s="13"/>
      <c r="F192" s="13"/>
      <c r="G192" s="13"/>
      <c r="H192" s="3" t="s">
        <v>2544</v>
      </c>
      <c r="I192" s="11" t="s">
        <v>36</v>
      </c>
      <c r="J192" s="11"/>
      <c r="K192" s="11" t="s">
        <v>36</v>
      </c>
      <c r="L192" s="3"/>
    </row>
    <row r="193" spans="1:12" x14ac:dyDescent="0.4">
      <c r="A193" s="12">
        <f t="shared" si="4"/>
        <v>188</v>
      </c>
      <c r="B193" s="16"/>
      <c r="C193" s="12" t="s">
        <v>2543</v>
      </c>
      <c r="D193" s="13"/>
      <c r="E193" s="13"/>
      <c r="F193" s="13"/>
      <c r="G193" s="13"/>
      <c r="H193" s="3" t="s">
        <v>2545</v>
      </c>
      <c r="I193" s="11" t="s">
        <v>36</v>
      </c>
      <c r="J193" s="11"/>
      <c r="K193" s="11" t="s">
        <v>36</v>
      </c>
      <c r="L193" s="3"/>
    </row>
    <row r="194" spans="1:12" x14ac:dyDescent="0.4">
      <c r="A194" s="12">
        <f t="shared" si="4"/>
        <v>189</v>
      </c>
      <c r="B194" s="16"/>
      <c r="C194" s="12" t="s">
        <v>1531</v>
      </c>
      <c r="D194" s="13"/>
      <c r="E194" s="13"/>
      <c r="F194" s="13"/>
      <c r="G194" s="13"/>
      <c r="H194" s="3" t="s">
        <v>1149</v>
      </c>
      <c r="I194" s="11" t="s">
        <v>36</v>
      </c>
      <c r="J194" s="11"/>
      <c r="K194" s="11" t="s">
        <v>36</v>
      </c>
      <c r="L194" s="3"/>
    </row>
    <row r="195" spans="1:12" x14ac:dyDescent="0.4">
      <c r="A195" s="12">
        <f t="shared" si="4"/>
        <v>190</v>
      </c>
      <c r="B195" s="16"/>
      <c r="C195" s="12" t="s">
        <v>2546</v>
      </c>
      <c r="D195" s="13"/>
      <c r="E195" s="13"/>
      <c r="F195" s="13"/>
      <c r="G195" s="13"/>
      <c r="H195" s="3" t="s">
        <v>2547</v>
      </c>
      <c r="I195" s="11" t="s">
        <v>36</v>
      </c>
      <c r="J195" s="11"/>
      <c r="K195" s="11" t="s">
        <v>36</v>
      </c>
      <c r="L195" s="3"/>
    </row>
    <row r="196" spans="1:12" x14ac:dyDescent="0.4">
      <c r="A196" s="12">
        <f t="shared" si="4"/>
        <v>191</v>
      </c>
      <c r="B196" s="16"/>
      <c r="C196" s="12" t="s">
        <v>1532</v>
      </c>
      <c r="D196" s="13"/>
      <c r="E196" s="13"/>
      <c r="F196" s="13"/>
      <c r="G196" s="13"/>
      <c r="H196" s="3" t="s">
        <v>1150</v>
      </c>
      <c r="I196" s="11" t="s">
        <v>36</v>
      </c>
      <c r="J196" s="11"/>
      <c r="K196" s="11" t="s">
        <v>36</v>
      </c>
      <c r="L196" s="3"/>
    </row>
    <row r="197" spans="1:12" x14ac:dyDescent="0.4">
      <c r="A197" s="12">
        <f t="shared" si="4"/>
        <v>192</v>
      </c>
      <c r="B197" s="16"/>
      <c r="C197" s="12" t="s">
        <v>1533</v>
      </c>
      <c r="D197" s="13"/>
      <c r="E197" s="13"/>
      <c r="F197" s="13"/>
      <c r="G197" s="13"/>
      <c r="H197" s="3" t="s">
        <v>1151</v>
      </c>
      <c r="I197" s="11" t="s">
        <v>36</v>
      </c>
      <c r="J197" s="11"/>
      <c r="K197" s="11" t="s">
        <v>36</v>
      </c>
      <c r="L197" s="3"/>
    </row>
    <row r="198" spans="1:12" x14ac:dyDescent="0.4">
      <c r="A198" s="12">
        <f t="shared" si="4"/>
        <v>193</v>
      </c>
      <c r="B198" s="16"/>
      <c r="C198" s="15" t="s">
        <v>1534</v>
      </c>
      <c r="D198" s="9"/>
      <c r="E198" s="9"/>
      <c r="F198" s="9"/>
      <c r="G198" s="9"/>
      <c r="H198" s="8" t="s">
        <v>1152</v>
      </c>
      <c r="I198" s="2" t="s">
        <v>36</v>
      </c>
      <c r="J198" s="2"/>
      <c r="K198" s="2" t="s">
        <v>36</v>
      </c>
      <c r="L198" s="8"/>
    </row>
    <row r="199" spans="1:12" x14ac:dyDescent="0.4">
      <c r="A199" s="12">
        <f t="shared" si="4"/>
        <v>194</v>
      </c>
      <c r="B199" s="16"/>
      <c r="C199" s="16"/>
      <c r="D199" s="13" t="s">
        <v>1535</v>
      </c>
      <c r="E199" s="13"/>
      <c r="F199" s="13"/>
      <c r="G199" s="13"/>
      <c r="H199" s="3" t="s">
        <v>1153</v>
      </c>
      <c r="I199" s="11" t="s">
        <v>36</v>
      </c>
      <c r="J199" s="11"/>
      <c r="K199" s="11" t="s">
        <v>36</v>
      </c>
      <c r="L199" s="3"/>
    </row>
    <row r="200" spans="1:12" x14ac:dyDescent="0.4">
      <c r="A200" s="12">
        <f t="shared" si="4"/>
        <v>195</v>
      </c>
      <c r="B200" s="16"/>
      <c r="C200" s="17"/>
      <c r="D200" s="13" t="s">
        <v>1536</v>
      </c>
      <c r="E200" s="13"/>
      <c r="F200" s="13"/>
      <c r="G200" s="13"/>
      <c r="H200" s="3" t="s">
        <v>1154</v>
      </c>
      <c r="I200" s="11" t="s">
        <v>36</v>
      </c>
      <c r="J200" s="11"/>
      <c r="K200" s="11" t="s">
        <v>36</v>
      </c>
      <c r="L200" s="3"/>
    </row>
    <row r="201" spans="1:12" x14ac:dyDescent="0.4">
      <c r="A201" s="12">
        <f t="shared" si="4"/>
        <v>196</v>
      </c>
      <c r="B201" s="16"/>
      <c r="C201" s="12" t="s">
        <v>969</v>
      </c>
      <c r="D201" s="13"/>
      <c r="E201" s="13"/>
      <c r="F201" s="13"/>
      <c r="G201" s="13"/>
      <c r="H201" s="3" t="s">
        <v>1155</v>
      </c>
      <c r="I201" s="11" t="s">
        <v>36</v>
      </c>
      <c r="J201" s="11"/>
      <c r="K201" s="11" t="s">
        <v>36</v>
      </c>
      <c r="L201" s="3"/>
    </row>
    <row r="202" spans="1:12" x14ac:dyDescent="0.4">
      <c r="A202" s="12">
        <f t="shared" si="4"/>
        <v>197</v>
      </c>
      <c r="B202" s="16"/>
      <c r="C202" s="12" t="s">
        <v>1537</v>
      </c>
      <c r="D202" s="13"/>
      <c r="E202" s="13"/>
      <c r="F202" s="13"/>
      <c r="G202" s="13"/>
      <c r="H202" s="3" t="s">
        <v>1156</v>
      </c>
      <c r="I202" s="11" t="s">
        <v>36</v>
      </c>
      <c r="J202" s="11"/>
      <c r="K202" s="11" t="s">
        <v>36</v>
      </c>
      <c r="L202" s="3"/>
    </row>
    <row r="203" spans="1:12" x14ac:dyDescent="0.4">
      <c r="A203" s="12">
        <f t="shared" si="4"/>
        <v>198</v>
      </c>
      <c r="B203" s="16"/>
      <c r="C203" s="12" t="s">
        <v>970</v>
      </c>
      <c r="D203" s="13"/>
      <c r="E203" s="13"/>
      <c r="F203" s="13"/>
      <c r="G203" s="13"/>
      <c r="H203" s="3" t="s">
        <v>1157</v>
      </c>
      <c r="I203" s="11" t="s">
        <v>36</v>
      </c>
      <c r="J203" s="11"/>
      <c r="K203" s="11" t="s">
        <v>36</v>
      </c>
      <c r="L203" s="3"/>
    </row>
    <row r="204" spans="1:12" x14ac:dyDescent="0.4">
      <c r="A204" s="12">
        <f t="shared" si="4"/>
        <v>199</v>
      </c>
      <c r="B204" s="16"/>
      <c r="C204" s="15" t="s">
        <v>1538</v>
      </c>
      <c r="D204" s="9"/>
      <c r="E204" s="9"/>
      <c r="F204" s="9"/>
      <c r="G204" s="9"/>
      <c r="H204" s="8" t="s">
        <v>1158</v>
      </c>
      <c r="I204" s="2" t="s">
        <v>36</v>
      </c>
      <c r="J204" s="2"/>
      <c r="K204" s="2" t="s">
        <v>36</v>
      </c>
      <c r="L204" s="8"/>
    </row>
    <row r="205" spans="1:12" x14ac:dyDescent="0.4">
      <c r="A205" s="12">
        <f t="shared" si="4"/>
        <v>200</v>
      </c>
      <c r="B205" s="16"/>
      <c r="C205" s="16"/>
      <c r="D205" s="27" t="s">
        <v>1539</v>
      </c>
      <c r="E205" s="9"/>
      <c r="F205" s="9"/>
      <c r="G205" s="9"/>
      <c r="H205" s="8" t="s">
        <v>1159</v>
      </c>
      <c r="I205" s="2" t="s">
        <v>36</v>
      </c>
      <c r="J205" s="2"/>
      <c r="K205" s="2" t="s">
        <v>36</v>
      </c>
      <c r="L205" s="8"/>
    </row>
    <row r="206" spans="1:12" x14ac:dyDescent="0.4">
      <c r="A206" s="12">
        <f t="shared" si="4"/>
        <v>201</v>
      </c>
      <c r="B206" s="16"/>
      <c r="C206" s="16"/>
      <c r="D206" s="16"/>
      <c r="E206" s="13" t="s">
        <v>1540</v>
      </c>
      <c r="F206" s="13"/>
      <c r="G206" s="13"/>
      <c r="H206" s="3" t="s">
        <v>1160</v>
      </c>
      <c r="I206" s="11" t="s">
        <v>36</v>
      </c>
      <c r="J206" s="11"/>
      <c r="K206" s="11" t="s">
        <v>36</v>
      </c>
      <c r="L206" s="3"/>
    </row>
    <row r="207" spans="1:12" x14ac:dyDescent="0.4">
      <c r="A207" s="12">
        <f t="shared" ref="A207:A271" si="5">A206+1</f>
        <v>202</v>
      </c>
      <c r="B207" s="16"/>
      <c r="C207" s="16"/>
      <c r="D207" s="16"/>
      <c r="E207" s="13" t="s">
        <v>1541</v>
      </c>
      <c r="F207" s="13"/>
      <c r="G207" s="13"/>
      <c r="H207" s="3" t="s">
        <v>1161</v>
      </c>
      <c r="I207" s="11" t="s">
        <v>36</v>
      </c>
      <c r="J207" s="11"/>
      <c r="K207" s="11" t="s">
        <v>36</v>
      </c>
      <c r="L207" s="3"/>
    </row>
    <row r="208" spans="1:12" x14ac:dyDescent="0.4">
      <c r="A208" s="12">
        <f t="shared" si="5"/>
        <v>203</v>
      </c>
      <c r="B208" s="16"/>
      <c r="C208" s="16"/>
      <c r="D208" s="16"/>
      <c r="E208" s="13" t="s">
        <v>1542</v>
      </c>
      <c r="F208" s="13"/>
      <c r="G208" s="13"/>
      <c r="H208" s="3" t="s">
        <v>1162</v>
      </c>
      <c r="I208" s="11" t="s">
        <v>36</v>
      </c>
      <c r="J208" s="11"/>
      <c r="K208" s="11" t="s">
        <v>36</v>
      </c>
      <c r="L208" s="3"/>
    </row>
    <row r="209" spans="1:12" x14ac:dyDescent="0.4">
      <c r="A209" s="12">
        <f t="shared" si="5"/>
        <v>204</v>
      </c>
      <c r="B209" s="16"/>
      <c r="C209" s="16"/>
      <c r="D209" s="16"/>
      <c r="E209" s="13" t="s">
        <v>1543</v>
      </c>
      <c r="F209" s="13"/>
      <c r="G209" s="13"/>
      <c r="H209" s="3" t="s">
        <v>1163</v>
      </c>
      <c r="I209" s="11" t="s">
        <v>36</v>
      </c>
      <c r="J209" s="11"/>
      <c r="K209" s="11" t="s">
        <v>36</v>
      </c>
      <c r="L209" s="3"/>
    </row>
    <row r="210" spans="1:12" x14ac:dyDescent="0.4">
      <c r="A210" s="12">
        <f t="shared" si="5"/>
        <v>205</v>
      </c>
      <c r="B210" s="16"/>
      <c r="C210" s="16"/>
      <c r="D210" s="16"/>
      <c r="E210" s="13" t="s">
        <v>1544</v>
      </c>
      <c r="F210" s="13"/>
      <c r="G210" s="13"/>
      <c r="H210" s="3" t="s">
        <v>1164</v>
      </c>
      <c r="I210" s="11" t="s">
        <v>36</v>
      </c>
      <c r="J210" s="11"/>
      <c r="K210" s="11" t="s">
        <v>36</v>
      </c>
      <c r="L210" s="3"/>
    </row>
    <row r="211" spans="1:12" x14ac:dyDescent="0.4">
      <c r="A211" s="12">
        <f t="shared" si="5"/>
        <v>206</v>
      </c>
      <c r="B211" s="16"/>
      <c r="C211" s="16"/>
      <c r="D211" s="16"/>
      <c r="E211" s="13" t="s">
        <v>1545</v>
      </c>
      <c r="F211" s="13"/>
      <c r="G211" s="13"/>
      <c r="H211" s="3" t="s">
        <v>1165</v>
      </c>
      <c r="I211" s="11" t="s">
        <v>36</v>
      </c>
      <c r="J211" s="11"/>
      <c r="K211" s="11" t="s">
        <v>36</v>
      </c>
      <c r="L211" s="3"/>
    </row>
    <row r="212" spans="1:12" x14ac:dyDescent="0.4">
      <c r="A212" s="12">
        <f t="shared" si="5"/>
        <v>207</v>
      </c>
      <c r="B212" s="16"/>
      <c r="C212" s="24"/>
      <c r="D212" s="12" t="s">
        <v>1546</v>
      </c>
      <c r="E212" s="13"/>
      <c r="F212" s="13"/>
      <c r="G212" s="13"/>
      <c r="H212" s="3" t="s">
        <v>1166</v>
      </c>
      <c r="I212" s="11" t="s">
        <v>36</v>
      </c>
      <c r="J212" s="11"/>
      <c r="K212" s="11" t="s">
        <v>36</v>
      </c>
      <c r="L212" s="3"/>
    </row>
    <row r="213" spans="1:12" x14ac:dyDescent="0.4">
      <c r="A213" s="12">
        <f t="shared" si="5"/>
        <v>208</v>
      </c>
      <c r="B213" s="16"/>
      <c r="C213" s="12" t="s">
        <v>1547</v>
      </c>
      <c r="D213" s="13"/>
      <c r="E213" s="13"/>
      <c r="F213" s="13"/>
      <c r="G213" s="13"/>
      <c r="H213" s="3" t="s">
        <v>1167</v>
      </c>
      <c r="I213" s="11" t="s">
        <v>36</v>
      </c>
      <c r="J213" s="11"/>
      <c r="K213" s="11" t="s">
        <v>36</v>
      </c>
      <c r="L213" s="3"/>
    </row>
    <row r="214" spans="1:12" x14ac:dyDescent="0.4">
      <c r="A214" s="12">
        <f t="shared" si="5"/>
        <v>209</v>
      </c>
      <c r="B214" s="16"/>
      <c r="C214" s="12" t="s">
        <v>1548</v>
      </c>
      <c r="D214" s="13"/>
      <c r="E214" s="13"/>
      <c r="F214" s="13"/>
      <c r="G214" s="13"/>
      <c r="H214" s="3" t="s">
        <v>1168</v>
      </c>
      <c r="I214" s="11" t="s">
        <v>36</v>
      </c>
      <c r="J214" s="11"/>
      <c r="K214" s="11" t="s">
        <v>36</v>
      </c>
      <c r="L214" s="3"/>
    </row>
    <row r="215" spans="1:12" x14ac:dyDescent="0.4">
      <c r="A215" s="12">
        <f t="shared" si="5"/>
        <v>210</v>
      </c>
      <c r="B215" s="16"/>
      <c r="C215" s="15" t="s">
        <v>1549</v>
      </c>
      <c r="D215" s="9"/>
      <c r="E215" s="9"/>
      <c r="F215" s="9"/>
      <c r="G215" s="9"/>
      <c r="H215" s="8" t="s">
        <v>1169</v>
      </c>
      <c r="I215" s="2" t="s">
        <v>36</v>
      </c>
      <c r="J215" s="2"/>
      <c r="K215" s="2" t="s">
        <v>36</v>
      </c>
      <c r="L215" s="8"/>
    </row>
    <row r="216" spans="1:12" x14ac:dyDescent="0.4">
      <c r="A216" s="12">
        <f t="shared" si="5"/>
        <v>211</v>
      </c>
      <c r="B216" s="16"/>
      <c r="C216" s="16"/>
      <c r="D216" s="27" t="s">
        <v>1550</v>
      </c>
      <c r="E216" s="9"/>
      <c r="F216" s="9"/>
      <c r="G216" s="9"/>
      <c r="H216" s="8" t="s">
        <v>1170</v>
      </c>
      <c r="I216" s="2" t="s">
        <v>36</v>
      </c>
      <c r="J216" s="2"/>
      <c r="K216" s="2" t="s">
        <v>36</v>
      </c>
      <c r="L216" s="8"/>
    </row>
    <row r="217" spans="1:12" x14ac:dyDescent="0.4">
      <c r="A217" s="12">
        <f t="shared" si="5"/>
        <v>212</v>
      </c>
      <c r="B217" s="16"/>
      <c r="C217" s="16"/>
      <c r="D217" s="28"/>
      <c r="E217" s="13" t="s">
        <v>1551</v>
      </c>
      <c r="F217" s="13"/>
      <c r="G217" s="13"/>
      <c r="H217" s="3" t="s">
        <v>1171</v>
      </c>
      <c r="I217" s="11" t="s">
        <v>36</v>
      </c>
      <c r="J217" s="11"/>
      <c r="K217" s="11" t="s">
        <v>36</v>
      </c>
      <c r="L217" s="3"/>
    </row>
    <row r="218" spans="1:12" x14ac:dyDescent="0.4">
      <c r="A218" s="12">
        <f t="shared" si="5"/>
        <v>213</v>
      </c>
      <c r="B218" s="16"/>
      <c r="C218" s="16"/>
      <c r="D218" s="28"/>
      <c r="E218" s="27" t="s">
        <v>1552</v>
      </c>
      <c r="F218" s="9"/>
      <c r="G218" s="9"/>
      <c r="H218" s="8" t="s">
        <v>1172</v>
      </c>
      <c r="I218" s="2" t="s">
        <v>36</v>
      </c>
      <c r="J218" s="2"/>
      <c r="K218" s="2" t="s">
        <v>36</v>
      </c>
      <c r="L218" s="8"/>
    </row>
    <row r="219" spans="1:12" x14ac:dyDescent="0.4">
      <c r="A219" s="12">
        <f t="shared" si="5"/>
        <v>214</v>
      </c>
      <c r="B219" s="16"/>
      <c r="C219" s="16"/>
      <c r="D219" s="28"/>
      <c r="E219" s="28"/>
      <c r="F219" s="13" t="s">
        <v>1553</v>
      </c>
      <c r="G219" s="13"/>
      <c r="H219" s="3" t="s">
        <v>1173</v>
      </c>
      <c r="I219" s="11" t="s">
        <v>36</v>
      </c>
      <c r="J219" s="11"/>
      <c r="K219" s="11" t="s">
        <v>36</v>
      </c>
      <c r="L219" s="3"/>
    </row>
    <row r="220" spans="1:12" x14ac:dyDescent="0.4">
      <c r="A220" s="12">
        <f t="shared" si="5"/>
        <v>215</v>
      </c>
      <c r="B220" s="16"/>
      <c r="C220" s="16"/>
      <c r="D220" s="28"/>
      <c r="E220" s="29"/>
      <c r="F220" s="13" t="s">
        <v>1554</v>
      </c>
      <c r="G220" s="13"/>
      <c r="H220" s="3" t="s">
        <v>1174</v>
      </c>
      <c r="I220" s="11" t="s">
        <v>36</v>
      </c>
      <c r="J220" s="11"/>
      <c r="K220" s="11" t="s">
        <v>36</v>
      </c>
      <c r="L220" s="3"/>
    </row>
    <row r="221" spans="1:12" x14ac:dyDescent="0.4">
      <c r="A221" s="12">
        <f t="shared" si="5"/>
        <v>216</v>
      </c>
      <c r="B221" s="16"/>
      <c r="C221" s="16"/>
      <c r="D221" s="28"/>
      <c r="E221" s="13" t="s">
        <v>1555</v>
      </c>
      <c r="F221" s="13"/>
      <c r="G221" s="13"/>
      <c r="H221" s="3" t="s">
        <v>1175</v>
      </c>
      <c r="I221" s="11" t="s">
        <v>36</v>
      </c>
      <c r="J221" s="11"/>
      <c r="K221" s="11" t="s">
        <v>36</v>
      </c>
      <c r="L221" s="3"/>
    </row>
    <row r="222" spans="1:12" x14ac:dyDescent="0.4">
      <c r="A222" s="12">
        <f t="shared" si="5"/>
        <v>217</v>
      </c>
      <c r="B222" s="16"/>
      <c r="C222" s="16"/>
      <c r="D222" s="28"/>
      <c r="E222" s="13" t="s">
        <v>1556</v>
      </c>
      <c r="F222" s="13"/>
      <c r="G222" s="13"/>
      <c r="H222" s="3" t="s">
        <v>1176</v>
      </c>
      <c r="I222" s="11" t="s">
        <v>36</v>
      </c>
      <c r="J222" s="11"/>
      <c r="K222" s="11" t="s">
        <v>36</v>
      </c>
      <c r="L222" s="3"/>
    </row>
    <row r="223" spans="1:12" x14ac:dyDescent="0.4">
      <c r="A223" s="12">
        <f t="shared" si="5"/>
        <v>218</v>
      </c>
      <c r="B223" s="16"/>
      <c r="C223" s="16"/>
      <c r="D223" s="28"/>
      <c r="E223" s="13" t="s">
        <v>971</v>
      </c>
      <c r="F223" s="13"/>
      <c r="G223" s="13"/>
      <c r="H223" s="3" t="s">
        <v>1177</v>
      </c>
      <c r="I223" s="11" t="s">
        <v>36</v>
      </c>
      <c r="J223" s="11"/>
      <c r="K223" s="11" t="s">
        <v>36</v>
      </c>
      <c r="L223" s="3"/>
    </row>
    <row r="224" spans="1:12" x14ac:dyDescent="0.4">
      <c r="A224" s="12">
        <f t="shared" si="5"/>
        <v>219</v>
      </c>
      <c r="B224" s="16"/>
      <c r="C224" s="16"/>
      <c r="D224" s="28"/>
      <c r="E224" s="13" t="s">
        <v>1557</v>
      </c>
      <c r="F224" s="13"/>
      <c r="G224" s="13"/>
      <c r="H224" s="3" t="s">
        <v>1178</v>
      </c>
      <c r="I224" s="11" t="s">
        <v>36</v>
      </c>
      <c r="J224" s="11"/>
      <c r="K224" s="11" t="s">
        <v>36</v>
      </c>
      <c r="L224" s="3"/>
    </row>
    <row r="225" spans="1:12" x14ac:dyDescent="0.4">
      <c r="A225" s="12">
        <f t="shared" si="5"/>
        <v>220</v>
      </c>
      <c r="B225" s="16"/>
      <c r="C225" s="16"/>
      <c r="D225" s="28"/>
      <c r="E225" s="13" t="s">
        <v>2548</v>
      </c>
      <c r="F225" s="13"/>
      <c r="G225" s="13"/>
      <c r="H225" s="3" t="s">
        <v>2549</v>
      </c>
      <c r="I225" s="11" t="s">
        <v>36</v>
      </c>
      <c r="J225" s="11"/>
      <c r="K225" s="11" t="s">
        <v>36</v>
      </c>
      <c r="L225" s="3"/>
    </row>
    <row r="226" spans="1:12" x14ac:dyDescent="0.4">
      <c r="A226" s="12">
        <f t="shared" si="5"/>
        <v>221</v>
      </c>
      <c r="B226" s="16"/>
      <c r="C226" s="16"/>
      <c r="D226" s="28"/>
      <c r="E226" s="13" t="s">
        <v>1558</v>
      </c>
      <c r="F226" s="13"/>
      <c r="G226" s="13"/>
      <c r="H226" s="3" t="s">
        <v>1179</v>
      </c>
      <c r="I226" s="11" t="s">
        <v>36</v>
      </c>
      <c r="J226" s="11"/>
      <c r="K226" s="11" t="s">
        <v>36</v>
      </c>
      <c r="L226" s="3"/>
    </row>
    <row r="227" spans="1:12" x14ac:dyDescent="0.4">
      <c r="A227" s="12">
        <f t="shared" si="5"/>
        <v>222</v>
      </c>
      <c r="B227" s="16"/>
      <c r="C227" s="16"/>
      <c r="D227" s="28"/>
      <c r="E227" s="13" t="s">
        <v>1559</v>
      </c>
      <c r="F227" s="13"/>
      <c r="G227" s="13"/>
      <c r="H227" s="3" t="s">
        <v>1180</v>
      </c>
      <c r="I227" s="11" t="s">
        <v>36</v>
      </c>
      <c r="J227" s="11"/>
      <c r="K227" s="11" t="s">
        <v>36</v>
      </c>
      <c r="L227" s="3"/>
    </row>
    <row r="228" spans="1:12" x14ac:dyDescent="0.4">
      <c r="A228" s="12">
        <f t="shared" si="5"/>
        <v>223</v>
      </c>
      <c r="B228" s="16"/>
      <c r="C228" s="16"/>
      <c r="D228" s="28"/>
      <c r="E228" s="13" t="s">
        <v>1560</v>
      </c>
      <c r="F228" s="13"/>
      <c r="G228" s="13"/>
      <c r="H228" s="3" t="s">
        <v>1181</v>
      </c>
      <c r="I228" s="11" t="s">
        <v>36</v>
      </c>
      <c r="J228" s="11"/>
      <c r="K228" s="11" t="s">
        <v>36</v>
      </c>
      <c r="L228" s="3"/>
    </row>
    <row r="229" spans="1:12" x14ac:dyDescent="0.4">
      <c r="A229" s="12">
        <f t="shared" si="5"/>
        <v>224</v>
      </c>
      <c r="B229" s="16"/>
      <c r="C229" s="16"/>
      <c r="D229" s="28"/>
      <c r="E229" s="13" t="s">
        <v>2550</v>
      </c>
      <c r="F229" s="13"/>
      <c r="G229" s="13"/>
      <c r="H229" s="3" t="s">
        <v>2551</v>
      </c>
      <c r="I229" s="11" t="s">
        <v>36</v>
      </c>
      <c r="J229" s="11"/>
      <c r="K229" s="11" t="s">
        <v>36</v>
      </c>
      <c r="L229" s="3"/>
    </row>
    <row r="230" spans="1:12" x14ac:dyDescent="0.4">
      <c r="A230" s="12">
        <f t="shared" si="5"/>
        <v>225</v>
      </c>
      <c r="B230" s="16"/>
      <c r="C230" s="16"/>
      <c r="D230" s="28"/>
      <c r="E230" s="13" t="s">
        <v>1561</v>
      </c>
      <c r="F230" s="13"/>
      <c r="G230" s="13"/>
      <c r="H230" s="3" t="s">
        <v>1182</v>
      </c>
      <c r="I230" s="11" t="s">
        <v>36</v>
      </c>
      <c r="J230" s="11"/>
      <c r="K230" s="11" t="s">
        <v>36</v>
      </c>
      <c r="L230" s="3"/>
    </row>
    <row r="231" spans="1:12" x14ac:dyDescent="0.4">
      <c r="A231" s="12">
        <f t="shared" si="5"/>
        <v>226</v>
      </c>
      <c r="B231" s="16"/>
      <c r="C231" s="16"/>
      <c r="D231" s="28"/>
      <c r="E231" s="27" t="s">
        <v>1562</v>
      </c>
      <c r="F231" s="9"/>
      <c r="G231" s="9"/>
      <c r="H231" s="8" t="s">
        <v>1183</v>
      </c>
      <c r="I231" s="2" t="s">
        <v>36</v>
      </c>
      <c r="J231" s="2"/>
      <c r="K231" s="2" t="s">
        <v>36</v>
      </c>
      <c r="L231" s="8"/>
    </row>
    <row r="232" spans="1:12" x14ac:dyDescent="0.4">
      <c r="A232" s="12">
        <f t="shared" si="5"/>
        <v>227</v>
      </c>
      <c r="B232" s="16"/>
      <c r="C232" s="16"/>
      <c r="D232" s="28"/>
      <c r="E232" s="28"/>
      <c r="F232" s="13" t="s">
        <v>1563</v>
      </c>
      <c r="G232" s="13"/>
      <c r="H232" s="3" t="s">
        <v>1184</v>
      </c>
      <c r="I232" s="11" t="s">
        <v>36</v>
      </c>
      <c r="J232" s="11"/>
      <c r="K232" s="11" t="s">
        <v>36</v>
      </c>
      <c r="L232" s="3"/>
    </row>
    <row r="233" spans="1:12" x14ac:dyDescent="0.4">
      <c r="A233" s="12">
        <f t="shared" si="5"/>
        <v>228</v>
      </c>
      <c r="B233" s="16"/>
      <c r="C233" s="16"/>
      <c r="D233" s="28"/>
      <c r="E233" s="28"/>
      <c r="F233" s="13" t="s">
        <v>1564</v>
      </c>
      <c r="G233" s="13"/>
      <c r="H233" s="3" t="s">
        <v>1185</v>
      </c>
      <c r="I233" s="11" t="s">
        <v>36</v>
      </c>
      <c r="J233" s="11"/>
      <c r="K233" s="11" t="s">
        <v>36</v>
      </c>
      <c r="L233" s="3"/>
    </row>
    <row r="234" spans="1:12" x14ac:dyDescent="0.4">
      <c r="A234" s="12">
        <f t="shared" si="5"/>
        <v>229</v>
      </c>
      <c r="B234" s="16"/>
      <c r="C234" s="16"/>
      <c r="D234" s="28"/>
      <c r="E234" s="28"/>
      <c r="F234" s="13" t="s">
        <v>1565</v>
      </c>
      <c r="G234" s="13"/>
      <c r="H234" s="3" t="s">
        <v>1186</v>
      </c>
      <c r="I234" s="11" t="s">
        <v>36</v>
      </c>
      <c r="J234" s="11"/>
      <c r="K234" s="11" t="s">
        <v>36</v>
      </c>
      <c r="L234" s="3"/>
    </row>
    <row r="235" spans="1:12" x14ac:dyDescent="0.4">
      <c r="A235" s="12">
        <f t="shared" si="5"/>
        <v>230</v>
      </c>
      <c r="B235" s="16"/>
      <c r="C235" s="16"/>
      <c r="D235" s="29"/>
      <c r="E235" s="29"/>
      <c r="F235" s="13" t="s">
        <v>1566</v>
      </c>
      <c r="G235" s="13"/>
      <c r="H235" s="3" t="s">
        <v>1187</v>
      </c>
      <c r="I235" s="11" t="s">
        <v>36</v>
      </c>
      <c r="J235" s="11"/>
      <c r="K235" s="11" t="s">
        <v>36</v>
      </c>
      <c r="L235" s="3"/>
    </row>
    <row r="236" spans="1:12" x14ac:dyDescent="0.4">
      <c r="A236" s="12">
        <f t="shared" si="5"/>
        <v>231</v>
      </c>
      <c r="B236" s="16"/>
      <c r="C236" s="16"/>
      <c r="D236" s="27" t="s">
        <v>1567</v>
      </c>
      <c r="E236" s="9"/>
      <c r="F236" s="9"/>
      <c r="G236" s="9"/>
      <c r="H236" s="8" t="s">
        <v>1188</v>
      </c>
      <c r="I236" s="2" t="s">
        <v>36</v>
      </c>
      <c r="J236" s="2"/>
      <c r="K236" s="2" t="s">
        <v>36</v>
      </c>
      <c r="L236" s="8"/>
    </row>
    <row r="237" spans="1:12" x14ac:dyDescent="0.4">
      <c r="A237" s="12">
        <f t="shared" si="5"/>
        <v>232</v>
      </c>
      <c r="B237" s="16"/>
      <c r="C237" s="16"/>
      <c r="D237" s="16"/>
      <c r="E237" s="27" t="s">
        <v>1568</v>
      </c>
      <c r="F237" s="9"/>
      <c r="G237" s="9"/>
      <c r="H237" s="8" t="s">
        <v>1189</v>
      </c>
      <c r="I237" s="2" t="s">
        <v>36</v>
      </c>
      <c r="J237" s="2"/>
      <c r="K237" s="2" t="s">
        <v>36</v>
      </c>
      <c r="L237" s="8"/>
    </row>
    <row r="238" spans="1:12" x14ac:dyDescent="0.4">
      <c r="A238" s="12">
        <f t="shared" si="5"/>
        <v>233</v>
      </c>
      <c r="B238" s="16"/>
      <c r="C238" s="16"/>
      <c r="D238" s="16"/>
      <c r="E238" s="28"/>
      <c r="F238" s="27" t="s">
        <v>1569</v>
      </c>
      <c r="G238" s="9"/>
      <c r="H238" s="8" t="s">
        <v>1190</v>
      </c>
      <c r="I238" s="2" t="s">
        <v>36</v>
      </c>
      <c r="J238" s="2"/>
      <c r="K238" s="2" t="s">
        <v>36</v>
      </c>
      <c r="L238" s="8"/>
    </row>
    <row r="239" spans="1:12" x14ac:dyDescent="0.4">
      <c r="A239" s="12">
        <f t="shared" si="5"/>
        <v>234</v>
      </c>
      <c r="B239" s="16"/>
      <c r="C239" s="16"/>
      <c r="D239" s="16"/>
      <c r="E239" s="28"/>
      <c r="F239" s="28"/>
      <c r="G239" s="13" t="s">
        <v>1570</v>
      </c>
      <c r="H239" s="3" t="s">
        <v>1191</v>
      </c>
      <c r="I239" s="11" t="s">
        <v>36</v>
      </c>
      <c r="J239" s="11"/>
      <c r="K239" s="11" t="s">
        <v>36</v>
      </c>
      <c r="L239" s="3"/>
    </row>
    <row r="240" spans="1:12" x14ac:dyDescent="0.4">
      <c r="A240" s="12">
        <f t="shared" si="5"/>
        <v>235</v>
      </c>
      <c r="B240" s="16"/>
      <c r="C240" s="16"/>
      <c r="D240" s="16"/>
      <c r="E240" s="28"/>
      <c r="F240" s="29"/>
      <c r="G240" s="13" t="s">
        <v>1571</v>
      </c>
      <c r="H240" s="3" t="s">
        <v>1192</v>
      </c>
      <c r="I240" s="11" t="s">
        <v>36</v>
      </c>
      <c r="J240" s="11"/>
      <c r="K240" s="11" t="s">
        <v>36</v>
      </c>
      <c r="L240" s="3"/>
    </row>
    <row r="241" spans="1:12" x14ac:dyDescent="0.4">
      <c r="A241" s="12">
        <f t="shared" si="5"/>
        <v>236</v>
      </c>
      <c r="B241" s="16"/>
      <c r="C241" s="16"/>
      <c r="D241" s="16"/>
      <c r="E241" s="28"/>
      <c r="F241" s="13" t="s">
        <v>972</v>
      </c>
      <c r="G241" s="13"/>
      <c r="H241" s="3" t="s">
        <v>1193</v>
      </c>
      <c r="I241" s="11" t="s">
        <v>36</v>
      </c>
      <c r="J241" s="11"/>
      <c r="K241" s="11" t="s">
        <v>36</v>
      </c>
      <c r="L241" s="3"/>
    </row>
    <row r="242" spans="1:12" x14ac:dyDescent="0.4">
      <c r="A242" s="12">
        <f t="shared" si="5"/>
        <v>237</v>
      </c>
      <c r="B242" s="16"/>
      <c r="C242" s="16"/>
      <c r="D242" s="16"/>
      <c r="E242" s="29"/>
      <c r="F242" s="13" t="s">
        <v>1572</v>
      </c>
      <c r="G242" s="13"/>
      <c r="H242" s="3" t="s">
        <v>1194</v>
      </c>
      <c r="I242" s="11" t="s">
        <v>36</v>
      </c>
      <c r="J242" s="11"/>
      <c r="K242" s="11" t="s">
        <v>36</v>
      </c>
      <c r="L242" s="3"/>
    </row>
    <row r="243" spans="1:12" x14ac:dyDescent="0.4">
      <c r="A243" s="12">
        <f t="shared" si="5"/>
        <v>238</v>
      </c>
      <c r="B243" s="16"/>
      <c r="C243" s="16"/>
      <c r="D243" s="16"/>
      <c r="E243" s="27" t="s">
        <v>1573</v>
      </c>
      <c r="F243" s="9"/>
      <c r="G243" s="9"/>
      <c r="H243" s="8" t="s">
        <v>1195</v>
      </c>
      <c r="I243" s="2" t="s">
        <v>36</v>
      </c>
      <c r="J243" s="2"/>
      <c r="K243" s="2" t="s">
        <v>36</v>
      </c>
      <c r="L243" s="8"/>
    </row>
    <row r="244" spans="1:12" x14ac:dyDescent="0.4">
      <c r="A244" s="12">
        <f t="shared" si="5"/>
        <v>239</v>
      </c>
      <c r="B244" s="16"/>
      <c r="C244" s="16"/>
      <c r="D244" s="16"/>
      <c r="E244" s="16"/>
      <c r="F244" s="13" t="s">
        <v>1574</v>
      </c>
      <c r="G244" s="13"/>
      <c r="H244" s="3" t="s">
        <v>1196</v>
      </c>
      <c r="I244" s="11" t="s">
        <v>36</v>
      </c>
      <c r="J244" s="11"/>
      <c r="K244" s="11" t="s">
        <v>36</v>
      </c>
      <c r="L244" s="3"/>
    </row>
    <row r="245" spans="1:12" x14ac:dyDescent="0.4">
      <c r="A245" s="12">
        <f t="shared" si="5"/>
        <v>240</v>
      </c>
      <c r="B245" s="16"/>
      <c r="C245" s="16"/>
      <c r="D245" s="16"/>
      <c r="E245" s="17"/>
      <c r="F245" s="13" t="s">
        <v>1575</v>
      </c>
      <c r="G245" s="13"/>
      <c r="H245" s="3" t="s">
        <v>1197</v>
      </c>
      <c r="I245" s="11" t="s">
        <v>36</v>
      </c>
      <c r="J245" s="11"/>
      <c r="K245" s="11" t="s">
        <v>36</v>
      </c>
      <c r="L245" s="3"/>
    </row>
    <row r="246" spans="1:12" x14ac:dyDescent="0.4">
      <c r="A246" s="12">
        <f t="shared" si="5"/>
        <v>241</v>
      </c>
      <c r="B246" s="16"/>
      <c r="C246" s="16"/>
      <c r="D246" s="16"/>
      <c r="E246" s="27" t="s">
        <v>1576</v>
      </c>
      <c r="F246" s="9"/>
      <c r="G246" s="9"/>
      <c r="H246" s="8" t="s">
        <v>1198</v>
      </c>
      <c r="I246" s="2" t="s">
        <v>36</v>
      </c>
      <c r="J246" s="2"/>
      <c r="K246" s="2" t="s">
        <v>36</v>
      </c>
      <c r="L246" s="8"/>
    </row>
    <row r="247" spans="1:12" x14ac:dyDescent="0.4">
      <c r="A247" s="12">
        <f t="shared" si="5"/>
        <v>242</v>
      </c>
      <c r="B247" s="16"/>
      <c r="C247" s="16"/>
      <c r="D247" s="16"/>
      <c r="E247" s="16"/>
      <c r="F247" s="13" t="s">
        <v>973</v>
      </c>
      <c r="G247" s="13"/>
      <c r="H247" s="3" t="s">
        <v>1199</v>
      </c>
      <c r="I247" s="11" t="s">
        <v>36</v>
      </c>
      <c r="J247" s="11"/>
      <c r="K247" s="11" t="s">
        <v>36</v>
      </c>
      <c r="L247" s="3"/>
    </row>
    <row r="248" spans="1:12" x14ac:dyDescent="0.4">
      <c r="A248" s="12">
        <f t="shared" si="5"/>
        <v>243</v>
      </c>
      <c r="B248" s="16"/>
      <c r="C248" s="16"/>
      <c r="D248" s="16"/>
      <c r="E248" s="17"/>
      <c r="F248" s="13" t="s">
        <v>1577</v>
      </c>
      <c r="G248" s="13"/>
      <c r="H248" s="3" t="s">
        <v>1200</v>
      </c>
      <c r="I248" s="11" t="s">
        <v>36</v>
      </c>
      <c r="J248" s="11"/>
      <c r="K248" s="11" t="s">
        <v>36</v>
      </c>
      <c r="L248" s="3"/>
    </row>
    <row r="249" spans="1:12" x14ac:dyDescent="0.4">
      <c r="A249" s="12">
        <f t="shared" si="5"/>
        <v>244</v>
      </c>
      <c r="B249" s="16"/>
      <c r="C249" s="16"/>
      <c r="D249" s="16"/>
      <c r="E249" s="27" t="s">
        <v>1578</v>
      </c>
      <c r="F249" s="9"/>
      <c r="G249" s="9"/>
      <c r="H249" s="8" t="s">
        <v>1201</v>
      </c>
      <c r="I249" s="2" t="s">
        <v>36</v>
      </c>
      <c r="J249" s="2"/>
      <c r="K249" s="2" t="s">
        <v>36</v>
      </c>
      <c r="L249" s="8"/>
    </row>
    <row r="250" spans="1:12" x14ac:dyDescent="0.4">
      <c r="A250" s="12">
        <f t="shared" si="5"/>
        <v>245</v>
      </c>
      <c r="B250" s="16"/>
      <c r="C250" s="16"/>
      <c r="D250" s="16"/>
      <c r="E250" s="16"/>
      <c r="F250" s="13" t="s">
        <v>1579</v>
      </c>
      <c r="G250" s="13"/>
      <c r="H250" s="3" t="s">
        <v>1202</v>
      </c>
      <c r="I250" s="11" t="s">
        <v>36</v>
      </c>
      <c r="J250" s="11"/>
      <c r="K250" s="11" t="s">
        <v>36</v>
      </c>
      <c r="L250" s="3"/>
    </row>
    <row r="251" spans="1:12" x14ac:dyDescent="0.4">
      <c r="A251" s="12">
        <f t="shared" si="5"/>
        <v>246</v>
      </c>
      <c r="B251" s="16"/>
      <c r="C251" s="16"/>
      <c r="D251" s="16"/>
      <c r="E251" s="16"/>
      <c r="F251" s="13" t="s">
        <v>1580</v>
      </c>
      <c r="G251" s="13"/>
      <c r="H251" s="3" t="s">
        <v>1203</v>
      </c>
      <c r="I251" s="11" t="s">
        <v>36</v>
      </c>
      <c r="J251" s="11"/>
      <c r="K251" s="11" t="s">
        <v>36</v>
      </c>
      <c r="L251" s="3"/>
    </row>
    <row r="252" spans="1:12" x14ac:dyDescent="0.4">
      <c r="A252" s="12">
        <f t="shared" si="5"/>
        <v>247</v>
      </c>
      <c r="B252" s="16"/>
      <c r="C252" s="16"/>
      <c r="D252" s="16"/>
      <c r="E252" s="17"/>
      <c r="F252" s="13" t="s">
        <v>1581</v>
      </c>
      <c r="G252" s="13"/>
      <c r="H252" s="3" t="s">
        <v>1204</v>
      </c>
      <c r="I252" s="11" t="s">
        <v>36</v>
      </c>
      <c r="J252" s="11"/>
      <c r="K252" s="11" t="s">
        <v>36</v>
      </c>
      <c r="L252" s="3"/>
    </row>
    <row r="253" spans="1:12" x14ac:dyDescent="0.4">
      <c r="A253" s="12">
        <f t="shared" si="5"/>
        <v>248</v>
      </c>
      <c r="B253" s="16"/>
      <c r="C253" s="16"/>
      <c r="D253" s="16"/>
      <c r="E253" s="13" t="s">
        <v>1582</v>
      </c>
      <c r="F253" s="13"/>
      <c r="G253" s="13"/>
      <c r="H253" s="3" t="s">
        <v>1205</v>
      </c>
      <c r="I253" s="11" t="s">
        <v>36</v>
      </c>
      <c r="J253" s="11"/>
      <c r="K253" s="11" t="s">
        <v>36</v>
      </c>
      <c r="L253" s="3"/>
    </row>
    <row r="254" spans="1:12" x14ac:dyDescent="0.4">
      <c r="A254" s="12">
        <f t="shared" si="5"/>
        <v>249</v>
      </c>
      <c r="B254" s="16"/>
      <c r="C254" s="16"/>
      <c r="D254" s="16"/>
      <c r="E254" s="27" t="s">
        <v>1583</v>
      </c>
      <c r="F254" s="9"/>
      <c r="G254" s="9"/>
      <c r="H254" s="8" t="s">
        <v>1206</v>
      </c>
      <c r="I254" s="2" t="s">
        <v>36</v>
      </c>
      <c r="J254" s="2"/>
      <c r="K254" s="2" t="s">
        <v>36</v>
      </c>
      <c r="L254" s="8"/>
    </row>
    <row r="255" spans="1:12" x14ac:dyDescent="0.4">
      <c r="A255" s="12">
        <f t="shared" si="5"/>
        <v>250</v>
      </c>
      <c r="B255" s="16"/>
      <c r="C255" s="16"/>
      <c r="D255" s="16"/>
      <c r="E255" s="16"/>
      <c r="F255" s="13" t="s">
        <v>1584</v>
      </c>
      <c r="G255" s="13"/>
      <c r="H255" s="3" t="s">
        <v>1207</v>
      </c>
      <c r="I255" s="11" t="s">
        <v>36</v>
      </c>
      <c r="J255" s="11"/>
      <c r="K255" s="11" t="s">
        <v>36</v>
      </c>
      <c r="L255" s="3"/>
    </row>
    <row r="256" spans="1:12" x14ac:dyDescent="0.4">
      <c r="A256" s="12">
        <f t="shared" si="5"/>
        <v>251</v>
      </c>
      <c r="B256" s="16"/>
      <c r="C256" s="16"/>
      <c r="D256" s="16"/>
      <c r="E256" s="17"/>
      <c r="F256" s="13" t="s">
        <v>1585</v>
      </c>
      <c r="G256" s="13"/>
      <c r="H256" s="3" t="s">
        <v>1208</v>
      </c>
      <c r="I256" s="11" t="s">
        <v>36</v>
      </c>
      <c r="J256" s="11"/>
      <c r="K256" s="11" t="s">
        <v>36</v>
      </c>
      <c r="L256" s="3"/>
    </row>
    <row r="257" spans="1:12" x14ac:dyDescent="0.4">
      <c r="A257" s="12">
        <f t="shared" si="5"/>
        <v>252</v>
      </c>
      <c r="B257" s="16"/>
      <c r="C257" s="16"/>
      <c r="D257" s="16"/>
      <c r="E257" s="13" t="s">
        <v>1586</v>
      </c>
      <c r="F257" s="13"/>
      <c r="G257" s="13"/>
      <c r="H257" s="3" t="s">
        <v>1209</v>
      </c>
      <c r="I257" s="11" t="s">
        <v>36</v>
      </c>
      <c r="J257" s="11"/>
      <c r="K257" s="11" t="s">
        <v>36</v>
      </c>
      <c r="L257" s="3"/>
    </row>
    <row r="258" spans="1:12" x14ac:dyDescent="0.4">
      <c r="A258" s="12">
        <f t="shared" si="5"/>
        <v>253</v>
      </c>
      <c r="B258" s="16"/>
      <c r="C258" s="16"/>
      <c r="D258" s="16"/>
      <c r="E258" s="13" t="s">
        <v>1587</v>
      </c>
      <c r="F258" s="13"/>
      <c r="G258" s="13"/>
      <c r="H258" s="3" t="s">
        <v>1210</v>
      </c>
      <c r="I258" s="11" t="s">
        <v>36</v>
      </c>
      <c r="J258" s="11"/>
      <c r="K258" s="11" t="s">
        <v>36</v>
      </c>
      <c r="L258" s="3"/>
    </row>
    <row r="259" spans="1:12" x14ac:dyDescent="0.4">
      <c r="A259" s="12">
        <f t="shared" si="5"/>
        <v>254</v>
      </c>
      <c r="B259" s="16"/>
      <c r="C259" s="16"/>
      <c r="D259" s="16"/>
      <c r="E259" s="13" t="s">
        <v>1588</v>
      </c>
      <c r="F259" s="13"/>
      <c r="G259" s="13"/>
      <c r="H259" s="3" t="s">
        <v>1211</v>
      </c>
      <c r="I259" s="11" t="s">
        <v>36</v>
      </c>
      <c r="J259" s="11"/>
      <c r="K259" s="11" t="s">
        <v>36</v>
      </c>
      <c r="L259" s="3"/>
    </row>
    <row r="260" spans="1:12" x14ac:dyDescent="0.4">
      <c r="A260" s="12">
        <f t="shared" si="5"/>
        <v>255</v>
      </c>
      <c r="B260" s="16"/>
      <c r="C260" s="16"/>
      <c r="D260" s="16"/>
      <c r="E260" s="13" t="s">
        <v>2552</v>
      </c>
      <c r="F260" s="13"/>
      <c r="G260" s="13"/>
      <c r="H260" s="3" t="s">
        <v>1212</v>
      </c>
      <c r="I260" s="11" t="s">
        <v>36</v>
      </c>
      <c r="J260" s="11"/>
      <c r="K260" s="11" t="s">
        <v>36</v>
      </c>
      <c r="L260" s="3"/>
    </row>
    <row r="261" spans="1:12" x14ac:dyDescent="0.4">
      <c r="A261" s="12">
        <f t="shared" si="5"/>
        <v>256</v>
      </c>
      <c r="B261" s="16"/>
      <c r="C261" s="16"/>
      <c r="D261" s="16"/>
      <c r="E261" s="13" t="s">
        <v>1589</v>
      </c>
      <c r="F261" s="13"/>
      <c r="G261" s="13"/>
      <c r="H261" s="3" t="s">
        <v>1213</v>
      </c>
      <c r="I261" s="11" t="s">
        <v>36</v>
      </c>
      <c r="J261" s="11"/>
      <c r="K261" s="11" t="s">
        <v>36</v>
      </c>
      <c r="L261" s="3"/>
    </row>
    <row r="262" spans="1:12" x14ac:dyDescent="0.4">
      <c r="A262" s="12">
        <f t="shared" si="5"/>
        <v>257</v>
      </c>
      <c r="B262" s="16"/>
      <c r="C262" s="16"/>
      <c r="D262" s="16"/>
      <c r="E262" s="27" t="s">
        <v>1590</v>
      </c>
      <c r="F262" s="9"/>
      <c r="G262" s="9"/>
      <c r="H262" s="8" t="s">
        <v>1214</v>
      </c>
      <c r="I262" s="2" t="s">
        <v>36</v>
      </c>
      <c r="J262" s="2"/>
      <c r="K262" s="2" t="s">
        <v>36</v>
      </c>
      <c r="L262" s="8"/>
    </row>
    <row r="263" spans="1:12" x14ac:dyDescent="0.4">
      <c r="A263" s="12">
        <f t="shared" si="5"/>
        <v>258</v>
      </c>
      <c r="B263" s="16"/>
      <c r="C263" s="16"/>
      <c r="D263" s="16"/>
      <c r="E263" s="16"/>
      <c r="F263" s="13" t="s">
        <v>1591</v>
      </c>
      <c r="G263" s="13"/>
      <c r="H263" s="3" t="s">
        <v>1215</v>
      </c>
      <c r="I263" s="11" t="s">
        <v>36</v>
      </c>
      <c r="J263" s="11"/>
      <c r="K263" s="11" t="s">
        <v>36</v>
      </c>
      <c r="L263" s="3"/>
    </row>
    <row r="264" spans="1:12" x14ac:dyDescent="0.4">
      <c r="A264" s="12">
        <f t="shared" si="5"/>
        <v>259</v>
      </c>
      <c r="B264" s="16"/>
      <c r="C264" s="16"/>
      <c r="D264" s="16"/>
      <c r="E264" s="16"/>
      <c r="F264" s="13" t="s">
        <v>1592</v>
      </c>
      <c r="G264" s="13"/>
      <c r="H264" s="3" t="s">
        <v>1216</v>
      </c>
      <c r="I264" s="11" t="s">
        <v>36</v>
      </c>
      <c r="J264" s="11"/>
      <c r="K264" s="11" t="s">
        <v>36</v>
      </c>
      <c r="L264" s="3"/>
    </row>
    <row r="265" spans="1:12" x14ac:dyDescent="0.4">
      <c r="A265" s="12">
        <f t="shared" si="5"/>
        <v>260</v>
      </c>
      <c r="B265" s="16"/>
      <c r="C265" s="16"/>
      <c r="D265" s="16"/>
      <c r="E265" s="17"/>
      <c r="F265" s="13" t="s">
        <v>1593</v>
      </c>
      <c r="G265" s="13"/>
      <c r="H265" s="3" t="s">
        <v>1217</v>
      </c>
      <c r="I265" s="11" t="s">
        <v>36</v>
      </c>
      <c r="J265" s="11"/>
      <c r="K265" s="11" t="s">
        <v>36</v>
      </c>
      <c r="L265" s="3"/>
    </row>
    <row r="266" spans="1:12" x14ac:dyDescent="0.4">
      <c r="A266" s="12">
        <f t="shared" si="5"/>
        <v>261</v>
      </c>
      <c r="B266" s="16"/>
      <c r="C266" s="16"/>
      <c r="D266" s="16"/>
      <c r="E266" s="13" t="s">
        <v>1594</v>
      </c>
      <c r="F266" s="13"/>
      <c r="G266" s="13"/>
      <c r="H266" s="3" t="s">
        <v>1218</v>
      </c>
      <c r="I266" s="11" t="s">
        <v>36</v>
      </c>
      <c r="J266" s="11"/>
      <c r="K266" s="11" t="s">
        <v>36</v>
      </c>
      <c r="L266" s="3"/>
    </row>
    <row r="267" spans="1:12" x14ac:dyDescent="0.4">
      <c r="A267" s="12">
        <f t="shared" si="5"/>
        <v>262</v>
      </c>
      <c r="B267" s="16"/>
      <c r="C267" s="16"/>
      <c r="D267" s="16"/>
      <c r="E267" s="27" t="s">
        <v>1595</v>
      </c>
      <c r="F267" s="9"/>
      <c r="G267" s="9"/>
      <c r="H267" s="8" t="s">
        <v>1219</v>
      </c>
      <c r="I267" s="2" t="s">
        <v>36</v>
      </c>
      <c r="J267" s="2"/>
      <c r="K267" s="2" t="s">
        <v>36</v>
      </c>
      <c r="L267" s="8"/>
    </row>
    <row r="268" spans="1:12" x14ac:dyDescent="0.4">
      <c r="A268" s="12">
        <f t="shared" si="5"/>
        <v>263</v>
      </c>
      <c r="B268" s="16"/>
      <c r="C268" s="16"/>
      <c r="D268" s="16"/>
      <c r="E268" s="16"/>
      <c r="F268" s="13" t="s">
        <v>1596</v>
      </c>
      <c r="G268" s="13"/>
      <c r="H268" s="3" t="s">
        <v>1220</v>
      </c>
      <c r="I268" s="11" t="s">
        <v>36</v>
      </c>
      <c r="J268" s="11"/>
      <c r="K268" s="11" t="s">
        <v>36</v>
      </c>
      <c r="L268" s="3"/>
    </row>
    <row r="269" spans="1:12" x14ac:dyDescent="0.4">
      <c r="A269" s="12">
        <f t="shared" si="5"/>
        <v>264</v>
      </c>
      <c r="B269" s="16"/>
      <c r="C269" s="16"/>
      <c r="D269" s="16"/>
      <c r="E269" s="17"/>
      <c r="F269" s="13" t="s">
        <v>1597</v>
      </c>
      <c r="G269" s="13"/>
      <c r="H269" s="3" t="s">
        <v>1221</v>
      </c>
      <c r="I269" s="11" t="s">
        <v>36</v>
      </c>
      <c r="J269" s="11"/>
      <c r="K269" s="11" t="s">
        <v>36</v>
      </c>
      <c r="L269" s="3"/>
    </row>
    <row r="270" spans="1:12" x14ac:dyDescent="0.4">
      <c r="A270" s="12">
        <f t="shared" si="5"/>
        <v>265</v>
      </c>
      <c r="B270" s="16"/>
      <c r="C270" s="17"/>
      <c r="D270" s="17"/>
      <c r="E270" s="13" t="s">
        <v>1598</v>
      </c>
      <c r="F270" s="13"/>
      <c r="G270" s="13"/>
      <c r="H270" s="3" t="s">
        <v>1222</v>
      </c>
      <c r="I270" s="11" t="s">
        <v>36</v>
      </c>
      <c r="J270" s="11"/>
      <c r="K270" s="11" t="s">
        <v>36</v>
      </c>
      <c r="L270" s="3"/>
    </row>
    <row r="271" spans="1:12" x14ac:dyDescent="0.4">
      <c r="A271" s="12">
        <f t="shared" si="5"/>
        <v>266</v>
      </c>
      <c r="B271" s="16"/>
      <c r="C271" s="12" t="s">
        <v>1599</v>
      </c>
      <c r="D271" s="13"/>
      <c r="E271" s="13"/>
      <c r="F271" s="13"/>
      <c r="G271" s="13"/>
      <c r="H271" s="3" t="s">
        <v>1223</v>
      </c>
      <c r="I271" s="11" t="s">
        <v>36</v>
      </c>
      <c r="J271" s="11"/>
      <c r="K271" s="11" t="s">
        <v>36</v>
      </c>
      <c r="L271" s="3"/>
    </row>
    <row r="272" spans="1:12" x14ac:dyDescent="0.4">
      <c r="A272" s="12">
        <f t="shared" ref="A272:A273" si="6">A271+1</f>
        <v>267</v>
      </c>
      <c r="B272" s="16"/>
      <c r="C272" s="12" t="s">
        <v>974</v>
      </c>
      <c r="D272" s="13"/>
      <c r="E272" s="13"/>
      <c r="F272" s="13"/>
      <c r="G272" s="13"/>
      <c r="H272" s="3" t="s">
        <v>1224</v>
      </c>
      <c r="I272" s="11" t="s">
        <v>36</v>
      </c>
      <c r="J272" s="11"/>
      <c r="K272" s="11" t="s">
        <v>36</v>
      </c>
      <c r="L272" s="3"/>
    </row>
    <row r="273" spans="1:12" x14ac:dyDescent="0.4">
      <c r="A273" s="12">
        <f t="shared" si="6"/>
        <v>268</v>
      </c>
      <c r="B273" s="17"/>
      <c r="C273" s="12" t="s">
        <v>1600</v>
      </c>
      <c r="D273" s="13"/>
      <c r="E273" s="13"/>
      <c r="F273" s="13"/>
      <c r="G273" s="13"/>
      <c r="H273" s="3" t="s">
        <v>1225</v>
      </c>
      <c r="I273" s="11" t="s">
        <v>36</v>
      </c>
      <c r="J273" s="11"/>
      <c r="K273" s="11" t="s">
        <v>36</v>
      </c>
      <c r="L273" s="3"/>
    </row>
  </sheetData>
  <phoneticPr fontId="1"/>
  <conditionalFormatting sqref="K6:K273">
    <cfRule type="expression" dxfId="7" priority="1">
      <formula>$I6&lt;&gt;$K6</formula>
    </cfRule>
  </conditionalFormatting>
  <dataValidations count="2">
    <dataValidation type="list" allowBlank="1" showInputMessage="1" showErrorMessage="1" sqref="K7:K119 I7:I119 I121:I273 K121:K273" xr:uid="{486C7500-9688-084A-9BB8-C82526CB06A9}">
      <formula1>work_チェックボックス</formula1>
    </dataValidation>
    <dataValidation type="list" allowBlank="1" showInputMessage="1" showErrorMessage="1" sqref="J6:J273" xr:uid="{FE8261F9-C2EB-49DE-B56A-384E440FE6A4}">
      <formula1>"-,変更"</formula1>
    </dataValidation>
  </dataValidations>
  <pageMargins left="0.7" right="0.7" top="0.75" bottom="0.75" header="0.3" footer="0.3"/>
  <pageSetup paperSize="9" orientation="portrait" horizontalDpi="0" verticalDpi="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675F89-BE80-6243-99C2-2EE181A3B075}">
  <dimension ref="A1:E8"/>
  <sheetViews>
    <sheetView zoomScale="90" zoomScaleNormal="90" workbookViewId="0">
      <selection activeCell="B5" sqref="B5:B8"/>
    </sheetView>
  </sheetViews>
  <sheetFormatPr defaultColWidth="11.5546875" defaultRowHeight="19.5" x14ac:dyDescent="0.4"/>
  <cols>
    <col min="1" max="1" width="4.6640625" customWidth="1"/>
    <col min="2" max="2" width="8.6640625" bestFit="1" customWidth="1"/>
    <col min="3" max="3" width="76" customWidth="1"/>
    <col min="4" max="4" width="40.6640625" customWidth="1"/>
    <col min="5" max="5" width="30.6640625" customWidth="1"/>
  </cols>
  <sheetData>
    <row r="1" spans="1:5" x14ac:dyDescent="0.4">
      <c r="A1" s="1" t="str">
        <f ca="1">RIGHT(CELL("filename",A1),LEN(CELL("filename",A1))-FIND("]",CELL("filename",A1)))</f>
        <v>6.プログラム</v>
      </c>
      <c r="B1" s="1"/>
    </row>
    <row r="2" spans="1:5" x14ac:dyDescent="0.4">
      <c r="B2" t="s">
        <v>1745</v>
      </c>
    </row>
    <row r="3" spans="1:5" x14ac:dyDescent="0.4">
      <c r="C3" s="34"/>
      <c r="D3" s="34"/>
      <c r="E3" s="34"/>
    </row>
    <row r="4" spans="1:5" x14ac:dyDescent="0.4">
      <c r="A4" s="4" t="s">
        <v>3</v>
      </c>
      <c r="B4" s="4" t="s">
        <v>3020</v>
      </c>
      <c r="C4" s="4" t="s">
        <v>1737</v>
      </c>
      <c r="D4" s="4" t="s">
        <v>1738</v>
      </c>
      <c r="E4" s="4" t="s">
        <v>5</v>
      </c>
    </row>
    <row r="5" spans="1:5" x14ac:dyDescent="0.4">
      <c r="A5" s="3">
        <v>1</v>
      </c>
      <c r="B5" s="3"/>
      <c r="C5" s="3" t="s">
        <v>1736</v>
      </c>
      <c r="D5" s="3" t="s">
        <v>1741</v>
      </c>
      <c r="E5" s="3"/>
    </row>
    <row r="6" spans="1:5" x14ac:dyDescent="0.4">
      <c r="A6" s="3">
        <f>A5+1</f>
        <v>2</v>
      </c>
      <c r="B6" s="3"/>
      <c r="C6" s="3" t="s">
        <v>1739</v>
      </c>
      <c r="D6" s="3" t="s">
        <v>1740</v>
      </c>
      <c r="E6" s="3"/>
    </row>
    <row r="7" spans="1:5" x14ac:dyDescent="0.4">
      <c r="A7" s="3">
        <f t="shared" ref="A7:A8" si="0">A6+1</f>
        <v>3</v>
      </c>
      <c r="B7" s="3"/>
      <c r="C7" s="3" t="s">
        <v>1742</v>
      </c>
      <c r="D7" s="3" t="s">
        <v>1740</v>
      </c>
      <c r="E7" s="3"/>
    </row>
    <row r="8" spans="1:5" x14ac:dyDescent="0.4">
      <c r="A8" s="3">
        <f t="shared" si="0"/>
        <v>4</v>
      </c>
      <c r="B8" s="3"/>
      <c r="C8" s="3" t="s">
        <v>1743</v>
      </c>
      <c r="D8" s="3" t="s">
        <v>1744</v>
      </c>
      <c r="E8" s="3"/>
    </row>
  </sheetData>
  <phoneticPr fontId="1"/>
  <dataValidations count="1">
    <dataValidation type="list" allowBlank="1" showInputMessage="1" showErrorMessage="1" sqref="B5:B8" xr:uid="{B21ABBA4-FD55-4C38-8E7F-116FAC78CD51}">
      <formula1>work_チェックボックス</formula1>
    </dataValidation>
  </dataValidations>
  <pageMargins left="0.7" right="0.7" top="0.75" bottom="0.75" header="0.3" footer="0.3"/>
  <pageSetup paperSize="9" orientation="portrait" horizontalDpi="0" verticalDpi="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0644FB-A587-8E4B-A6F1-28945A6768F3}">
  <dimension ref="A1:D7"/>
  <sheetViews>
    <sheetView zoomScale="90" zoomScaleNormal="90" workbookViewId="0">
      <selection activeCell="C10" sqref="C10"/>
    </sheetView>
  </sheetViews>
  <sheetFormatPr defaultColWidth="11.5546875" defaultRowHeight="19.5" x14ac:dyDescent="0.4"/>
  <cols>
    <col min="1" max="1" width="4.6640625" customWidth="1"/>
    <col min="2" max="2" width="10.88671875" customWidth="1"/>
    <col min="3" max="3" width="76" customWidth="1"/>
    <col min="4" max="4" width="30.6640625" customWidth="1"/>
  </cols>
  <sheetData>
    <row r="1" spans="1:4" x14ac:dyDescent="0.4">
      <c r="A1" s="1" t="str">
        <f ca="1">RIGHT(CELL("filename",A1),LEN(CELL("filename",A1))-FIND("]",CELL("filename",A1)))</f>
        <v>6.1.更新プログラム</v>
      </c>
      <c r="B1" s="1"/>
    </row>
    <row r="2" spans="1:4" x14ac:dyDescent="0.4">
      <c r="B2" t="s">
        <v>1746</v>
      </c>
    </row>
    <row r="3" spans="1:4" x14ac:dyDescent="0.4">
      <c r="C3" s="34"/>
      <c r="D3" s="34"/>
    </row>
    <row r="4" spans="1:4" x14ac:dyDescent="0.4">
      <c r="A4" s="4" t="s">
        <v>3</v>
      </c>
      <c r="B4" s="4" t="s">
        <v>3023</v>
      </c>
      <c r="C4" s="4" t="s">
        <v>1737</v>
      </c>
      <c r="D4" s="4" t="s">
        <v>5</v>
      </c>
    </row>
    <row r="5" spans="1:4" x14ac:dyDescent="0.4">
      <c r="A5" s="3">
        <v>1</v>
      </c>
      <c r="B5" s="3"/>
      <c r="C5" s="3" t="s">
        <v>1747</v>
      </c>
      <c r="D5" s="3"/>
    </row>
    <row r="6" spans="1:4" x14ac:dyDescent="0.4">
      <c r="A6" s="3">
        <f>A5+1</f>
        <v>2</v>
      </c>
      <c r="B6" s="3"/>
      <c r="C6" s="3" t="s">
        <v>1748</v>
      </c>
      <c r="D6" s="3"/>
    </row>
    <row r="7" spans="1:4" x14ac:dyDescent="0.4">
      <c r="A7" s="3">
        <f t="shared" ref="A7" si="0">A6+1</f>
        <v>3</v>
      </c>
      <c r="B7" s="3"/>
      <c r="C7" s="3" t="s">
        <v>1749</v>
      </c>
      <c r="D7" s="3"/>
    </row>
  </sheetData>
  <phoneticPr fontId="1"/>
  <dataValidations count="1">
    <dataValidation type="list" allowBlank="1" showInputMessage="1" showErrorMessage="1" sqref="B5:B7" xr:uid="{CADDFD11-5B6B-476B-BBCE-EC3F3A2E2C15}">
      <formula1>work_チェックボックス</formula1>
    </dataValidation>
  </dataValidations>
  <pageMargins left="0.7" right="0.7" top="0.75" bottom="0.75" header="0.3" footer="0.3"/>
  <pageSetup paperSize="9" orientation="portrait" horizontalDpi="0" verticalDpi="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FFA270-80AF-C447-B4DC-22B573D4D14A}">
  <dimension ref="A1:G215"/>
  <sheetViews>
    <sheetView zoomScale="90" zoomScaleNormal="90" workbookViewId="0">
      <pane ySplit="4" topLeftCell="A5" activePane="bottomLeft" state="frozen"/>
      <selection pane="bottomLeft" activeCell="B13" sqref="B13"/>
    </sheetView>
  </sheetViews>
  <sheetFormatPr defaultColWidth="11.5546875" defaultRowHeight="19.5" x14ac:dyDescent="0.4"/>
  <cols>
    <col min="1" max="1" width="4.6640625" customWidth="1"/>
    <col min="2" max="2" width="94.109375" bestFit="1" customWidth="1"/>
    <col min="3" max="3" width="55.109375" customWidth="1"/>
    <col min="4" max="4" width="27.88671875" bestFit="1" customWidth="1"/>
    <col min="5" max="5" width="8.6640625" bestFit="1" customWidth="1"/>
    <col min="6" max="6" width="27.88671875" bestFit="1" customWidth="1"/>
    <col min="7" max="7" width="15.44140625" bestFit="1" customWidth="1"/>
  </cols>
  <sheetData>
    <row r="1" spans="1:7" x14ac:dyDescent="0.4">
      <c r="A1" s="1" t="str">
        <f ca="1">RIGHT(CELL("filename",A1),LEN(CELL("filename",A1))-FIND("]",CELL("filename",A1)))</f>
        <v>7.サービス</v>
      </c>
    </row>
    <row r="3" spans="1:7" x14ac:dyDescent="0.4">
      <c r="A3" s="62" t="s">
        <v>3</v>
      </c>
      <c r="B3" s="62" t="s">
        <v>428</v>
      </c>
      <c r="C3" s="62" t="s">
        <v>429</v>
      </c>
      <c r="D3" s="62" t="s">
        <v>2391</v>
      </c>
      <c r="E3" s="207" t="s">
        <v>2915</v>
      </c>
      <c r="F3" s="207"/>
      <c r="G3" s="62" t="s">
        <v>430</v>
      </c>
    </row>
    <row r="4" spans="1:7" ht="20.25" thickBot="1" x14ac:dyDescent="0.45">
      <c r="A4" s="118"/>
      <c r="B4" s="118"/>
      <c r="C4" s="118"/>
      <c r="D4" s="118"/>
      <c r="E4" s="208" t="s">
        <v>2913</v>
      </c>
      <c r="F4" s="209" t="s">
        <v>3022</v>
      </c>
      <c r="G4" s="118"/>
    </row>
    <row r="5" spans="1:7" ht="20.25" thickTop="1" x14ac:dyDescent="0.4">
      <c r="A5" s="20">
        <v>1</v>
      </c>
      <c r="B5" s="20" t="s">
        <v>431</v>
      </c>
      <c r="C5" s="20" t="s">
        <v>2146</v>
      </c>
      <c r="D5" s="20" t="s">
        <v>182</v>
      </c>
      <c r="E5" s="20"/>
      <c r="F5" s="20" t="s">
        <v>182</v>
      </c>
      <c r="G5" s="20" t="s">
        <v>433</v>
      </c>
    </row>
    <row r="6" spans="1:7" x14ac:dyDescent="0.4">
      <c r="A6" s="3">
        <f t="shared" ref="A6:A69" si="0">A5+1</f>
        <v>2</v>
      </c>
      <c r="B6" s="3" t="s">
        <v>434</v>
      </c>
      <c r="C6" s="3" t="s">
        <v>2147</v>
      </c>
      <c r="D6" s="3" t="s">
        <v>2148</v>
      </c>
      <c r="E6" s="3"/>
      <c r="F6" s="3" t="s">
        <v>2148</v>
      </c>
      <c r="G6" s="3" t="s">
        <v>435</v>
      </c>
    </row>
    <row r="7" spans="1:7" x14ac:dyDescent="0.4">
      <c r="A7" s="3">
        <f t="shared" si="0"/>
        <v>3</v>
      </c>
      <c r="B7" s="3" t="s">
        <v>436</v>
      </c>
      <c r="C7" s="3" t="s">
        <v>2149</v>
      </c>
      <c r="D7" s="3" t="s">
        <v>432</v>
      </c>
      <c r="E7" s="3"/>
      <c r="F7" s="3" t="s">
        <v>432</v>
      </c>
      <c r="G7" s="3" t="s">
        <v>433</v>
      </c>
    </row>
    <row r="8" spans="1:7" x14ac:dyDescent="0.4">
      <c r="A8" s="3">
        <f t="shared" si="0"/>
        <v>4</v>
      </c>
      <c r="B8" s="3" t="s">
        <v>437</v>
      </c>
      <c r="C8" s="3" t="s">
        <v>2150</v>
      </c>
      <c r="D8" s="3" t="s">
        <v>2148</v>
      </c>
      <c r="E8" s="3"/>
      <c r="F8" s="3" t="s">
        <v>2148</v>
      </c>
      <c r="G8" s="3" t="s">
        <v>435</v>
      </c>
    </row>
    <row r="9" spans="1:7" x14ac:dyDescent="0.4">
      <c r="A9" s="3">
        <f t="shared" si="0"/>
        <v>5</v>
      </c>
      <c r="B9" s="3" t="s">
        <v>438</v>
      </c>
      <c r="C9" s="3" t="s">
        <v>2151</v>
      </c>
      <c r="D9" s="3" t="s">
        <v>2148</v>
      </c>
      <c r="E9" s="3"/>
      <c r="F9" s="3" t="s">
        <v>2148</v>
      </c>
      <c r="G9" s="3" t="s">
        <v>433</v>
      </c>
    </row>
    <row r="10" spans="1:7" x14ac:dyDescent="0.4">
      <c r="A10" s="3">
        <f t="shared" si="0"/>
        <v>6</v>
      </c>
      <c r="B10" s="3" t="s">
        <v>439</v>
      </c>
      <c r="C10" s="3" t="s">
        <v>2152</v>
      </c>
      <c r="D10" s="3" t="s">
        <v>432</v>
      </c>
      <c r="E10" s="3"/>
      <c r="F10" s="3" t="s">
        <v>432</v>
      </c>
      <c r="G10" s="3" t="s">
        <v>435</v>
      </c>
    </row>
    <row r="11" spans="1:7" x14ac:dyDescent="0.4">
      <c r="A11" s="3">
        <f t="shared" si="0"/>
        <v>7</v>
      </c>
      <c r="B11" s="3" t="s">
        <v>440</v>
      </c>
      <c r="C11" s="3" t="s">
        <v>2153</v>
      </c>
      <c r="D11" s="3" t="s">
        <v>432</v>
      </c>
      <c r="E11" s="3"/>
      <c r="F11" s="3" t="s">
        <v>432</v>
      </c>
      <c r="G11" s="3" t="s">
        <v>433</v>
      </c>
    </row>
    <row r="12" spans="1:7" x14ac:dyDescent="0.4">
      <c r="A12" s="3">
        <f t="shared" si="0"/>
        <v>8</v>
      </c>
      <c r="B12" s="3" t="s">
        <v>441</v>
      </c>
      <c r="C12" s="3" t="s">
        <v>2154</v>
      </c>
      <c r="D12" s="3" t="s">
        <v>2148</v>
      </c>
      <c r="E12" s="3"/>
      <c r="F12" s="3" t="s">
        <v>2148</v>
      </c>
      <c r="G12" s="3" t="s">
        <v>433</v>
      </c>
    </row>
    <row r="13" spans="1:7" x14ac:dyDescent="0.4">
      <c r="A13" s="3">
        <f t="shared" si="0"/>
        <v>9</v>
      </c>
      <c r="B13" s="3" t="s">
        <v>442</v>
      </c>
      <c r="C13" s="3" t="s">
        <v>2155</v>
      </c>
      <c r="D13" s="3" t="s">
        <v>432</v>
      </c>
      <c r="E13" s="3"/>
      <c r="F13" s="3" t="s">
        <v>432</v>
      </c>
      <c r="G13" s="3" t="s">
        <v>433</v>
      </c>
    </row>
    <row r="14" spans="1:7" x14ac:dyDescent="0.4">
      <c r="A14" s="3">
        <f t="shared" si="0"/>
        <v>10</v>
      </c>
      <c r="B14" s="3" t="s">
        <v>443</v>
      </c>
      <c r="C14" s="3" t="s">
        <v>2156</v>
      </c>
      <c r="D14" s="3" t="s">
        <v>444</v>
      </c>
      <c r="E14" s="3"/>
      <c r="F14" s="3" t="s">
        <v>444</v>
      </c>
      <c r="G14" s="3" t="s">
        <v>433</v>
      </c>
    </row>
    <row r="15" spans="1:7" x14ac:dyDescent="0.4">
      <c r="A15" s="3">
        <f t="shared" si="0"/>
        <v>11</v>
      </c>
      <c r="B15" s="3" t="s">
        <v>445</v>
      </c>
      <c r="C15" s="3" t="s">
        <v>2157</v>
      </c>
      <c r="D15" s="3" t="s">
        <v>444</v>
      </c>
      <c r="E15" s="3"/>
      <c r="F15" s="3" t="s">
        <v>444</v>
      </c>
      <c r="G15" s="3" t="s">
        <v>435</v>
      </c>
    </row>
    <row r="16" spans="1:7" x14ac:dyDescent="0.4">
      <c r="A16" s="3">
        <f t="shared" si="0"/>
        <v>12</v>
      </c>
      <c r="B16" s="3" t="s">
        <v>2158</v>
      </c>
      <c r="C16" s="3" t="s">
        <v>2159</v>
      </c>
      <c r="D16" s="3" t="s">
        <v>2148</v>
      </c>
      <c r="E16" s="3"/>
      <c r="F16" s="3" t="s">
        <v>2148</v>
      </c>
      <c r="G16" s="3" t="s">
        <v>435</v>
      </c>
    </row>
    <row r="17" spans="1:7" x14ac:dyDescent="0.4">
      <c r="A17" s="3">
        <f t="shared" si="0"/>
        <v>13</v>
      </c>
      <c r="B17" s="3" t="s">
        <v>2160</v>
      </c>
      <c r="C17" s="3" t="s">
        <v>2161</v>
      </c>
      <c r="D17" s="3" t="s">
        <v>432</v>
      </c>
      <c r="E17" s="3"/>
      <c r="F17" s="3" t="s">
        <v>432</v>
      </c>
      <c r="G17" s="3" t="s">
        <v>433</v>
      </c>
    </row>
    <row r="18" spans="1:7" x14ac:dyDescent="0.4">
      <c r="A18" s="3">
        <f t="shared" si="0"/>
        <v>14</v>
      </c>
      <c r="B18" s="3" t="s">
        <v>446</v>
      </c>
      <c r="C18" s="3" t="s">
        <v>2162</v>
      </c>
      <c r="D18" s="3" t="s">
        <v>2148</v>
      </c>
      <c r="E18" s="3"/>
      <c r="F18" s="3" t="s">
        <v>2148</v>
      </c>
      <c r="G18" s="3" t="s">
        <v>433</v>
      </c>
    </row>
    <row r="19" spans="1:7" x14ac:dyDescent="0.4">
      <c r="A19" s="3">
        <f t="shared" si="0"/>
        <v>15</v>
      </c>
      <c r="B19" s="3" t="s">
        <v>447</v>
      </c>
      <c r="C19" s="3" t="s">
        <v>2163</v>
      </c>
      <c r="D19" s="3" t="s">
        <v>2148</v>
      </c>
      <c r="E19" s="3"/>
      <c r="F19" s="3" t="s">
        <v>2148</v>
      </c>
      <c r="G19" s="3" t="s">
        <v>433</v>
      </c>
    </row>
    <row r="20" spans="1:7" x14ac:dyDescent="0.4">
      <c r="A20" s="3">
        <f t="shared" si="0"/>
        <v>16</v>
      </c>
      <c r="B20" s="3" t="s">
        <v>448</v>
      </c>
      <c r="C20" s="3" t="s">
        <v>2164</v>
      </c>
      <c r="D20" s="3" t="s">
        <v>2148</v>
      </c>
      <c r="E20" s="3"/>
      <c r="F20" s="3" t="s">
        <v>2148</v>
      </c>
      <c r="G20" s="3" t="s">
        <v>433</v>
      </c>
    </row>
    <row r="21" spans="1:7" x14ac:dyDescent="0.4">
      <c r="A21" s="3">
        <f t="shared" si="0"/>
        <v>17</v>
      </c>
      <c r="B21" s="3" t="s">
        <v>449</v>
      </c>
      <c r="C21" s="3" t="s">
        <v>2165</v>
      </c>
      <c r="D21" s="3" t="s">
        <v>444</v>
      </c>
      <c r="E21" s="3"/>
      <c r="F21" s="3" t="s">
        <v>444</v>
      </c>
      <c r="G21" s="3" t="s">
        <v>435</v>
      </c>
    </row>
    <row r="22" spans="1:7" x14ac:dyDescent="0.4">
      <c r="A22" s="3">
        <f t="shared" si="0"/>
        <v>18</v>
      </c>
      <c r="B22" s="3" t="s">
        <v>450</v>
      </c>
      <c r="C22" s="3" t="s">
        <v>2166</v>
      </c>
      <c r="D22" s="3" t="s">
        <v>432</v>
      </c>
      <c r="E22" s="3"/>
      <c r="F22" s="3" t="s">
        <v>432</v>
      </c>
      <c r="G22" s="3" t="s">
        <v>433</v>
      </c>
    </row>
    <row r="23" spans="1:7" x14ac:dyDescent="0.4">
      <c r="A23" s="3">
        <f t="shared" si="0"/>
        <v>19</v>
      </c>
      <c r="B23" s="3" t="s">
        <v>451</v>
      </c>
      <c r="C23" s="3" t="s">
        <v>2167</v>
      </c>
      <c r="D23" s="3" t="s">
        <v>2168</v>
      </c>
      <c r="E23" s="3"/>
      <c r="F23" s="3" t="s">
        <v>2168</v>
      </c>
      <c r="G23" s="3" t="s">
        <v>435</v>
      </c>
    </row>
    <row r="24" spans="1:7" x14ac:dyDescent="0.4">
      <c r="A24" s="3">
        <f t="shared" si="0"/>
        <v>20</v>
      </c>
      <c r="B24" s="3" t="s">
        <v>2169</v>
      </c>
      <c r="C24" s="3" t="s">
        <v>2170</v>
      </c>
      <c r="D24" s="3" t="s">
        <v>444</v>
      </c>
      <c r="E24" s="3"/>
      <c r="F24" s="3" t="s">
        <v>444</v>
      </c>
      <c r="G24" s="3" t="s">
        <v>433</v>
      </c>
    </row>
    <row r="25" spans="1:7" x14ac:dyDescent="0.4">
      <c r="A25" s="3">
        <f t="shared" si="0"/>
        <v>21</v>
      </c>
      <c r="B25" s="3" t="s">
        <v>452</v>
      </c>
      <c r="C25" s="3" t="s">
        <v>2171</v>
      </c>
      <c r="D25" s="3" t="s">
        <v>444</v>
      </c>
      <c r="E25" s="3"/>
      <c r="F25" s="3" t="s">
        <v>444</v>
      </c>
      <c r="G25" s="3" t="s">
        <v>433</v>
      </c>
    </row>
    <row r="26" spans="1:7" x14ac:dyDescent="0.4">
      <c r="A26" s="3">
        <f t="shared" si="0"/>
        <v>22</v>
      </c>
      <c r="B26" s="3" t="s">
        <v>2172</v>
      </c>
      <c r="C26" s="3" t="s">
        <v>2173</v>
      </c>
      <c r="D26" s="3" t="s">
        <v>432</v>
      </c>
      <c r="E26" s="3"/>
      <c r="F26" s="3" t="s">
        <v>432</v>
      </c>
      <c r="G26" s="3" t="s">
        <v>433</v>
      </c>
    </row>
    <row r="27" spans="1:7" x14ac:dyDescent="0.4">
      <c r="A27" s="3">
        <f t="shared" si="0"/>
        <v>23</v>
      </c>
      <c r="B27" s="3" t="s">
        <v>2174</v>
      </c>
      <c r="C27" s="3" t="s">
        <v>2175</v>
      </c>
      <c r="D27" s="3" t="s">
        <v>432</v>
      </c>
      <c r="E27" s="3"/>
      <c r="F27" s="3" t="s">
        <v>432</v>
      </c>
      <c r="G27" s="3" t="s">
        <v>433</v>
      </c>
    </row>
    <row r="28" spans="1:7" x14ac:dyDescent="0.4">
      <c r="A28" s="3">
        <f t="shared" si="0"/>
        <v>24</v>
      </c>
      <c r="B28" s="3" t="s">
        <v>454</v>
      </c>
      <c r="C28" s="3" t="s">
        <v>455</v>
      </c>
      <c r="D28" s="3" t="s">
        <v>444</v>
      </c>
      <c r="E28" s="3"/>
      <c r="F28" s="3" t="s">
        <v>444</v>
      </c>
      <c r="G28" s="3" t="s">
        <v>435</v>
      </c>
    </row>
    <row r="29" spans="1:7" x14ac:dyDescent="0.4">
      <c r="A29" s="3">
        <f t="shared" si="0"/>
        <v>25</v>
      </c>
      <c r="B29" s="3" t="s">
        <v>456</v>
      </c>
      <c r="C29" s="3" t="s">
        <v>2176</v>
      </c>
      <c r="D29" s="3" t="s">
        <v>432</v>
      </c>
      <c r="E29" s="3"/>
      <c r="F29" s="3" t="s">
        <v>432</v>
      </c>
      <c r="G29" s="3" t="s">
        <v>433</v>
      </c>
    </row>
    <row r="30" spans="1:7" x14ac:dyDescent="0.4">
      <c r="A30" s="3">
        <f t="shared" si="0"/>
        <v>26</v>
      </c>
      <c r="B30" s="3" t="s">
        <v>2177</v>
      </c>
      <c r="C30" s="3" t="s">
        <v>2178</v>
      </c>
      <c r="D30" s="3" t="s">
        <v>432</v>
      </c>
      <c r="E30" s="3"/>
      <c r="F30" s="3" t="s">
        <v>432</v>
      </c>
      <c r="G30" s="3" t="s">
        <v>433</v>
      </c>
    </row>
    <row r="31" spans="1:7" x14ac:dyDescent="0.4">
      <c r="A31" s="3">
        <f t="shared" si="0"/>
        <v>27</v>
      </c>
      <c r="B31" s="3" t="s">
        <v>457</v>
      </c>
      <c r="C31" s="3" t="s">
        <v>2179</v>
      </c>
      <c r="D31" s="3" t="s">
        <v>444</v>
      </c>
      <c r="E31" s="3"/>
      <c r="F31" s="3" t="s">
        <v>444</v>
      </c>
      <c r="G31" s="3" t="s">
        <v>458</v>
      </c>
    </row>
    <row r="32" spans="1:7" x14ac:dyDescent="0.4">
      <c r="A32" s="3">
        <f t="shared" si="0"/>
        <v>28</v>
      </c>
      <c r="B32" s="3" t="s">
        <v>459</v>
      </c>
      <c r="C32" s="3" t="s">
        <v>2180</v>
      </c>
      <c r="D32" s="3" t="s">
        <v>2148</v>
      </c>
      <c r="E32" s="3"/>
      <c r="F32" s="3" t="s">
        <v>2148</v>
      </c>
      <c r="G32" s="3" t="s">
        <v>433</v>
      </c>
    </row>
    <row r="33" spans="1:7" x14ac:dyDescent="0.4">
      <c r="A33" s="3">
        <f t="shared" si="0"/>
        <v>29</v>
      </c>
      <c r="B33" s="3" t="s">
        <v>460</v>
      </c>
      <c r="C33" s="3" t="s">
        <v>2181</v>
      </c>
      <c r="D33" s="3" t="s">
        <v>444</v>
      </c>
      <c r="E33" s="3"/>
      <c r="F33" s="3" t="s">
        <v>444</v>
      </c>
      <c r="G33" s="3" t="s">
        <v>433</v>
      </c>
    </row>
    <row r="34" spans="1:7" x14ac:dyDescent="0.4">
      <c r="A34" s="3">
        <f t="shared" si="0"/>
        <v>30</v>
      </c>
      <c r="B34" s="3" t="s">
        <v>461</v>
      </c>
      <c r="C34" s="3" t="s">
        <v>462</v>
      </c>
      <c r="D34" s="3" t="s">
        <v>2148</v>
      </c>
      <c r="E34" s="3"/>
      <c r="F34" s="3" t="s">
        <v>2148</v>
      </c>
      <c r="G34" s="3" t="s">
        <v>458</v>
      </c>
    </row>
    <row r="35" spans="1:7" x14ac:dyDescent="0.4">
      <c r="A35" s="3">
        <f t="shared" si="0"/>
        <v>31</v>
      </c>
      <c r="B35" s="3" t="s">
        <v>463</v>
      </c>
      <c r="C35" s="3" t="s">
        <v>2182</v>
      </c>
      <c r="D35" s="3" t="s">
        <v>2148</v>
      </c>
      <c r="E35" s="3"/>
      <c r="F35" s="3" t="s">
        <v>2148</v>
      </c>
      <c r="G35" s="3" t="s">
        <v>433</v>
      </c>
    </row>
    <row r="36" spans="1:7" x14ac:dyDescent="0.4">
      <c r="A36" s="3">
        <f t="shared" si="0"/>
        <v>32</v>
      </c>
      <c r="B36" s="3" t="s">
        <v>464</v>
      </c>
      <c r="C36" s="3" t="s">
        <v>2183</v>
      </c>
      <c r="D36" s="3" t="s">
        <v>2148</v>
      </c>
      <c r="E36" s="3"/>
      <c r="F36" s="3" t="s">
        <v>2148</v>
      </c>
      <c r="G36" s="3" t="s">
        <v>433</v>
      </c>
    </row>
    <row r="37" spans="1:7" x14ac:dyDescent="0.4">
      <c r="A37" s="3">
        <f t="shared" si="0"/>
        <v>33</v>
      </c>
      <c r="B37" s="3" t="s">
        <v>465</v>
      </c>
      <c r="C37" s="3" t="s">
        <v>2184</v>
      </c>
      <c r="D37" s="3" t="s">
        <v>2148</v>
      </c>
      <c r="E37" s="3"/>
      <c r="F37" s="3" t="s">
        <v>2148</v>
      </c>
      <c r="G37" s="3" t="s">
        <v>433</v>
      </c>
    </row>
    <row r="38" spans="1:7" x14ac:dyDescent="0.4">
      <c r="A38" s="3">
        <f t="shared" si="0"/>
        <v>34</v>
      </c>
      <c r="B38" s="3" t="s">
        <v>2185</v>
      </c>
      <c r="C38" s="3" t="s">
        <v>2186</v>
      </c>
      <c r="D38" s="3" t="s">
        <v>432</v>
      </c>
      <c r="E38" s="3"/>
      <c r="F38" s="3" t="s">
        <v>432</v>
      </c>
      <c r="G38" s="3" t="s">
        <v>433</v>
      </c>
    </row>
    <row r="39" spans="1:7" x14ac:dyDescent="0.4">
      <c r="A39" s="3">
        <f t="shared" si="0"/>
        <v>35</v>
      </c>
      <c r="B39" s="3" t="s">
        <v>2187</v>
      </c>
      <c r="C39" s="3" t="s">
        <v>2188</v>
      </c>
      <c r="D39" s="3" t="s">
        <v>182</v>
      </c>
      <c r="E39" s="3"/>
      <c r="F39" s="3" t="s">
        <v>182</v>
      </c>
      <c r="G39" s="3" t="s">
        <v>433</v>
      </c>
    </row>
    <row r="40" spans="1:7" x14ac:dyDescent="0.4">
      <c r="A40" s="3">
        <f t="shared" si="0"/>
        <v>36</v>
      </c>
      <c r="B40" s="3" t="s">
        <v>466</v>
      </c>
      <c r="C40" s="3" t="s">
        <v>467</v>
      </c>
      <c r="D40" s="3" t="s">
        <v>2148</v>
      </c>
      <c r="E40" s="3"/>
      <c r="F40" s="3" t="s">
        <v>2148</v>
      </c>
      <c r="G40" s="3" t="s">
        <v>433</v>
      </c>
    </row>
    <row r="41" spans="1:7" x14ac:dyDescent="0.4">
      <c r="A41" s="3">
        <f t="shared" si="0"/>
        <v>37</v>
      </c>
      <c r="B41" s="3" t="s">
        <v>468</v>
      </c>
      <c r="C41" s="3" t="s">
        <v>2189</v>
      </c>
      <c r="D41" s="3" t="s">
        <v>444</v>
      </c>
      <c r="E41" s="3"/>
      <c r="F41" s="3" t="s">
        <v>444</v>
      </c>
      <c r="G41" s="3" t="s">
        <v>435</v>
      </c>
    </row>
    <row r="42" spans="1:7" x14ac:dyDescent="0.4">
      <c r="A42" s="3">
        <f t="shared" si="0"/>
        <v>38</v>
      </c>
      <c r="B42" s="3" t="s">
        <v>469</v>
      </c>
      <c r="C42" s="3" t="s">
        <v>2190</v>
      </c>
      <c r="D42" s="3" t="s">
        <v>470</v>
      </c>
      <c r="E42" s="3"/>
      <c r="F42" s="3" t="s">
        <v>470</v>
      </c>
      <c r="G42" s="3" t="s">
        <v>435</v>
      </c>
    </row>
    <row r="43" spans="1:7" x14ac:dyDescent="0.4">
      <c r="A43" s="3">
        <f t="shared" si="0"/>
        <v>39</v>
      </c>
      <c r="B43" s="3" t="s">
        <v>471</v>
      </c>
      <c r="C43" s="3" t="s">
        <v>2191</v>
      </c>
      <c r="D43" s="3" t="s">
        <v>432</v>
      </c>
      <c r="E43" s="3"/>
      <c r="F43" s="3" t="s">
        <v>432</v>
      </c>
      <c r="G43" s="3" t="s">
        <v>435</v>
      </c>
    </row>
    <row r="44" spans="1:7" x14ac:dyDescent="0.4">
      <c r="A44" s="3">
        <f t="shared" si="0"/>
        <v>40</v>
      </c>
      <c r="B44" s="3" t="s">
        <v>472</v>
      </c>
      <c r="C44" s="3" t="s">
        <v>2192</v>
      </c>
      <c r="D44" s="3" t="s">
        <v>432</v>
      </c>
      <c r="E44" s="3"/>
      <c r="F44" s="3" t="s">
        <v>432</v>
      </c>
      <c r="G44" s="3" t="s">
        <v>433</v>
      </c>
    </row>
    <row r="45" spans="1:7" x14ac:dyDescent="0.4">
      <c r="A45" s="3">
        <f t="shared" si="0"/>
        <v>41</v>
      </c>
      <c r="B45" s="3" t="s">
        <v>473</v>
      </c>
      <c r="C45" s="3" t="s">
        <v>2193</v>
      </c>
      <c r="D45" s="3" t="s">
        <v>444</v>
      </c>
      <c r="E45" s="3"/>
      <c r="F45" s="3" t="s">
        <v>444</v>
      </c>
      <c r="G45" s="3" t="s">
        <v>433</v>
      </c>
    </row>
    <row r="46" spans="1:7" x14ac:dyDescent="0.4">
      <c r="A46" s="3">
        <f t="shared" si="0"/>
        <v>42</v>
      </c>
      <c r="B46" s="3" t="s">
        <v>474</v>
      </c>
      <c r="C46" s="3" t="s">
        <v>2194</v>
      </c>
      <c r="D46" s="3" t="s">
        <v>470</v>
      </c>
      <c r="E46" s="3"/>
      <c r="F46" s="3" t="s">
        <v>470</v>
      </c>
      <c r="G46" s="3" t="s">
        <v>458</v>
      </c>
    </row>
    <row r="47" spans="1:7" x14ac:dyDescent="0.4">
      <c r="A47" s="3">
        <f t="shared" si="0"/>
        <v>43</v>
      </c>
      <c r="B47" s="3" t="s">
        <v>475</v>
      </c>
      <c r="C47" s="3" t="s">
        <v>2195</v>
      </c>
      <c r="D47" s="3" t="s">
        <v>2196</v>
      </c>
      <c r="E47" s="3"/>
      <c r="F47" s="3" t="s">
        <v>2196</v>
      </c>
      <c r="G47" s="3" t="s">
        <v>458</v>
      </c>
    </row>
    <row r="48" spans="1:7" x14ac:dyDescent="0.4">
      <c r="A48" s="3">
        <f t="shared" si="0"/>
        <v>44</v>
      </c>
      <c r="B48" s="3" t="s">
        <v>476</v>
      </c>
      <c r="C48" s="3" t="s">
        <v>2197</v>
      </c>
      <c r="D48" s="3" t="s">
        <v>182</v>
      </c>
      <c r="E48" s="3"/>
      <c r="F48" s="3" t="s">
        <v>182</v>
      </c>
      <c r="G48" s="3" t="s">
        <v>458</v>
      </c>
    </row>
    <row r="49" spans="1:7" x14ac:dyDescent="0.4">
      <c r="A49" s="3">
        <f t="shared" si="0"/>
        <v>45</v>
      </c>
      <c r="B49" s="3" t="s">
        <v>477</v>
      </c>
      <c r="C49" s="3" t="s">
        <v>2198</v>
      </c>
      <c r="D49" s="3" t="s">
        <v>2148</v>
      </c>
      <c r="E49" s="3"/>
      <c r="F49" s="3" t="s">
        <v>2148</v>
      </c>
      <c r="G49" s="3" t="s">
        <v>433</v>
      </c>
    </row>
    <row r="50" spans="1:7" x14ac:dyDescent="0.4">
      <c r="A50" s="3">
        <f t="shared" si="0"/>
        <v>46</v>
      </c>
      <c r="B50" s="3" t="s">
        <v>478</v>
      </c>
      <c r="C50" s="3" t="s">
        <v>2199</v>
      </c>
      <c r="D50" s="3" t="s">
        <v>432</v>
      </c>
      <c r="E50" s="3"/>
      <c r="F50" s="3" t="s">
        <v>432</v>
      </c>
      <c r="G50" s="3" t="s">
        <v>433</v>
      </c>
    </row>
    <row r="51" spans="1:7" x14ac:dyDescent="0.4">
      <c r="A51" s="3">
        <f t="shared" si="0"/>
        <v>47</v>
      </c>
      <c r="B51" s="3" t="s">
        <v>479</v>
      </c>
      <c r="C51" s="3" t="s">
        <v>2200</v>
      </c>
      <c r="D51" s="3" t="s">
        <v>432</v>
      </c>
      <c r="E51" s="3"/>
      <c r="F51" s="3" t="s">
        <v>432</v>
      </c>
      <c r="G51" s="3" t="s">
        <v>433</v>
      </c>
    </row>
    <row r="52" spans="1:7" x14ac:dyDescent="0.4">
      <c r="A52" s="3">
        <f t="shared" si="0"/>
        <v>48</v>
      </c>
      <c r="B52" s="3" t="s">
        <v>480</v>
      </c>
      <c r="C52" s="3" t="s">
        <v>2201</v>
      </c>
      <c r="D52" s="3" t="s">
        <v>432</v>
      </c>
      <c r="E52" s="3"/>
      <c r="F52" s="3" t="s">
        <v>432</v>
      </c>
      <c r="G52" s="3" t="s">
        <v>435</v>
      </c>
    </row>
    <row r="53" spans="1:7" x14ac:dyDescent="0.4">
      <c r="A53" s="3">
        <f t="shared" si="0"/>
        <v>49</v>
      </c>
      <c r="B53" s="3" t="s">
        <v>481</v>
      </c>
      <c r="C53" s="3" t="s">
        <v>2202</v>
      </c>
      <c r="D53" s="3" t="s">
        <v>2148</v>
      </c>
      <c r="E53" s="3"/>
      <c r="F53" s="3" t="s">
        <v>2148</v>
      </c>
      <c r="G53" s="3" t="s">
        <v>435</v>
      </c>
    </row>
    <row r="54" spans="1:7" x14ac:dyDescent="0.4">
      <c r="A54" s="3">
        <f t="shared" si="0"/>
        <v>50</v>
      </c>
      <c r="B54" s="3" t="s">
        <v>482</v>
      </c>
      <c r="C54" s="3" t="s">
        <v>2203</v>
      </c>
      <c r="D54" s="3" t="s">
        <v>182</v>
      </c>
      <c r="E54" s="3"/>
      <c r="F54" s="3" t="s">
        <v>182</v>
      </c>
      <c r="G54" s="3" t="s">
        <v>433</v>
      </c>
    </row>
    <row r="55" spans="1:7" x14ac:dyDescent="0.4">
      <c r="A55" s="3">
        <f t="shared" si="0"/>
        <v>51</v>
      </c>
      <c r="B55" s="3" t="s">
        <v>483</v>
      </c>
      <c r="C55" s="3" t="s">
        <v>484</v>
      </c>
      <c r="D55" s="3" t="s">
        <v>182</v>
      </c>
      <c r="E55" s="3"/>
      <c r="F55" s="3" t="s">
        <v>182</v>
      </c>
      <c r="G55" s="3" t="s">
        <v>433</v>
      </c>
    </row>
    <row r="56" spans="1:7" x14ac:dyDescent="0.4">
      <c r="A56" s="3">
        <f t="shared" si="0"/>
        <v>52</v>
      </c>
      <c r="B56" s="3" t="s">
        <v>485</v>
      </c>
      <c r="C56" s="3" t="s">
        <v>2204</v>
      </c>
      <c r="D56" s="3" t="s">
        <v>2196</v>
      </c>
      <c r="E56" s="3"/>
      <c r="F56" s="3" t="s">
        <v>2196</v>
      </c>
      <c r="G56" s="3" t="s">
        <v>433</v>
      </c>
    </row>
    <row r="57" spans="1:7" x14ac:dyDescent="0.4">
      <c r="A57" s="3">
        <f t="shared" si="0"/>
        <v>53</v>
      </c>
      <c r="B57" s="3" t="s">
        <v>486</v>
      </c>
      <c r="C57" s="3" t="s">
        <v>2205</v>
      </c>
      <c r="D57" s="3" t="s">
        <v>2148</v>
      </c>
      <c r="E57" s="3"/>
      <c r="F57" s="3" t="s">
        <v>2148</v>
      </c>
      <c r="G57" s="3" t="s">
        <v>433</v>
      </c>
    </row>
    <row r="58" spans="1:7" x14ac:dyDescent="0.4">
      <c r="A58" s="3">
        <f t="shared" si="0"/>
        <v>54</v>
      </c>
      <c r="B58" s="3" t="s">
        <v>2206</v>
      </c>
      <c r="C58" s="3" t="s">
        <v>2207</v>
      </c>
      <c r="D58" s="3" t="s">
        <v>2148</v>
      </c>
      <c r="E58" s="3"/>
      <c r="F58" s="3" t="s">
        <v>2148</v>
      </c>
      <c r="G58" s="3" t="s">
        <v>433</v>
      </c>
    </row>
    <row r="59" spans="1:7" x14ac:dyDescent="0.4">
      <c r="A59" s="3">
        <f t="shared" si="0"/>
        <v>55</v>
      </c>
      <c r="B59" s="3" t="s">
        <v>487</v>
      </c>
      <c r="C59" s="3" t="s">
        <v>2208</v>
      </c>
      <c r="D59" s="3" t="s">
        <v>2148</v>
      </c>
      <c r="E59" s="3"/>
      <c r="F59" s="3" t="s">
        <v>2148</v>
      </c>
      <c r="G59" s="3" t="s">
        <v>433</v>
      </c>
    </row>
    <row r="60" spans="1:7" x14ac:dyDescent="0.4">
      <c r="A60" s="3">
        <f t="shared" si="0"/>
        <v>56</v>
      </c>
      <c r="B60" s="3" t="s">
        <v>488</v>
      </c>
      <c r="C60" s="3" t="s">
        <v>2209</v>
      </c>
      <c r="D60" s="3" t="s">
        <v>2148</v>
      </c>
      <c r="E60" s="3"/>
      <c r="F60" s="3" t="s">
        <v>2148</v>
      </c>
      <c r="G60" s="3" t="s">
        <v>433</v>
      </c>
    </row>
    <row r="61" spans="1:7" x14ac:dyDescent="0.4">
      <c r="A61" s="3">
        <f t="shared" si="0"/>
        <v>57</v>
      </c>
      <c r="B61" s="3" t="s">
        <v>489</v>
      </c>
      <c r="C61" s="3" t="s">
        <v>2210</v>
      </c>
      <c r="D61" s="3" t="s">
        <v>2148</v>
      </c>
      <c r="E61" s="3"/>
      <c r="F61" s="3" t="s">
        <v>2148</v>
      </c>
      <c r="G61" s="3" t="s">
        <v>433</v>
      </c>
    </row>
    <row r="62" spans="1:7" x14ac:dyDescent="0.4">
      <c r="A62" s="3">
        <f t="shared" si="0"/>
        <v>58</v>
      </c>
      <c r="B62" s="3" t="s">
        <v>490</v>
      </c>
      <c r="C62" s="3" t="s">
        <v>2211</v>
      </c>
      <c r="D62" s="3" t="s">
        <v>2148</v>
      </c>
      <c r="E62" s="3"/>
      <c r="F62" s="3" t="s">
        <v>2148</v>
      </c>
      <c r="G62" s="3" t="s">
        <v>433</v>
      </c>
    </row>
    <row r="63" spans="1:7" x14ac:dyDescent="0.4">
      <c r="A63" s="3">
        <f t="shared" si="0"/>
        <v>59</v>
      </c>
      <c r="B63" s="3" t="s">
        <v>491</v>
      </c>
      <c r="C63" s="3" t="s">
        <v>2212</v>
      </c>
      <c r="D63" s="3" t="s">
        <v>2148</v>
      </c>
      <c r="E63" s="3"/>
      <c r="F63" s="3" t="s">
        <v>2148</v>
      </c>
      <c r="G63" s="3" t="s">
        <v>433</v>
      </c>
    </row>
    <row r="64" spans="1:7" x14ac:dyDescent="0.4">
      <c r="A64" s="3">
        <f t="shared" si="0"/>
        <v>60</v>
      </c>
      <c r="B64" s="3" t="s">
        <v>492</v>
      </c>
      <c r="C64" s="3" t="s">
        <v>2213</v>
      </c>
      <c r="D64" s="3" t="s">
        <v>2148</v>
      </c>
      <c r="E64" s="3"/>
      <c r="F64" s="3" t="s">
        <v>2148</v>
      </c>
      <c r="G64" s="3" t="s">
        <v>435</v>
      </c>
    </row>
    <row r="65" spans="1:7" x14ac:dyDescent="0.4">
      <c r="A65" s="3">
        <f t="shared" si="0"/>
        <v>61</v>
      </c>
      <c r="B65" s="3" t="s">
        <v>2214</v>
      </c>
      <c r="C65" s="3" t="s">
        <v>2215</v>
      </c>
      <c r="D65" s="3" t="s">
        <v>2148</v>
      </c>
      <c r="E65" s="3"/>
      <c r="F65" s="3" t="s">
        <v>2148</v>
      </c>
      <c r="G65" s="3" t="s">
        <v>433</v>
      </c>
    </row>
    <row r="66" spans="1:7" x14ac:dyDescent="0.4">
      <c r="A66" s="3">
        <f t="shared" si="0"/>
        <v>62</v>
      </c>
      <c r="B66" s="3" t="s">
        <v>493</v>
      </c>
      <c r="C66" s="3" t="s">
        <v>2216</v>
      </c>
      <c r="D66" s="3" t="s">
        <v>2196</v>
      </c>
      <c r="E66" s="3"/>
      <c r="F66" s="3" t="s">
        <v>2196</v>
      </c>
      <c r="G66" s="3" t="s">
        <v>433</v>
      </c>
    </row>
    <row r="67" spans="1:7" x14ac:dyDescent="0.4">
      <c r="A67" s="3">
        <f t="shared" si="0"/>
        <v>63</v>
      </c>
      <c r="B67" s="3" t="s">
        <v>494</v>
      </c>
      <c r="C67" s="3" t="s">
        <v>2217</v>
      </c>
      <c r="D67" s="3" t="s">
        <v>182</v>
      </c>
      <c r="E67" s="3"/>
      <c r="F67" s="3" t="s">
        <v>182</v>
      </c>
      <c r="G67" s="3" t="s">
        <v>433</v>
      </c>
    </row>
    <row r="68" spans="1:7" x14ac:dyDescent="0.4">
      <c r="A68" s="3">
        <f t="shared" si="0"/>
        <v>64</v>
      </c>
      <c r="B68" s="3" t="s">
        <v>495</v>
      </c>
      <c r="C68" s="3" t="s">
        <v>2218</v>
      </c>
      <c r="D68" s="3" t="s">
        <v>444</v>
      </c>
      <c r="E68" s="3"/>
      <c r="F68" s="3" t="s">
        <v>444</v>
      </c>
      <c r="G68" s="3" t="s">
        <v>433</v>
      </c>
    </row>
    <row r="69" spans="1:7" x14ac:dyDescent="0.4">
      <c r="A69" s="3">
        <f t="shared" si="0"/>
        <v>65</v>
      </c>
      <c r="B69" s="3" t="s">
        <v>496</v>
      </c>
      <c r="C69" s="3" t="s">
        <v>2219</v>
      </c>
      <c r="D69" s="3" t="s">
        <v>2148</v>
      </c>
      <c r="E69" s="3"/>
      <c r="F69" s="3" t="s">
        <v>2148</v>
      </c>
      <c r="G69" s="3" t="s">
        <v>458</v>
      </c>
    </row>
    <row r="70" spans="1:7" x14ac:dyDescent="0.4">
      <c r="A70" s="3">
        <f t="shared" ref="A70:A133" si="1">A69+1</f>
        <v>66</v>
      </c>
      <c r="B70" s="3" t="s">
        <v>497</v>
      </c>
      <c r="C70" s="3" t="s">
        <v>2220</v>
      </c>
      <c r="D70" s="3" t="s">
        <v>432</v>
      </c>
      <c r="E70" s="3"/>
      <c r="F70" s="3" t="s">
        <v>432</v>
      </c>
      <c r="G70" s="3" t="s">
        <v>458</v>
      </c>
    </row>
    <row r="71" spans="1:7" x14ac:dyDescent="0.4">
      <c r="A71" s="3">
        <f t="shared" si="1"/>
        <v>67</v>
      </c>
      <c r="B71" s="3" t="s">
        <v>498</v>
      </c>
      <c r="C71" s="3" t="s">
        <v>2221</v>
      </c>
      <c r="D71" s="3" t="s">
        <v>2148</v>
      </c>
      <c r="E71" s="3"/>
      <c r="F71" s="3" t="s">
        <v>2148</v>
      </c>
      <c r="G71" s="3" t="s">
        <v>458</v>
      </c>
    </row>
    <row r="72" spans="1:7" x14ac:dyDescent="0.4">
      <c r="A72" s="3">
        <f t="shared" si="1"/>
        <v>68</v>
      </c>
      <c r="B72" s="3" t="s">
        <v>499</v>
      </c>
      <c r="C72" s="3" t="s">
        <v>2222</v>
      </c>
      <c r="D72" s="3" t="s">
        <v>182</v>
      </c>
      <c r="E72" s="3"/>
      <c r="F72" s="3" t="s">
        <v>182</v>
      </c>
      <c r="G72" s="3" t="s">
        <v>435</v>
      </c>
    </row>
    <row r="73" spans="1:7" x14ac:dyDescent="0.4">
      <c r="A73" s="3">
        <f t="shared" si="1"/>
        <v>69</v>
      </c>
      <c r="B73" s="3" t="s">
        <v>500</v>
      </c>
      <c r="C73" s="3" t="s">
        <v>2223</v>
      </c>
      <c r="D73" s="3" t="s">
        <v>444</v>
      </c>
      <c r="E73" s="3"/>
      <c r="F73" s="3" t="s">
        <v>444</v>
      </c>
      <c r="G73" s="3" t="s">
        <v>433</v>
      </c>
    </row>
    <row r="74" spans="1:7" x14ac:dyDescent="0.4">
      <c r="A74" s="3">
        <f t="shared" si="1"/>
        <v>70</v>
      </c>
      <c r="B74" s="3" t="s">
        <v>2224</v>
      </c>
      <c r="C74" s="3" t="s">
        <v>2225</v>
      </c>
      <c r="D74" s="3" t="s">
        <v>432</v>
      </c>
      <c r="E74" s="3"/>
      <c r="F74" s="3" t="s">
        <v>432</v>
      </c>
      <c r="G74" s="3" t="s">
        <v>433</v>
      </c>
    </row>
    <row r="75" spans="1:7" x14ac:dyDescent="0.4">
      <c r="A75" s="3">
        <f t="shared" si="1"/>
        <v>71</v>
      </c>
      <c r="B75" s="3" t="s">
        <v>2226</v>
      </c>
      <c r="C75" s="3" t="s">
        <v>2227</v>
      </c>
      <c r="D75" s="3" t="s">
        <v>432</v>
      </c>
      <c r="E75" s="3"/>
      <c r="F75" s="3" t="s">
        <v>432</v>
      </c>
      <c r="G75" s="3" t="s">
        <v>433</v>
      </c>
    </row>
    <row r="76" spans="1:7" x14ac:dyDescent="0.4">
      <c r="A76" s="3">
        <f t="shared" si="1"/>
        <v>72</v>
      </c>
      <c r="B76" s="3" t="s">
        <v>501</v>
      </c>
      <c r="C76" s="3" t="s">
        <v>2228</v>
      </c>
      <c r="D76" s="3" t="s">
        <v>2148</v>
      </c>
      <c r="E76" s="3"/>
      <c r="F76" s="3" t="s">
        <v>2148</v>
      </c>
      <c r="G76" s="3" t="s">
        <v>433</v>
      </c>
    </row>
    <row r="77" spans="1:7" x14ac:dyDescent="0.4">
      <c r="A77" s="3">
        <f t="shared" si="1"/>
        <v>73</v>
      </c>
      <c r="B77" s="3" t="s">
        <v>502</v>
      </c>
      <c r="C77" s="3" t="s">
        <v>503</v>
      </c>
      <c r="D77" s="3" t="s">
        <v>182</v>
      </c>
      <c r="E77" s="3"/>
      <c r="F77" s="3" t="s">
        <v>182</v>
      </c>
      <c r="G77" s="3" t="s">
        <v>433</v>
      </c>
    </row>
    <row r="78" spans="1:7" x14ac:dyDescent="0.4">
      <c r="A78" s="3">
        <f t="shared" si="1"/>
        <v>74</v>
      </c>
      <c r="B78" s="3" t="s">
        <v>2229</v>
      </c>
      <c r="C78" s="3" t="s">
        <v>2230</v>
      </c>
      <c r="D78" s="3" t="s">
        <v>432</v>
      </c>
      <c r="E78" s="3"/>
      <c r="F78" s="3" t="s">
        <v>432</v>
      </c>
      <c r="G78" s="3" t="s">
        <v>435</v>
      </c>
    </row>
    <row r="79" spans="1:7" x14ac:dyDescent="0.4">
      <c r="A79" s="3">
        <f t="shared" si="1"/>
        <v>75</v>
      </c>
      <c r="B79" s="3" t="s">
        <v>2231</v>
      </c>
      <c r="C79" s="3" t="s">
        <v>2232</v>
      </c>
      <c r="D79" s="3" t="s">
        <v>444</v>
      </c>
      <c r="E79" s="3"/>
      <c r="F79" s="3" t="s">
        <v>444</v>
      </c>
      <c r="G79" s="3" t="s">
        <v>433</v>
      </c>
    </row>
    <row r="80" spans="1:7" x14ac:dyDescent="0.4">
      <c r="A80" s="3">
        <f t="shared" si="1"/>
        <v>76</v>
      </c>
      <c r="B80" s="3" t="s">
        <v>2233</v>
      </c>
      <c r="C80" s="3" t="s">
        <v>2234</v>
      </c>
      <c r="D80" s="3" t="s">
        <v>432</v>
      </c>
      <c r="E80" s="3"/>
      <c r="F80" s="3" t="s">
        <v>432</v>
      </c>
      <c r="G80" s="3" t="s">
        <v>433</v>
      </c>
    </row>
    <row r="81" spans="1:7" x14ac:dyDescent="0.4">
      <c r="A81" s="3">
        <f t="shared" si="1"/>
        <v>77</v>
      </c>
      <c r="B81" s="3" t="s">
        <v>2235</v>
      </c>
      <c r="C81" s="3" t="s">
        <v>2236</v>
      </c>
      <c r="D81" s="3" t="s">
        <v>2168</v>
      </c>
      <c r="E81" s="3"/>
      <c r="F81" s="3" t="s">
        <v>2168</v>
      </c>
      <c r="G81" s="3" t="s">
        <v>433</v>
      </c>
    </row>
    <row r="82" spans="1:7" x14ac:dyDescent="0.4">
      <c r="A82" s="3">
        <f t="shared" si="1"/>
        <v>78</v>
      </c>
      <c r="B82" s="3" t="s">
        <v>2237</v>
      </c>
      <c r="C82" s="3" t="s">
        <v>2236</v>
      </c>
      <c r="D82" s="3" t="s">
        <v>2148</v>
      </c>
      <c r="E82" s="3"/>
      <c r="F82" s="3" t="s">
        <v>2148</v>
      </c>
      <c r="G82" s="3" t="s">
        <v>433</v>
      </c>
    </row>
    <row r="83" spans="1:7" x14ac:dyDescent="0.4">
      <c r="A83" s="3">
        <f t="shared" si="1"/>
        <v>79</v>
      </c>
      <c r="B83" s="3" t="s">
        <v>504</v>
      </c>
      <c r="C83" s="3" t="s">
        <v>2238</v>
      </c>
      <c r="D83" s="3" t="s">
        <v>432</v>
      </c>
      <c r="E83" s="3"/>
      <c r="F83" s="3" t="s">
        <v>432</v>
      </c>
      <c r="G83" s="3" t="s">
        <v>433</v>
      </c>
    </row>
    <row r="84" spans="1:7" x14ac:dyDescent="0.4">
      <c r="A84" s="3">
        <f t="shared" si="1"/>
        <v>80</v>
      </c>
      <c r="B84" s="3" t="s">
        <v>505</v>
      </c>
      <c r="C84" s="3" t="s">
        <v>2239</v>
      </c>
      <c r="D84" s="3" t="s">
        <v>2148</v>
      </c>
      <c r="E84" s="3"/>
      <c r="F84" s="3" t="s">
        <v>2148</v>
      </c>
      <c r="G84" s="3" t="s">
        <v>433</v>
      </c>
    </row>
    <row r="85" spans="1:7" x14ac:dyDescent="0.4">
      <c r="A85" s="3">
        <f t="shared" si="1"/>
        <v>81</v>
      </c>
      <c r="B85" s="3" t="s">
        <v>506</v>
      </c>
      <c r="C85" s="3" t="s">
        <v>2240</v>
      </c>
      <c r="D85" s="3" t="s">
        <v>2148</v>
      </c>
      <c r="E85" s="3"/>
      <c r="F85" s="3" t="s">
        <v>2148</v>
      </c>
      <c r="G85" s="3" t="s">
        <v>435</v>
      </c>
    </row>
    <row r="86" spans="1:7" x14ac:dyDescent="0.4">
      <c r="A86" s="3">
        <f t="shared" si="1"/>
        <v>82</v>
      </c>
      <c r="B86" s="3" t="s">
        <v>507</v>
      </c>
      <c r="C86" s="3" t="s">
        <v>2241</v>
      </c>
      <c r="D86" s="3" t="s">
        <v>432</v>
      </c>
      <c r="E86" s="3"/>
      <c r="F86" s="3" t="s">
        <v>432</v>
      </c>
      <c r="G86" s="3" t="s">
        <v>433</v>
      </c>
    </row>
    <row r="87" spans="1:7" x14ac:dyDescent="0.4">
      <c r="A87" s="3">
        <f t="shared" si="1"/>
        <v>83</v>
      </c>
      <c r="B87" s="3" t="s">
        <v>508</v>
      </c>
      <c r="C87" s="3" t="s">
        <v>2242</v>
      </c>
      <c r="D87" s="3" t="s">
        <v>432</v>
      </c>
      <c r="E87" s="3"/>
      <c r="F87" s="3" t="s">
        <v>432</v>
      </c>
      <c r="G87" s="3" t="s">
        <v>458</v>
      </c>
    </row>
    <row r="88" spans="1:7" x14ac:dyDescent="0.4">
      <c r="A88" s="3">
        <f t="shared" si="1"/>
        <v>84</v>
      </c>
      <c r="B88" s="3" t="s">
        <v>2243</v>
      </c>
      <c r="C88" s="3" t="s">
        <v>2244</v>
      </c>
      <c r="D88" s="3" t="s">
        <v>432</v>
      </c>
      <c r="E88" s="3"/>
      <c r="F88" s="3" t="s">
        <v>432</v>
      </c>
      <c r="G88" s="3" t="s">
        <v>433</v>
      </c>
    </row>
    <row r="89" spans="1:7" x14ac:dyDescent="0.4">
      <c r="A89" s="3">
        <f t="shared" si="1"/>
        <v>85</v>
      </c>
      <c r="B89" s="3" t="s">
        <v>509</v>
      </c>
      <c r="C89" s="3" t="s">
        <v>2245</v>
      </c>
      <c r="D89" s="3" t="s">
        <v>182</v>
      </c>
      <c r="E89" s="3"/>
      <c r="F89" s="3" t="s">
        <v>182</v>
      </c>
      <c r="G89" s="3" t="s">
        <v>435</v>
      </c>
    </row>
    <row r="90" spans="1:7" x14ac:dyDescent="0.4">
      <c r="A90" s="3">
        <f t="shared" si="1"/>
        <v>86</v>
      </c>
      <c r="B90" s="3" t="s">
        <v>510</v>
      </c>
      <c r="C90" s="3" t="s">
        <v>2246</v>
      </c>
      <c r="D90" s="3" t="s">
        <v>432</v>
      </c>
      <c r="E90" s="3"/>
      <c r="F90" s="3" t="s">
        <v>432</v>
      </c>
      <c r="G90" s="3" t="s">
        <v>433</v>
      </c>
    </row>
    <row r="91" spans="1:7" x14ac:dyDescent="0.4">
      <c r="A91" s="3">
        <f t="shared" si="1"/>
        <v>87</v>
      </c>
      <c r="B91" s="3" t="s">
        <v>511</v>
      </c>
      <c r="C91" s="3" t="s">
        <v>2247</v>
      </c>
      <c r="D91" s="3" t="s">
        <v>2148</v>
      </c>
      <c r="E91" s="3"/>
      <c r="F91" s="3" t="s">
        <v>2148</v>
      </c>
      <c r="G91" s="3" t="s">
        <v>433</v>
      </c>
    </row>
    <row r="92" spans="1:7" x14ac:dyDescent="0.4">
      <c r="A92" s="3">
        <f t="shared" si="1"/>
        <v>88</v>
      </c>
      <c r="B92" s="3" t="s">
        <v>512</v>
      </c>
      <c r="C92" s="3" t="s">
        <v>2248</v>
      </c>
      <c r="D92" s="3" t="s">
        <v>432</v>
      </c>
      <c r="E92" s="3"/>
      <c r="F92" s="3" t="s">
        <v>432</v>
      </c>
      <c r="G92" s="3" t="s">
        <v>433</v>
      </c>
    </row>
    <row r="93" spans="1:7" x14ac:dyDescent="0.4">
      <c r="A93" s="3">
        <f t="shared" si="1"/>
        <v>89</v>
      </c>
      <c r="B93" s="3" t="s">
        <v>513</v>
      </c>
      <c r="C93" s="3" t="s">
        <v>2249</v>
      </c>
      <c r="D93" s="3" t="s">
        <v>2148</v>
      </c>
      <c r="E93" s="3"/>
      <c r="F93" s="3" t="s">
        <v>2148</v>
      </c>
      <c r="G93" s="3" t="s">
        <v>433</v>
      </c>
    </row>
    <row r="94" spans="1:7" x14ac:dyDescent="0.4">
      <c r="A94" s="3">
        <f t="shared" si="1"/>
        <v>90</v>
      </c>
      <c r="B94" s="3" t="s">
        <v>514</v>
      </c>
      <c r="C94" s="3" t="s">
        <v>2250</v>
      </c>
      <c r="D94" s="3" t="s">
        <v>432</v>
      </c>
      <c r="E94" s="3"/>
      <c r="F94" s="3" t="s">
        <v>432</v>
      </c>
      <c r="G94" s="3" t="s">
        <v>435</v>
      </c>
    </row>
    <row r="95" spans="1:7" x14ac:dyDescent="0.4">
      <c r="A95" s="3">
        <f t="shared" si="1"/>
        <v>91</v>
      </c>
      <c r="B95" s="3" t="s">
        <v>515</v>
      </c>
      <c r="C95" s="3" t="s">
        <v>2251</v>
      </c>
      <c r="D95" s="3" t="s">
        <v>444</v>
      </c>
      <c r="E95" s="3"/>
      <c r="F95" s="3" t="s">
        <v>444</v>
      </c>
      <c r="G95" s="3" t="s">
        <v>458</v>
      </c>
    </row>
    <row r="96" spans="1:7" x14ac:dyDescent="0.4">
      <c r="A96" s="3">
        <f t="shared" si="1"/>
        <v>92</v>
      </c>
      <c r="B96" s="3" t="s">
        <v>516</v>
      </c>
      <c r="C96" s="3" t="s">
        <v>2252</v>
      </c>
      <c r="D96" s="3" t="s">
        <v>2148</v>
      </c>
      <c r="E96" s="3"/>
      <c r="F96" s="3" t="s">
        <v>2148</v>
      </c>
      <c r="G96" s="3" t="s">
        <v>433</v>
      </c>
    </row>
    <row r="97" spans="1:7" x14ac:dyDescent="0.4">
      <c r="A97" s="3">
        <f t="shared" si="1"/>
        <v>93</v>
      </c>
      <c r="B97" s="3" t="s">
        <v>517</v>
      </c>
      <c r="C97" s="3" t="s">
        <v>2253</v>
      </c>
      <c r="D97" s="3" t="s">
        <v>444</v>
      </c>
      <c r="E97" s="3"/>
      <c r="F97" s="3" t="s">
        <v>444</v>
      </c>
      <c r="G97" s="3" t="s">
        <v>435</v>
      </c>
    </row>
    <row r="98" spans="1:7" x14ac:dyDescent="0.4">
      <c r="A98" s="3">
        <f t="shared" si="1"/>
        <v>94</v>
      </c>
      <c r="B98" s="3" t="s">
        <v>518</v>
      </c>
      <c r="C98" s="3" t="s">
        <v>2254</v>
      </c>
      <c r="D98" s="3" t="s">
        <v>182</v>
      </c>
      <c r="E98" s="3"/>
      <c r="F98" s="3" t="s">
        <v>182</v>
      </c>
      <c r="G98" s="3" t="s">
        <v>433</v>
      </c>
    </row>
    <row r="99" spans="1:7" x14ac:dyDescent="0.4">
      <c r="A99" s="3">
        <f t="shared" si="1"/>
        <v>95</v>
      </c>
      <c r="B99" s="3" t="s">
        <v>519</v>
      </c>
      <c r="C99" s="3" t="s">
        <v>520</v>
      </c>
      <c r="D99" s="3" t="s">
        <v>182</v>
      </c>
      <c r="E99" s="3"/>
      <c r="F99" s="3" t="s">
        <v>182</v>
      </c>
      <c r="G99" s="3" t="s">
        <v>433</v>
      </c>
    </row>
    <row r="100" spans="1:7" x14ac:dyDescent="0.4">
      <c r="A100" s="3">
        <f t="shared" si="1"/>
        <v>96</v>
      </c>
      <c r="B100" s="3" t="s">
        <v>521</v>
      </c>
      <c r="C100" s="3" t="s">
        <v>2255</v>
      </c>
      <c r="D100" s="3" t="s">
        <v>432</v>
      </c>
      <c r="E100" s="3"/>
      <c r="F100" s="3" t="s">
        <v>432</v>
      </c>
      <c r="G100" s="3" t="s">
        <v>433</v>
      </c>
    </row>
    <row r="101" spans="1:7" x14ac:dyDescent="0.4">
      <c r="A101" s="3">
        <f t="shared" si="1"/>
        <v>97</v>
      </c>
      <c r="B101" s="3" t="s">
        <v>2256</v>
      </c>
      <c r="C101" s="3" t="s">
        <v>2257</v>
      </c>
      <c r="D101" s="3" t="s">
        <v>470</v>
      </c>
      <c r="E101" s="3"/>
      <c r="F101" s="3" t="s">
        <v>470</v>
      </c>
      <c r="G101" s="3" t="s">
        <v>433</v>
      </c>
    </row>
    <row r="102" spans="1:7" x14ac:dyDescent="0.4">
      <c r="A102" s="3">
        <f t="shared" si="1"/>
        <v>98</v>
      </c>
      <c r="B102" s="3" t="s">
        <v>522</v>
      </c>
      <c r="C102" s="3" t="s">
        <v>2258</v>
      </c>
      <c r="D102" s="3" t="s">
        <v>432</v>
      </c>
      <c r="E102" s="3"/>
      <c r="F102" s="3" t="s">
        <v>432</v>
      </c>
      <c r="G102" s="3" t="s">
        <v>435</v>
      </c>
    </row>
    <row r="103" spans="1:7" x14ac:dyDescent="0.4">
      <c r="A103" s="3">
        <f t="shared" si="1"/>
        <v>99</v>
      </c>
      <c r="B103" s="3" t="s">
        <v>523</v>
      </c>
      <c r="C103" s="3" t="s">
        <v>2259</v>
      </c>
      <c r="D103" s="3" t="s">
        <v>432</v>
      </c>
      <c r="E103" s="3"/>
      <c r="F103" s="3" t="s">
        <v>432</v>
      </c>
      <c r="G103" s="3" t="s">
        <v>435</v>
      </c>
    </row>
    <row r="104" spans="1:7" x14ac:dyDescent="0.4">
      <c r="A104" s="3">
        <f t="shared" si="1"/>
        <v>100</v>
      </c>
      <c r="B104" s="3" t="s">
        <v>524</v>
      </c>
      <c r="C104" s="3" t="s">
        <v>2183</v>
      </c>
      <c r="D104" s="3" t="s">
        <v>432</v>
      </c>
      <c r="E104" s="3"/>
      <c r="F104" s="3" t="s">
        <v>432</v>
      </c>
      <c r="G104" s="3" t="s">
        <v>433</v>
      </c>
    </row>
    <row r="105" spans="1:7" x14ac:dyDescent="0.4">
      <c r="A105" s="3">
        <f t="shared" si="1"/>
        <v>101</v>
      </c>
      <c r="B105" s="3" t="s">
        <v>525</v>
      </c>
      <c r="C105" s="3" t="s">
        <v>2260</v>
      </c>
      <c r="D105" s="3" t="s">
        <v>2148</v>
      </c>
      <c r="E105" s="3"/>
      <c r="F105" s="3" t="s">
        <v>2148</v>
      </c>
      <c r="G105" s="3" t="s">
        <v>433</v>
      </c>
    </row>
    <row r="106" spans="1:7" x14ac:dyDescent="0.4">
      <c r="A106" s="3">
        <f t="shared" si="1"/>
        <v>102</v>
      </c>
      <c r="B106" s="3" t="s">
        <v>526</v>
      </c>
      <c r="C106" s="3" t="s">
        <v>2261</v>
      </c>
      <c r="D106" s="3" t="s">
        <v>444</v>
      </c>
      <c r="E106" s="3"/>
      <c r="F106" s="3" t="s">
        <v>444</v>
      </c>
      <c r="G106" s="3" t="s">
        <v>433</v>
      </c>
    </row>
    <row r="107" spans="1:7" x14ac:dyDescent="0.4">
      <c r="A107" s="3">
        <f t="shared" si="1"/>
        <v>103</v>
      </c>
      <c r="B107" s="3" t="s">
        <v>527</v>
      </c>
      <c r="C107" s="3" t="s">
        <v>2262</v>
      </c>
      <c r="D107" s="3" t="s">
        <v>444</v>
      </c>
      <c r="E107" s="3"/>
      <c r="F107" s="3" t="s">
        <v>444</v>
      </c>
      <c r="G107" s="3" t="s">
        <v>433</v>
      </c>
    </row>
    <row r="108" spans="1:7" x14ac:dyDescent="0.4">
      <c r="A108" s="3">
        <f t="shared" si="1"/>
        <v>104</v>
      </c>
      <c r="B108" s="3" t="s">
        <v>528</v>
      </c>
      <c r="C108" s="3" t="s">
        <v>2263</v>
      </c>
      <c r="D108" s="3" t="s">
        <v>432</v>
      </c>
      <c r="E108" s="3"/>
      <c r="F108" s="3" t="s">
        <v>432</v>
      </c>
      <c r="G108" s="3" t="s">
        <v>433</v>
      </c>
    </row>
    <row r="109" spans="1:7" x14ac:dyDescent="0.4">
      <c r="A109" s="3">
        <f t="shared" si="1"/>
        <v>105</v>
      </c>
      <c r="B109" s="3" t="s">
        <v>2264</v>
      </c>
      <c r="C109" s="3" t="s">
        <v>2265</v>
      </c>
      <c r="D109" s="3" t="s">
        <v>2148</v>
      </c>
      <c r="E109" s="3"/>
      <c r="F109" s="3" t="s">
        <v>2148</v>
      </c>
      <c r="G109" s="3" t="s">
        <v>433</v>
      </c>
    </row>
    <row r="110" spans="1:7" x14ac:dyDescent="0.4">
      <c r="A110" s="3">
        <f t="shared" si="1"/>
        <v>106</v>
      </c>
      <c r="B110" s="3" t="s">
        <v>2266</v>
      </c>
      <c r="C110" s="3" t="s">
        <v>2267</v>
      </c>
      <c r="D110" s="3" t="s">
        <v>432</v>
      </c>
      <c r="E110" s="3"/>
      <c r="F110" s="3" t="s">
        <v>432</v>
      </c>
      <c r="G110" s="3" t="s">
        <v>433</v>
      </c>
    </row>
    <row r="111" spans="1:7" x14ac:dyDescent="0.4">
      <c r="A111" s="3">
        <f t="shared" si="1"/>
        <v>107</v>
      </c>
      <c r="B111" s="3" t="s">
        <v>529</v>
      </c>
      <c r="C111" s="3" t="s">
        <v>2268</v>
      </c>
      <c r="D111" s="3" t="s">
        <v>2168</v>
      </c>
      <c r="E111" s="3"/>
      <c r="F111" s="3" t="s">
        <v>2168</v>
      </c>
      <c r="G111" s="3" t="s">
        <v>433</v>
      </c>
    </row>
    <row r="112" spans="1:7" x14ac:dyDescent="0.4">
      <c r="A112" s="3">
        <f t="shared" si="1"/>
        <v>108</v>
      </c>
      <c r="B112" s="3" t="s">
        <v>530</v>
      </c>
      <c r="C112" s="3" t="s">
        <v>2269</v>
      </c>
      <c r="D112" s="3" t="s">
        <v>432</v>
      </c>
      <c r="E112" s="3"/>
      <c r="F112" s="3" t="s">
        <v>432</v>
      </c>
      <c r="G112" s="3" t="s">
        <v>435</v>
      </c>
    </row>
    <row r="113" spans="1:7" x14ac:dyDescent="0.4">
      <c r="A113" s="3">
        <f t="shared" si="1"/>
        <v>109</v>
      </c>
      <c r="B113" s="3" t="s">
        <v>531</v>
      </c>
      <c r="C113" s="3" t="s">
        <v>2270</v>
      </c>
      <c r="D113" s="3" t="s">
        <v>432</v>
      </c>
      <c r="E113" s="3"/>
      <c r="F113" s="3" t="s">
        <v>432</v>
      </c>
      <c r="G113" s="3" t="s">
        <v>433</v>
      </c>
    </row>
    <row r="114" spans="1:7" x14ac:dyDescent="0.4">
      <c r="A114" s="3">
        <f t="shared" si="1"/>
        <v>110</v>
      </c>
      <c r="B114" s="3" t="s">
        <v>532</v>
      </c>
      <c r="C114" s="3" t="s">
        <v>2271</v>
      </c>
      <c r="D114" s="3" t="s">
        <v>444</v>
      </c>
      <c r="E114" s="3"/>
      <c r="F114" s="3" t="s">
        <v>444</v>
      </c>
      <c r="G114" s="3" t="s">
        <v>433</v>
      </c>
    </row>
    <row r="115" spans="1:7" x14ac:dyDescent="0.4">
      <c r="A115" s="3">
        <f t="shared" si="1"/>
        <v>111</v>
      </c>
      <c r="B115" s="3" t="s">
        <v>533</v>
      </c>
      <c r="C115" s="3" t="s">
        <v>2272</v>
      </c>
      <c r="D115" s="3" t="s">
        <v>432</v>
      </c>
      <c r="E115" s="3"/>
      <c r="F115" s="3" t="s">
        <v>432</v>
      </c>
      <c r="G115" s="3" t="s">
        <v>433</v>
      </c>
    </row>
    <row r="116" spans="1:7" x14ac:dyDescent="0.4">
      <c r="A116" s="3">
        <f t="shared" si="1"/>
        <v>112</v>
      </c>
      <c r="B116" s="3" t="s">
        <v>534</v>
      </c>
      <c r="C116" s="3" t="s">
        <v>2273</v>
      </c>
      <c r="D116" s="3" t="s">
        <v>432</v>
      </c>
      <c r="E116" s="3"/>
      <c r="F116" s="3" t="s">
        <v>432</v>
      </c>
      <c r="G116" s="3" t="s">
        <v>458</v>
      </c>
    </row>
    <row r="117" spans="1:7" x14ac:dyDescent="0.4">
      <c r="A117" s="3">
        <f t="shared" si="1"/>
        <v>113</v>
      </c>
      <c r="B117" s="3" t="s">
        <v>535</v>
      </c>
      <c r="C117" s="3" t="s">
        <v>2274</v>
      </c>
      <c r="D117" s="3" t="s">
        <v>432</v>
      </c>
      <c r="E117" s="3"/>
      <c r="F117" s="3" t="s">
        <v>432</v>
      </c>
      <c r="G117" s="3" t="s">
        <v>433</v>
      </c>
    </row>
    <row r="118" spans="1:7" x14ac:dyDescent="0.4">
      <c r="A118" s="3">
        <f t="shared" si="1"/>
        <v>114</v>
      </c>
      <c r="B118" s="3" t="s">
        <v>536</v>
      </c>
      <c r="C118" s="3" t="s">
        <v>2275</v>
      </c>
      <c r="D118" s="3" t="s">
        <v>444</v>
      </c>
      <c r="E118" s="3"/>
      <c r="F118" s="3" t="s">
        <v>444</v>
      </c>
      <c r="G118" s="3" t="s">
        <v>458</v>
      </c>
    </row>
    <row r="119" spans="1:7" x14ac:dyDescent="0.4">
      <c r="A119" s="3">
        <f t="shared" si="1"/>
        <v>115</v>
      </c>
      <c r="B119" s="3" t="s">
        <v>537</v>
      </c>
      <c r="C119" s="3" t="s">
        <v>2276</v>
      </c>
      <c r="D119" s="3" t="s">
        <v>432</v>
      </c>
      <c r="E119" s="3"/>
      <c r="F119" s="3" t="s">
        <v>432</v>
      </c>
      <c r="G119" s="3" t="s">
        <v>458</v>
      </c>
    </row>
    <row r="120" spans="1:7" x14ac:dyDescent="0.4">
      <c r="A120" s="3">
        <f t="shared" si="1"/>
        <v>116</v>
      </c>
      <c r="B120" s="3" t="s">
        <v>538</v>
      </c>
      <c r="C120" s="3" t="s">
        <v>2277</v>
      </c>
      <c r="D120" s="3" t="s">
        <v>2196</v>
      </c>
      <c r="E120" s="3"/>
      <c r="F120" s="3" t="s">
        <v>2196</v>
      </c>
      <c r="G120" s="3" t="s">
        <v>435</v>
      </c>
    </row>
    <row r="121" spans="1:7" x14ac:dyDescent="0.4">
      <c r="A121" s="3">
        <f t="shared" si="1"/>
        <v>117</v>
      </c>
      <c r="B121" s="3" t="s">
        <v>539</v>
      </c>
      <c r="C121" s="3" t="s">
        <v>2278</v>
      </c>
      <c r="D121" s="3" t="s">
        <v>432</v>
      </c>
      <c r="E121" s="3"/>
      <c r="F121" s="3" t="s">
        <v>432</v>
      </c>
      <c r="G121" s="3" t="s">
        <v>433</v>
      </c>
    </row>
    <row r="122" spans="1:7" x14ac:dyDescent="0.4">
      <c r="A122" s="3">
        <f t="shared" si="1"/>
        <v>118</v>
      </c>
      <c r="B122" s="3" t="s">
        <v>540</v>
      </c>
      <c r="C122" s="3" t="s">
        <v>2279</v>
      </c>
      <c r="D122" s="3" t="s">
        <v>182</v>
      </c>
      <c r="E122" s="3"/>
      <c r="F122" s="3" t="s">
        <v>182</v>
      </c>
      <c r="G122" s="3" t="s">
        <v>433</v>
      </c>
    </row>
    <row r="123" spans="1:7" x14ac:dyDescent="0.4">
      <c r="A123" s="3">
        <f t="shared" si="1"/>
        <v>119</v>
      </c>
      <c r="B123" s="3" t="s">
        <v>541</v>
      </c>
      <c r="C123" s="3" t="s">
        <v>2280</v>
      </c>
      <c r="D123" s="3" t="s">
        <v>444</v>
      </c>
      <c r="E123" s="3"/>
      <c r="F123" s="3" t="s">
        <v>444</v>
      </c>
      <c r="G123" s="3" t="s">
        <v>458</v>
      </c>
    </row>
    <row r="124" spans="1:7" x14ac:dyDescent="0.4">
      <c r="A124" s="3">
        <f t="shared" si="1"/>
        <v>120</v>
      </c>
      <c r="B124" s="3" t="s">
        <v>542</v>
      </c>
      <c r="C124" s="3" t="s">
        <v>2281</v>
      </c>
      <c r="D124" s="3" t="s">
        <v>432</v>
      </c>
      <c r="E124" s="3"/>
      <c r="F124" s="3" t="s">
        <v>432</v>
      </c>
      <c r="G124" s="3" t="s">
        <v>433</v>
      </c>
    </row>
    <row r="125" spans="1:7" x14ac:dyDescent="0.4">
      <c r="A125" s="3">
        <f t="shared" si="1"/>
        <v>121</v>
      </c>
      <c r="B125" s="3" t="s">
        <v>543</v>
      </c>
      <c r="C125" s="3" t="s">
        <v>2282</v>
      </c>
      <c r="D125" s="3" t="s">
        <v>432</v>
      </c>
      <c r="E125" s="3"/>
      <c r="F125" s="3" t="s">
        <v>432</v>
      </c>
      <c r="G125" s="3" t="s">
        <v>435</v>
      </c>
    </row>
    <row r="126" spans="1:7" x14ac:dyDescent="0.4">
      <c r="A126" s="3">
        <f t="shared" si="1"/>
        <v>122</v>
      </c>
      <c r="B126" s="3" t="s">
        <v>544</v>
      </c>
      <c r="C126" s="3" t="s">
        <v>2283</v>
      </c>
      <c r="D126" s="3" t="s">
        <v>444</v>
      </c>
      <c r="E126" s="3"/>
      <c r="F126" s="3" t="s">
        <v>444</v>
      </c>
      <c r="G126" s="3" t="s">
        <v>433</v>
      </c>
    </row>
    <row r="127" spans="1:7" x14ac:dyDescent="0.4">
      <c r="A127" s="3">
        <f t="shared" si="1"/>
        <v>123</v>
      </c>
      <c r="B127" s="3" t="s">
        <v>545</v>
      </c>
      <c r="C127" s="3" t="s">
        <v>2284</v>
      </c>
      <c r="D127" s="3" t="s">
        <v>182</v>
      </c>
      <c r="E127" s="3"/>
      <c r="F127" s="3" t="s">
        <v>182</v>
      </c>
      <c r="G127" s="3" t="s">
        <v>433</v>
      </c>
    </row>
    <row r="128" spans="1:7" x14ac:dyDescent="0.4">
      <c r="A128" s="3">
        <f t="shared" si="1"/>
        <v>124</v>
      </c>
      <c r="B128" s="3" t="s">
        <v>546</v>
      </c>
      <c r="C128" s="3" t="s">
        <v>2285</v>
      </c>
      <c r="D128" s="3" t="s">
        <v>2148</v>
      </c>
      <c r="E128" s="3"/>
      <c r="F128" s="3" t="s">
        <v>2148</v>
      </c>
      <c r="G128" s="3" t="s">
        <v>435</v>
      </c>
    </row>
    <row r="129" spans="1:7" x14ac:dyDescent="0.4">
      <c r="A129" s="3">
        <f t="shared" si="1"/>
        <v>125</v>
      </c>
      <c r="B129" s="3" t="s">
        <v>547</v>
      </c>
      <c r="C129" s="3" t="s">
        <v>2286</v>
      </c>
      <c r="D129" s="3" t="s">
        <v>2148</v>
      </c>
      <c r="E129" s="3"/>
      <c r="F129" s="3" t="s">
        <v>2148</v>
      </c>
      <c r="G129" s="3" t="s">
        <v>433</v>
      </c>
    </row>
    <row r="130" spans="1:7" x14ac:dyDescent="0.4">
      <c r="A130" s="3">
        <f t="shared" si="1"/>
        <v>126</v>
      </c>
      <c r="B130" s="3" t="s">
        <v>548</v>
      </c>
      <c r="C130" s="3" t="s">
        <v>2287</v>
      </c>
      <c r="D130" s="3" t="s">
        <v>2196</v>
      </c>
      <c r="E130" s="3"/>
      <c r="F130" s="3" t="s">
        <v>2196</v>
      </c>
      <c r="G130" s="3" t="s">
        <v>433</v>
      </c>
    </row>
    <row r="131" spans="1:7" x14ac:dyDescent="0.4">
      <c r="A131" s="3">
        <f t="shared" si="1"/>
        <v>127</v>
      </c>
      <c r="B131" s="3" t="s">
        <v>549</v>
      </c>
      <c r="C131" s="3" t="s">
        <v>550</v>
      </c>
      <c r="D131" s="3" t="s">
        <v>182</v>
      </c>
      <c r="E131" s="3"/>
      <c r="F131" s="3" t="s">
        <v>182</v>
      </c>
      <c r="G131" s="3" t="s">
        <v>433</v>
      </c>
    </row>
    <row r="132" spans="1:7" x14ac:dyDescent="0.4">
      <c r="A132" s="3">
        <f t="shared" si="1"/>
        <v>128</v>
      </c>
      <c r="B132" s="3" t="s">
        <v>551</v>
      </c>
      <c r="C132" s="3" t="s">
        <v>2288</v>
      </c>
      <c r="D132" s="3" t="s">
        <v>444</v>
      </c>
      <c r="E132" s="3"/>
      <c r="F132" s="3" t="s">
        <v>444</v>
      </c>
      <c r="G132" s="3" t="s">
        <v>433</v>
      </c>
    </row>
    <row r="133" spans="1:7" x14ac:dyDescent="0.4">
      <c r="A133" s="3">
        <f t="shared" si="1"/>
        <v>129</v>
      </c>
      <c r="B133" s="3" t="s">
        <v>552</v>
      </c>
      <c r="C133" s="3" t="s">
        <v>2289</v>
      </c>
      <c r="D133" s="3" t="s">
        <v>2148</v>
      </c>
      <c r="E133" s="3"/>
      <c r="F133" s="3" t="s">
        <v>2148</v>
      </c>
      <c r="G133" s="3" t="s">
        <v>435</v>
      </c>
    </row>
    <row r="134" spans="1:7" x14ac:dyDescent="0.4">
      <c r="A134" s="3">
        <f t="shared" ref="A134:A197" si="2">A133+1</f>
        <v>130</v>
      </c>
      <c r="B134" s="3" t="s">
        <v>553</v>
      </c>
      <c r="C134" s="3" t="s">
        <v>2290</v>
      </c>
      <c r="D134" s="3" t="s">
        <v>182</v>
      </c>
      <c r="E134" s="3"/>
      <c r="F134" s="3" t="s">
        <v>182</v>
      </c>
      <c r="G134" s="3" t="s">
        <v>433</v>
      </c>
    </row>
    <row r="135" spans="1:7" x14ac:dyDescent="0.4">
      <c r="A135" s="3">
        <f t="shared" si="2"/>
        <v>131</v>
      </c>
      <c r="B135" s="3" t="s">
        <v>554</v>
      </c>
      <c r="C135" s="3" t="s">
        <v>2291</v>
      </c>
      <c r="D135" s="3" t="s">
        <v>432</v>
      </c>
      <c r="E135" s="3"/>
      <c r="F135" s="3" t="s">
        <v>432</v>
      </c>
      <c r="G135" s="3" t="s">
        <v>433</v>
      </c>
    </row>
    <row r="136" spans="1:7" x14ac:dyDescent="0.4">
      <c r="A136" s="3">
        <f t="shared" si="2"/>
        <v>132</v>
      </c>
      <c r="B136" s="3" t="s">
        <v>555</v>
      </c>
      <c r="C136" s="3" t="s">
        <v>2292</v>
      </c>
      <c r="D136" s="3" t="s">
        <v>432</v>
      </c>
      <c r="E136" s="3"/>
      <c r="F136" s="3" t="s">
        <v>432</v>
      </c>
      <c r="G136" s="3" t="s">
        <v>435</v>
      </c>
    </row>
    <row r="137" spans="1:7" x14ac:dyDescent="0.4">
      <c r="A137" s="3">
        <f t="shared" si="2"/>
        <v>133</v>
      </c>
      <c r="B137" s="3" t="s">
        <v>556</v>
      </c>
      <c r="C137" s="3" t="s">
        <v>2293</v>
      </c>
      <c r="D137" s="3" t="s">
        <v>2168</v>
      </c>
      <c r="E137" s="3"/>
      <c r="F137" s="3" t="s">
        <v>2168</v>
      </c>
      <c r="G137" s="3" t="s">
        <v>458</v>
      </c>
    </row>
    <row r="138" spans="1:7" x14ac:dyDescent="0.4">
      <c r="A138" s="3">
        <f t="shared" si="2"/>
        <v>134</v>
      </c>
      <c r="B138" s="3" t="s">
        <v>557</v>
      </c>
      <c r="C138" s="3" t="s">
        <v>2294</v>
      </c>
      <c r="D138" s="3" t="s">
        <v>432</v>
      </c>
      <c r="E138" s="3"/>
      <c r="F138" s="3" t="s">
        <v>432</v>
      </c>
      <c r="G138" s="3" t="s">
        <v>433</v>
      </c>
    </row>
    <row r="139" spans="1:7" x14ac:dyDescent="0.4">
      <c r="A139" s="3">
        <f t="shared" si="2"/>
        <v>135</v>
      </c>
      <c r="B139" s="3" t="s">
        <v>558</v>
      </c>
      <c r="C139" s="3" t="s">
        <v>559</v>
      </c>
      <c r="D139" s="3" t="s">
        <v>2148</v>
      </c>
      <c r="E139" s="3"/>
      <c r="F139" s="3" t="s">
        <v>2148</v>
      </c>
      <c r="G139" s="3" t="s">
        <v>433</v>
      </c>
    </row>
    <row r="140" spans="1:7" x14ac:dyDescent="0.4">
      <c r="A140" s="3">
        <f t="shared" si="2"/>
        <v>136</v>
      </c>
      <c r="B140" s="3" t="s">
        <v>560</v>
      </c>
      <c r="C140" s="3" t="s">
        <v>2295</v>
      </c>
      <c r="D140" s="3" t="s">
        <v>182</v>
      </c>
      <c r="E140" s="3"/>
      <c r="F140" s="3" t="s">
        <v>182</v>
      </c>
      <c r="G140" s="3" t="s">
        <v>435</v>
      </c>
    </row>
    <row r="141" spans="1:7" x14ac:dyDescent="0.4">
      <c r="A141" s="3">
        <f t="shared" si="2"/>
        <v>137</v>
      </c>
      <c r="B141" s="3" t="s">
        <v>561</v>
      </c>
      <c r="C141" s="3" t="s">
        <v>2296</v>
      </c>
      <c r="D141" s="3" t="s">
        <v>444</v>
      </c>
      <c r="E141" s="3"/>
      <c r="F141" s="3" t="s">
        <v>444</v>
      </c>
      <c r="G141" s="3" t="s">
        <v>433</v>
      </c>
    </row>
    <row r="142" spans="1:7" x14ac:dyDescent="0.4">
      <c r="A142" s="3">
        <f t="shared" si="2"/>
        <v>138</v>
      </c>
      <c r="B142" s="3" t="s">
        <v>562</v>
      </c>
      <c r="C142" s="3" t="s">
        <v>2297</v>
      </c>
      <c r="D142" s="3" t="s">
        <v>432</v>
      </c>
      <c r="E142" s="3"/>
      <c r="F142" s="3" t="s">
        <v>432</v>
      </c>
      <c r="G142" s="3" t="s">
        <v>433</v>
      </c>
    </row>
    <row r="143" spans="1:7" x14ac:dyDescent="0.4">
      <c r="A143" s="3">
        <f t="shared" si="2"/>
        <v>139</v>
      </c>
      <c r="B143" s="3" t="s">
        <v>563</v>
      </c>
      <c r="C143" s="3" t="s">
        <v>2298</v>
      </c>
      <c r="D143" s="3" t="s">
        <v>2168</v>
      </c>
      <c r="E143" s="3"/>
      <c r="F143" s="3" t="s">
        <v>2168</v>
      </c>
      <c r="G143" s="3" t="s">
        <v>433</v>
      </c>
    </row>
    <row r="144" spans="1:7" x14ac:dyDescent="0.4">
      <c r="A144" s="3">
        <f t="shared" si="2"/>
        <v>140</v>
      </c>
      <c r="B144" s="3" t="s">
        <v>564</v>
      </c>
      <c r="C144" s="3" t="s">
        <v>2299</v>
      </c>
      <c r="D144" s="3" t="s">
        <v>432</v>
      </c>
      <c r="E144" s="3"/>
      <c r="F144" s="3" t="s">
        <v>432</v>
      </c>
      <c r="G144" s="3" t="s">
        <v>433</v>
      </c>
    </row>
    <row r="145" spans="1:7" x14ac:dyDescent="0.4">
      <c r="A145" s="3">
        <f t="shared" si="2"/>
        <v>141</v>
      </c>
      <c r="B145" s="3" t="s">
        <v>565</v>
      </c>
      <c r="C145" s="3" t="s">
        <v>2300</v>
      </c>
      <c r="D145" s="3" t="s">
        <v>444</v>
      </c>
      <c r="E145" s="3"/>
      <c r="F145" s="3" t="s">
        <v>444</v>
      </c>
      <c r="G145" s="3" t="s">
        <v>433</v>
      </c>
    </row>
    <row r="146" spans="1:7" x14ac:dyDescent="0.4">
      <c r="A146" s="3">
        <f t="shared" si="2"/>
        <v>142</v>
      </c>
      <c r="B146" s="3" t="s">
        <v>566</v>
      </c>
      <c r="C146" s="3" t="s">
        <v>2301</v>
      </c>
      <c r="D146" s="3" t="s">
        <v>444</v>
      </c>
      <c r="E146" s="3"/>
      <c r="F146" s="3" t="s">
        <v>444</v>
      </c>
      <c r="G146" s="3" t="s">
        <v>433</v>
      </c>
    </row>
    <row r="147" spans="1:7" x14ac:dyDescent="0.4">
      <c r="A147" s="3">
        <f t="shared" si="2"/>
        <v>143</v>
      </c>
      <c r="B147" s="3" t="s">
        <v>567</v>
      </c>
      <c r="C147" s="3" t="s">
        <v>2302</v>
      </c>
      <c r="D147" s="3" t="s">
        <v>2196</v>
      </c>
      <c r="E147" s="3"/>
      <c r="F147" s="3" t="s">
        <v>2196</v>
      </c>
      <c r="G147" s="3" t="s">
        <v>433</v>
      </c>
    </row>
    <row r="148" spans="1:7" x14ac:dyDescent="0.4">
      <c r="A148" s="3">
        <f t="shared" si="2"/>
        <v>144</v>
      </c>
      <c r="B148" s="3" t="s">
        <v>2303</v>
      </c>
      <c r="C148" s="3" t="s">
        <v>2304</v>
      </c>
      <c r="D148" s="3" t="s">
        <v>2148</v>
      </c>
      <c r="E148" s="3"/>
      <c r="F148" s="3" t="s">
        <v>2148</v>
      </c>
      <c r="G148" s="3" t="s">
        <v>433</v>
      </c>
    </row>
    <row r="149" spans="1:7" x14ac:dyDescent="0.4">
      <c r="A149" s="3">
        <f t="shared" si="2"/>
        <v>145</v>
      </c>
      <c r="B149" s="3" t="s">
        <v>568</v>
      </c>
      <c r="C149" s="3" t="s">
        <v>2305</v>
      </c>
      <c r="D149" s="3" t="s">
        <v>444</v>
      </c>
      <c r="E149" s="3"/>
      <c r="F149" s="3" t="s">
        <v>444</v>
      </c>
      <c r="G149" s="3" t="s">
        <v>433</v>
      </c>
    </row>
    <row r="150" spans="1:7" x14ac:dyDescent="0.4">
      <c r="A150" s="3">
        <f t="shared" si="2"/>
        <v>146</v>
      </c>
      <c r="B150" s="3" t="s">
        <v>569</v>
      </c>
      <c r="C150" s="3" t="s">
        <v>2306</v>
      </c>
      <c r="D150" s="3" t="s">
        <v>2148</v>
      </c>
      <c r="E150" s="3"/>
      <c r="F150" s="3" t="s">
        <v>2148</v>
      </c>
      <c r="G150" s="3" t="s">
        <v>435</v>
      </c>
    </row>
    <row r="151" spans="1:7" x14ac:dyDescent="0.4">
      <c r="A151" s="3">
        <f t="shared" si="2"/>
        <v>147</v>
      </c>
      <c r="B151" s="3" t="s">
        <v>570</v>
      </c>
      <c r="C151" s="3" t="s">
        <v>2307</v>
      </c>
      <c r="D151" s="3" t="s">
        <v>432</v>
      </c>
      <c r="E151" s="3"/>
      <c r="F151" s="3" t="s">
        <v>432</v>
      </c>
      <c r="G151" s="3" t="s">
        <v>458</v>
      </c>
    </row>
    <row r="152" spans="1:7" x14ac:dyDescent="0.4">
      <c r="A152" s="3">
        <f t="shared" si="2"/>
        <v>148</v>
      </c>
      <c r="B152" s="3" t="s">
        <v>571</v>
      </c>
      <c r="C152" s="3" t="s">
        <v>2308</v>
      </c>
      <c r="D152" s="3" t="s">
        <v>444</v>
      </c>
      <c r="E152" s="3"/>
      <c r="F152" s="3" t="s">
        <v>444</v>
      </c>
      <c r="G152" s="3" t="s">
        <v>433</v>
      </c>
    </row>
    <row r="153" spans="1:7" x14ac:dyDescent="0.4">
      <c r="A153" s="3">
        <f t="shared" si="2"/>
        <v>149</v>
      </c>
      <c r="B153" s="3" t="s">
        <v>572</v>
      </c>
      <c r="C153" s="3" t="s">
        <v>2302</v>
      </c>
      <c r="D153" s="3" t="s">
        <v>2148</v>
      </c>
      <c r="E153" s="3"/>
      <c r="F153" s="3" t="s">
        <v>2148</v>
      </c>
      <c r="G153" s="3" t="s">
        <v>435</v>
      </c>
    </row>
    <row r="154" spans="1:7" x14ac:dyDescent="0.4">
      <c r="A154" s="3">
        <f t="shared" si="2"/>
        <v>150</v>
      </c>
      <c r="B154" s="3" t="s">
        <v>573</v>
      </c>
      <c r="C154" s="3" t="s">
        <v>2309</v>
      </c>
      <c r="D154" s="3" t="s">
        <v>2148</v>
      </c>
      <c r="E154" s="3"/>
      <c r="F154" s="3" t="s">
        <v>2148</v>
      </c>
      <c r="G154" s="3" t="s">
        <v>433</v>
      </c>
    </row>
    <row r="155" spans="1:7" x14ac:dyDescent="0.4">
      <c r="A155" s="3">
        <f t="shared" si="2"/>
        <v>151</v>
      </c>
      <c r="B155" s="3" t="s">
        <v>2310</v>
      </c>
      <c r="C155" s="3" t="s">
        <v>2311</v>
      </c>
      <c r="D155" s="3" t="s">
        <v>432</v>
      </c>
      <c r="E155" s="3"/>
      <c r="F155" s="3" t="s">
        <v>432</v>
      </c>
      <c r="G155" s="3" t="s">
        <v>433</v>
      </c>
    </row>
    <row r="156" spans="1:7" x14ac:dyDescent="0.4">
      <c r="A156" s="3">
        <f t="shared" si="2"/>
        <v>152</v>
      </c>
      <c r="B156" s="3" t="s">
        <v>574</v>
      </c>
      <c r="C156" s="3" t="s">
        <v>2312</v>
      </c>
      <c r="D156" s="3" t="s">
        <v>182</v>
      </c>
      <c r="E156" s="3"/>
      <c r="F156" s="3" t="s">
        <v>182</v>
      </c>
      <c r="G156" s="3" t="s">
        <v>435</v>
      </c>
    </row>
    <row r="157" spans="1:7" x14ac:dyDescent="0.4">
      <c r="A157" s="3">
        <f t="shared" si="2"/>
        <v>153</v>
      </c>
      <c r="B157" s="3" t="s">
        <v>575</v>
      </c>
      <c r="C157" s="3" t="s">
        <v>2313</v>
      </c>
      <c r="D157" s="3" t="s">
        <v>470</v>
      </c>
      <c r="E157" s="3"/>
      <c r="F157" s="3" t="s">
        <v>470</v>
      </c>
      <c r="G157" s="3" t="s">
        <v>433</v>
      </c>
    </row>
    <row r="158" spans="1:7" x14ac:dyDescent="0.4">
      <c r="A158" s="3">
        <f t="shared" si="2"/>
        <v>154</v>
      </c>
      <c r="B158" s="3" t="s">
        <v>2314</v>
      </c>
      <c r="C158" s="3" t="s">
        <v>2315</v>
      </c>
      <c r="D158" s="3" t="s">
        <v>432</v>
      </c>
      <c r="E158" s="3"/>
      <c r="F158" s="3" t="s">
        <v>432</v>
      </c>
      <c r="G158" s="3" t="s">
        <v>433</v>
      </c>
    </row>
    <row r="159" spans="1:7" x14ac:dyDescent="0.4">
      <c r="A159" s="3">
        <f t="shared" si="2"/>
        <v>155</v>
      </c>
      <c r="B159" s="3" t="s">
        <v>2316</v>
      </c>
      <c r="C159" s="3" t="s">
        <v>2317</v>
      </c>
      <c r="D159" s="3" t="s">
        <v>432</v>
      </c>
      <c r="E159" s="3"/>
      <c r="F159" s="3" t="s">
        <v>432</v>
      </c>
      <c r="G159" s="3" t="s">
        <v>433</v>
      </c>
    </row>
    <row r="160" spans="1:7" x14ac:dyDescent="0.4">
      <c r="A160" s="3">
        <f t="shared" si="2"/>
        <v>156</v>
      </c>
      <c r="B160" s="3" t="s">
        <v>576</v>
      </c>
      <c r="C160" s="3" t="s">
        <v>2318</v>
      </c>
      <c r="D160" s="3" t="s">
        <v>2196</v>
      </c>
      <c r="E160" s="3"/>
      <c r="F160" s="3" t="s">
        <v>2196</v>
      </c>
      <c r="G160" s="3" t="s">
        <v>433</v>
      </c>
    </row>
    <row r="161" spans="1:7" x14ac:dyDescent="0.4">
      <c r="A161" s="3">
        <f t="shared" si="2"/>
        <v>157</v>
      </c>
      <c r="B161" s="3" t="s">
        <v>577</v>
      </c>
      <c r="C161" s="3" t="s">
        <v>2319</v>
      </c>
      <c r="D161" s="3" t="s">
        <v>444</v>
      </c>
      <c r="E161" s="3"/>
      <c r="F161" s="3" t="s">
        <v>444</v>
      </c>
      <c r="G161" s="3" t="s">
        <v>433</v>
      </c>
    </row>
    <row r="162" spans="1:7" x14ac:dyDescent="0.4">
      <c r="A162" s="3">
        <f t="shared" si="2"/>
        <v>158</v>
      </c>
      <c r="B162" s="3" t="s">
        <v>578</v>
      </c>
      <c r="C162" s="3" t="s">
        <v>2320</v>
      </c>
      <c r="D162" s="3" t="s">
        <v>432</v>
      </c>
      <c r="E162" s="3"/>
      <c r="F162" s="3" t="s">
        <v>432</v>
      </c>
      <c r="G162" s="3" t="s">
        <v>433</v>
      </c>
    </row>
    <row r="163" spans="1:7" x14ac:dyDescent="0.4">
      <c r="A163" s="3">
        <f t="shared" si="2"/>
        <v>159</v>
      </c>
      <c r="B163" s="3" t="s">
        <v>579</v>
      </c>
      <c r="C163" s="3" t="s">
        <v>580</v>
      </c>
      <c r="D163" s="3" t="s">
        <v>444</v>
      </c>
      <c r="E163" s="3"/>
      <c r="F163" s="3" t="s">
        <v>444</v>
      </c>
      <c r="G163" s="3" t="s">
        <v>433</v>
      </c>
    </row>
    <row r="164" spans="1:7" x14ac:dyDescent="0.4">
      <c r="A164" s="3">
        <f t="shared" si="2"/>
        <v>160</v>
      </c>
      <c r="B164" s="3" t="s">
        <v>581</v>
      </c>
      <c r="C164" s="3" t="s">
        <v>582</v>
      </c>
      <c r="D164" s="3" t="s">
        <v>432</v>
      </c>
      <c r="E164" s="3"/>
      <c r="F164" s="3" t="s">
        <v>432</v>
      </c>
      <c r="G164" s="3" t="s">
        <v>433</v>
      </c>
    </row>
    <row r="165" spans="1:7" x14ac:dyDescent="0.4">
      <c r="A165" s="3">
        <f t="shared" si="2"/>
        <v>161</v>
      </c>
      <c r="B165" s="3" t="s">
        <v>2321</v>
      </c>
      <c r="C165" s="3" t="s">
        <v>2322</v>
      </c>
      <c r="D165" s="3" t="s">
        <v>444</v>
      </c>
      <c r="E165" s="3"/>
      <c r="F165" s="3" t="s">
        <v>444</v>
      </c>
      <c r="G165" s="3" t="s">
        <v>433</v>
      </c>
    </row>
    <row r="166" spans="1:7" x14ac:dyDescent="0.4">
      <c r="A166" s="3">
        <f t="shared" si="2"/>
        <v>162</v>
      </c>
      <c r="B166" s="3" t="s">
        <v>583</v>
      </c>
      <c r="C166" s="3" t="s">
        <v>2323</v>
      </c>
      <c r="D166" s="3" t="s">
        <v>444</v>
      </c>
      <c r="E166" s="3"/>
      <c r="F166" s="3" t="s">
        <v>444</v>
      </c>
      <c r="G166" s="3" t="s">
        <v>433</v>
      </c>
    </row>
    <row r="167" spans="1:7" x14ac:dyDescent="0.4">
      <c r="A167" s="3">
        <f t="shared" si="2"/>
        <v>163</v>
      </c>
      <c r="B167" s="3" t="s">
        <v>584</v>
      </c>
      <c r="C167" s="3" t="s">
        <v>2324</v>
      </c>
      <c r="D167" s="3" t="s">
        <v>432</v>
      </c>
      <c r="E167" s="3"/>
      <c r="F167" s="3" t="s">
        <v>432</v>
      </c>
      <c r="G167" s="3" t="s">
        <v>433</v>
      </c>
    </row>
    <row r="168" spans="1:7" x14ac:dyDescent="0.4">
      <c r="A168" s="3">
        <f t="shared" si="2"/>
        <v>164</v>
      </c>
      <c r="B168" s="3" t="s">
        <v>585</v>
      </c>
      <c r="C168" s="3" t="s">
        <v>586</v>
      </c>
      <c r="D168" s="3" t="s">
        <v>182</v>
      </c>
      <c r="E168" s="3"/>
      <c r="F168" s="3" t="s">
        <v>182</v>
      </c>
      <c r="G168" s="3" t="s">
        <v>433</v>
      </c>
    </row>
    <row r="169" spans="1:7" x14ac:dyDescent="0.4">
      <c r="A169" s="3">
        <f t="shared" si="2"/>
        <v>165</v>
      </c>
      <c r="B169" s="3" t="s">
        <v>2325</v>
      </c>
      <c r="C169" s="3" t="s">
        <v>2326</v>
      </c>
      <c r="D169" s="3" t="s">
        <v>2148</v>
      </c>
      <c r="E169" s="3"/>
      <c r="F169" s="3" t="s">
        <v>2148</v>
      </c>
      <c r="G169" s="3" t="s">
        <v>435</v>
      </c>
    </row>
    <row r="170" spans="1:7" x14ac:dyDescent="0.4">
      <c r="A170" s="3">
        <f t="shared" si="2"/>
        <v>166</v>
      </c>
      <c r="B170" s="3" t="s">
        <v>2327</v>
      </c>
      <c r="C170" s="3" t="s">
        <v>2328</v>
      </c>
      <c r="D170" s="3" t="s">
        <v>432</v>
      </c>
      <c r="E170" s="3"/>
      <c r="F170" s="3" t="s">
        <v>432</v>
      </c>
      <c r="G170" s="3" t="s">
        <v>433</v>
      </c>
    </row>
    <row r="171" spans="1:7" x14ac:dyDescent="0.4">
      <c r="A171" s="3">
        <f t="shared" si="2"/>
        <v>167</v>
      </c>
      <c r="B171" s="3" t="s">
        <v>587</v>
      </c>
      <c r="C171" s="3" t="s">
        <v>2329</v>
      </c>
      <c r="D171" s="3" t="s">
        <v>432</v>
      </c>
      <c r="E171" s="3"/>
      <c r="F171" s="3" t="s">
        <v>432</v>
      </c>
      <c r="G171" s="3" t="s">
        <v>435</v>
      </c>
    </row>
    <row r="172" spans="1:7" x14ac:dyDescent="0.4">
      <c r="A172" s="3">
        <f t="shared" si="2"/>
        <v>168</v>
      </c>
      <c r="B172" s="3" t="s">
        <v>588</v>
      </c>
      <c r="C172" s="3" t="s">
        <v>2330</v>
      </c>
      <c r="D172" s="3" t="s">
        <v>432</v>
      </c>
      <c r="E172" s="3"/>
      <c r="F172" s="3" t="s">
        <v>432</v>
      </c>
      <c r="G172" s="3" t="s">
        <v>433</v>
      </c>
    </row>
    <row r="173" spans="1:7" x14ac:dyDescent="0.4">
      <c r="A173" s="3">
        <f t="shared" si="2"/>
        <v>169</v>
      </c>
      <c r="B173" s="3" t="s">
        <v>589</v>
      </c>
      <c r="C173" s="3" t="s">
        <v>2331</v>
      </c>
      <c r="D173" s="3" t="s">
        <v>2148</v>
      </c>
      <c r="E173" s="3"/>
      <c r="F173" s="3" t="s">
        <v>2148</v>
      </c>
      <c r="G173" s="3" t="s">
        <v>433</v>
      </c>
    </row>
    <row r="174" spans="1:7" x14ac:dyDescent="0.4">
      <c r="A174" s="3">
        <f t="shared" si="2"/>
        <v>170</v>
      </c>
      <c r="B174" s="3" t="s">
        <v>590</v>
      </c>
      <c r="C174" s="3" t="s">
        <v>2332</v>
      </c>
      <c r="D174" s="3" t="s">
        <v>2196</v>
      </c>
      <c r="E174" s="3"/>
      <c r="F174" s="3" t="s">
        <v>2196</v>
      </c>
      <c r="G174" s="3" t="s">
        <v>435</v>
      </c>
    </row>
    <row r="175" spans="1:7" x14ac:dyDescent="0.4">
      <c r="A175" s="3">
        <f t="shared" si="2"/>
        <v>171</v>
      </c>
      <c r="B175" s="3" t="s">
        <v>591</v>
      </c>
      <c r="C175" s="3" t="s">
        <v>2333</v>
      </c>
      <c r="D175" s="3" t="s">
        <v>432</v>
      </c>
      <c r="E175" s="3"/>
      <c r="F175" s="3" t="s">
        <v>432</v>
      </c>
      <c r="G175" s="3" t="s">
        <v>433</v>
      </c>
    </row>
    <row r="176" spans="1:7" x14ac:dyDescent="0.4">
      <c r="A176" s="3">
        <f t="shared" si="2"/>
        <v>172</v>
      </c>
      <c r="B176" s="3" t="s">
        <v>592</v>
      </c>
      <c r="C176" s="3" t="s">
        <v>2334</v>
      </c>
      <c r="D176" s="3" t="s">
        <v>444</v>
      </c>
      <c r="E176" s="3"/>
      <c r="F176" s="3" t="s">
        <v>444</v>
      </c>
      <c r="G176" s="3" t="s">
        <v>435</v>
      </c>
    </row>
    <row r="177" spans="1:7" x14ac:dyDescent="0.4">
      <c r="A177" s="3">
        <f t="shared" si="2"/>
        <v>173</v>
      </c>
      <c r="B177" s="3" t="s">
        <v>593</v>
      </c>
      <c r="C177" s="3" t="s">
        <v>2335</v>
      </c>
      <c r="D177" s="3" t="s">
        <v>2148</v>
      </c>
      <c r="E177" s="3"/>
      <c r="F177" s="3" t="s">
        <v>2148</v>
      </c>
      <c r="G177" s="3" t="s">
        <v>435</v>
      </c>
    </row>
    <row r="178" spans="1:7" x14ac:dyDescent="0.4">
      <c r="A178" s="3">
        <f t="shared" si="2"/>
        <v>174</v>
      </c>
      <c r="B178" s="3" t="s">
        <v>594</v>
      </c>
      <c r="C178" s="3" t="s">
        <v>2336</v>
      </c>
      <c r="D178" s="3" t="s">
        <v>2148</v>
      </c>
      <c r="E178" s="3"/>
      <c r="F178" s="3" t="s">
        <v>2148</v>
      </c>
      <c r="G178" s="3" t="s">
        <v>433</v>
      </c>
    </row>
    <row r="179" spans="1:7" x14ac:dyDescent="0.4">
      <c r="A179" s="3">
        <f t="shared" si="2"/>
        <v>175</v>
      </c>
      <c r="B179" s="3" t="s">
        <v>595</v>
      </c>
      <c r="C179" s="3" t="s">
        <v>2337</v>
      </c>
      <c r="D179" s="3" t="s">
        <v>432</v>
      </c>
      <c r="E179" s="3"/>
      <c r="F179" s="3" t="s">
        <v>432</v>
      </c>
      <c r="G179" s="3" t="s">
        <v>458</v>
      </c>
    </row>
    <row r="180" spans="1:7" x14ac:dyDescent="0.4">
      <c r="A180" s="3">
        <f t="shared" si="2"/>
        <v>176</v>
      </c>
      <c r="B180" s="3" t="s">
        <v>596</v>
      </c>
      <c r="C180" s="3" t="s">
        <v>2338</v>
      </c>
      <c r="D180" s="3" t="s">
        <v>444</v>
      </c>
      <c r="E180" s="3"/>
      <c r="F180" s="3" t="s">
        <v>444</v>
      </c>
      <c r="G180" s="3" t="s">
        <v>435</v>
      </c>
    </row>
    <row r="181" spans="1:7" x14ac:dyDescent="0.4">
      <c r="A181" s="3">
        <f t="shared" si="2"/>
        <v>177</v>
      </c>
      <c r="B181" s="3" t="s">
        <v>597</v>
      </c>
      <c r="C181" s="3" t="s">
        <v>2339</v>
      </c>
      <c r="D181" s="3" t="s">
        <v>444</v>
      </c>
      <c r="E181" s="3"/>
      <c r="F181" s="3" t="s">
        <v>444</v>
      </c>
      <c r="G181" s="3" t="s">
        <v>435</v>
      </c>
    </row>
    <row r="182" spans="1:7" x14ac:dyDescent="0.4">
      <c r="A182" s="3">
        <f t="shared" si="2"/>
        <v>178</v>
      </c>
      <c r="B182" s="3" t="s">
        <v>598</v>
      </c>
      <c r="C182" s="3" t="s">
        <v>2340</v>
      </c>
      <c r="D182" s="3" t="s">
        <v>432</v>
      </c>
      <c r="E182" s="3"/>
      <c r="F182" s="3" t="s">
        <v>432</v>
      </c>
      <c r="G182" s="3" t="s">
        <v>435</v>
      </c>
    </row>
    <row r="183" spans="1:7" x14ac:dyDescent="0.4">
      <c r="A183" s="3">
        <f t="shared" si="2"/>
        <v>179</v>
      </c>
      <c r="B183" s="3" t="s">
        <v>2341</v>
      </c>
      <c r="C183" s="3" t="s">
        <v>2342</v>
      </c>
      <c r="D183" s="3" t="s">
        <v>182</v>
      </c>
      <c r="E183" s="3"/>
      <c r="F183" s="3" t="s">
        <v>182</v>
      </c>
      <c r="G183" s="3" t="s">
        <v>433</v>
      </c>
    </row>
    <row r="184" spans="1:7" x14ac:dyDescent="0.4">
      <c r="A184" s="3">
        <f t="shared" si="2"/>
        <v>180</v>
      </c>
      <c r="B184" s="3" t="s">
        <v>599</v>
      </c>
      <c r="C184" s="3" t="s">
        <v>2343</v>
      </c>
      <c r="D184" s="3" t="s">
        <v>432</v>
      </c>
      <c r="E184" s="3"/>
      <c r="F184" s="3" t="s">
        <v>432</v>
      </c>
      <c r="G184" s="3" t="s">
        <v>433</v>
      </c>
    </row>
    <row r="185" spans="1:7" x14ac:dyDescent="0.4">
      <c r="A185" s="3">
        <f t="shared" si="2"/>
        <v>181</v>
      </c>
      <c r="B185" s="3" t="s">
        <v>600</v>
      </c>
      <c r="C185" s="3" t="s">
        <v>2344</v>
      </c>
      <c r="D185" s="3" t="s">
        <v>444</v>
      </c>
      <c r="E185" s="3"/>
      <c r="F185" s="3" t="s">
        <v>444</v>
      </c>
      <c r="G185" s="3" t="s">
        <v>433</v>
      </c>
    </row>
    <row r="186" spans="1:7" x14ac:dyDescent="0.4">
      <c r="A186" s="3">
        <f t="shared" si="2"/>
        <v>182</v>
      </c>
      <c r="B186" s="3" t="s">
        <v>601</v>
      </c>
      <c r="C186" s="3" t="s">
        <v>2345</v>
      </c>
      <c r="D186" s="3" t="s">
        <v>444</v>
      </c>
      <c r="E186" s="3"/>
      <c r="F186" s="3" t="s">
        <v>444</v>
      </c>
      <c r="G186" s="3" t="s">
        <v>433</v>
      </c>
    </row>
    <row r="187" spans="1:7" x14ac:dyDescent="0.4">
      <c r="A187" s="3">
        <f t="shared" si="2"/>
        <v>183</v>
      </c>
      <c r="B187" s="3" t="s">
        <v>602</v>
      </c>
      <c r="C187" s="3" t="s">
        <v>2346</v>
      </c>
      <c r="D187" s="3" t="s">
        <v>432</v>
      </c>
      <c r="E187" s="3"/>
      <c r="F187" s="3" t="s">
        <v>432</v>
      </c>
      <c r="G187" s="3" t="s">
        <v>458</v>
      </c>
    </row>
    <row r="188" spans="1:7" x14ac:dyDescent="0.4">
      <c r="A188" s="3">
        <f t="shared" si="2"/>
        <v>184</v>
      </c>
      <c r="B188" s="3" t="s">
        <v>603</v>
      </c>
      <c r="C188" s="3" t="s">
        <v>2347</v>
      </c>
      <c r="D188" s="3" t="s">
        <v>432</v>
      </c>
      <c r="E188" s="3"/>
      <c r="F188" s="3" t="s">
        <v>432</v>
      </c>
      <c r="G188" s="3" t="s">
        <v>433</v>
      </c>
    </row>
    <row r="189" spans="1:7" x14ac:dyDescent="0.4">
      <c r="A189" s="3">
        <f t="shared" si="2"/>
        <v>185</v>
      </c>
      <c r="B189" s="3" t="s">
        <v>2348</v>
      </c>
      <c r="C189" s="3" t="s">
        <v>2349</v>
      </c>
      <c r="D189" s="3" t="s">
        <v>444</v>
      </c>
      <c r="E189" s="3"/>
      <c r="F189" s="3" t="s">
        <v>444</v>
      </c>
      <c r="G189" s="3" t="s">
        <v>433</v>
      </c>
    </row>
    <row r="190" spans="1:7" x14ac:dyDescent="0.4">
      <c r="A190" s="3">
        <f t="shared" si="2"/>
        <v>186</v>
      </c>
      <c r="B190" s="3" t="s">
        <v>2350</v>
      </c>
      <c r="C190" s="3" t="s">
        <v>2351</v>
      </c>
      <c r="D190" s="3" t="s">
        <v>182</v>
      </c>
      <c r="E190" s="3"/>
      <c r="F190" s="3" t="s">
        <v>182</v>
      </c>
      <c r="G190" s="3" t="s">
        <v>433</v>
      </c>
    </row>
    <row r="191" spans="1:7" x14ac:dyDescent="0.4">
      <c r="A191" s="3">
        <f t="shared" si="2"/>
        <v>187</v>
      </c>
      <c r="B191" s="3" t="s">
        <v>604</v>
      </c>
      <c r="C191" s="3" t="s">
        <v>2352</v>
      </c>
      <c r="D191" s="3" t="s">
        <v>444</v>
      </c>
      <c r="E191" s="3"/>
      <c r="F191" s="3" t="s">
        <v>444</v>
      </c>
      <c r="G191" s="3" t="s">
        <v>458</v>
      </c>
    </row>
    <row r="192" spans="1:7" x14ac:dyDescent="0.4">
      <c r="A192" s="3">
        <f t="shared" si="2"/>
        <v>188</v>
      </c>
      <c r="B192" s="3" t="s">
        <v>605</v>
      </c>
      <c r="C192" s="3" t="s">
        <v>2353</v>
      </c>
      <c r="D192" s="3" t="s">
        <v>182</v>
      </c>
      <c r="E192" s="3"/>
      <c r="F192" s="3" t="s">
        <v>182</v>
      </c>
      <c r="G192" s="3" t="s">
        <v>433</v>
      </c>
    </row>
    <row r="193" spans="1:7" x14ac:dyDescent="0.4">
      <c r="A193" s="3">
        <f t="shared" si="2"/>
        <v>189</v>
      </c>
      <c r="B193" s="3" t="s">
        <v>606</v>
      </c>
      <c r="C193" s="3" t="s">
        <v>2354</v>
      </c>
      <c r="D193" s="3" t="s">
        <v>2196</v>
      </c>
      <c r="E193" s="3"/>
      <c r="F193" s="3" t="s">
        <v>2196</v>
      </c>
      <c r="G193" s="3" t="s">
        <v>435</v>
      </c>
    </row>
    <row r="194" spans="1:7" x14ac:dyDescent="0.4">
      <c r="A194" s="3">
        <f t="shared" si="2"/>
        <v>190</v>
      </c>
      <c r="B194" s="3" t="s">
        <v>607</v>
      </c>
      <c r="C194" s="3" t="s">
        <v>2355</v>
      </c>
      <c r="D194" s="3" t="s">
        <v>2148</v>
      </c>
      <c r="E194" s="3"/>
      <c r="F194" s="3" t="s">
        <v>2148</v>
      </c>
      <c r="G194" s="3" t="s">
        <v>433</v>
      </c>
    </row>
    <row r="195" spans="1:7" x14ac:dyDescent="0.4">
      <c r="A195" s="3">
        <f t="shared" si="2"/>
        <v>191</v>
      </c>
      <c r="B195" s="3" t="s">
        <v>608</v>
      </c>
      <c r="C195" s="3" t="s">
        <v>2356</v>
      </c>
      <c r="D195" s="3" t="s">
        <v>432</v>
      </c>
      <c r="E195" s="3"/>
      <c r="F195" s="3" t="s">
        <v>432</v>
      </c>
      <c r="G195" s="3" t="s">
        <v>433</v>
      </c>
    </row>
    <row r="196" spans="1:7" x14ac:dyDescent="0.4">
      <c r="A196" s="3">
        <f t="shared" si="2"/>
        <v>192</v>
      </c>
      <c r="B196" s="3" t="s">
        <v>2357</v>
      </c>
      <c r="C196" s="3" t="s">
        <v>2358</v>
      </c>
      <c r="D196" s="3" t="s">
        <v>2148</v>
      </c>
      <c r="E196" s="3"/>
      <c r="F196" s="3" t="s">
        <v>2148</v>
      </c>
      <c r="G196" s="3" t="s">
        <v>435</v>
      </c>
    </row>
    <row r="197" spans="1:7" x14ac:dyDescent="0.4">
      <c r="A197" s="3">
        <f t="shared" si="2"/>
        <v>193</v>
      </c>
      <c r="B197" s="3" t="s">
        <v>2359</v>
      </c>
      <c r="C197" s="3" t="s">
        <v>2360</v>
      </c>
      <c r="D197" s="3" t="s">
        <v>2148</v>
      </c>
      <c r="E197" s="3"/>
      <c r="F197" s="3" t="s">
        <v>2148</v>
      </c>
      <c r="G197" s="3" t="s">
        <v>433</v>
      </c>
    </row>
    <row r="198" spans="1:7" x14ac:dyDescent="0.4">
      <c r="A198" s="3">
        <f t="shared" ref="A198:A215" si="3">A197+1</f>
        <v>194</v>
      </c>
      <c r="B198" s="3" t="s">
        <v>2361</v>
      </c>
      <c r="C198" s="3" t="s">
        <v>2362</v>
      </c>
      <c r="D198" s="3" t="s">
        <v>432</v>
      </c>
      <c r="E198" s="3"/>
      <c r="F198" s="3" t="s">
        <v>432</v>
      </c>
      <c r="G198" s="3" t="s">
        <v>433</v>
      </c>
    </row>
    <row r="199" spans="1:7" x14ac:dyDescent="0.4">
      <c r="A199" s="3">
        <f t="shared" si="3"/>
        <v>195</v>
      </c>
      <c r="B199" s="3" t="s">
        <v>2363</v>
      </c>
      <c r="C199" s="3" t="s">
        <v>2364</v>
      </c>
      <c r="D199" s="3" t="s">
        <v>444</v>
      </c>
      <c r="E199" s="3"/>
      <c r="F199" s="3" t="s">
        <v>444</v>
      </c>
      <c r="G199" s="3" t="s">
        <v>433</v>
      </c>
    </row>
    <row r="200" spans="1:7" x14ac:dyDescent="0.4">
      <c r="A200" s="3">
        <f t="shared" si="3"/>
        <v>196</v>
      </c>
      <c r="B200" s="3" t="s">
        <v>2365</v>
      </c>
      <c r="C200" s="3" t="s">
        <v>2366</v>
      </c>
      <c r="D200" s="3" t="s">
        <v>2148</v>
      </c>
      <c r="E200" s="3"/>
      <c r="F200" s="3" t="s">
        <v>2148</v>
      </c>
      <c r="G200" s="3" t="s">
        <v>435</v>
      </c>
    </row>
    <row r="201" spans="1:7" x14ac:dyDescent="0.4">
      <c r="A201" s="3">
        <f t="shared" si="3"/>
        <v>197</v>
      </c>
      <c r="B201" s="3" t="s">
        <v>609</v>
      </c>
      <c r="C201" s="3" t="s">
        <v>2367</v>
      </c>
      <c r="D201" s="3" t="s">
        <v>432</v>
      </c>
      <c r="E201" s="3"/>
      <c r="F201" s="3" t="s">
        <v>432</v>
      </c>
      <c r="G201" s="3" t="s">
        <v>435</v>
      </c>
    </row>
    <row r="202" spans="1:7" x14ac:dyDescent="0.4">
      <c r="A202" s="3">
        <f t="shared" si="3"/>
        <v>198</v>
      </c>
      <c r="B202" s="3" t="s">
        <v>610</v>
      </c>
      <c r="C202" s="3" t="s">
        <v>2368</v>
      </c>
      <c r="D202" s="3" t="s">
        <v>432</v>
      </c>
      <c r="E202" s="3"/>
      <c r="F202" s="3" t="s">
        <v>432</v>
      </c>
      <c r="G202" s="3" t="s">
        <v>433</v>
      </c>
    </row>
    <row r="203" spans="1:7" x14ac:dyDescent="0.4">
      <c r="A203" s="3">
        <f t="shared" si="3"/>
        <v>199</v>
      </c>
      <c r="B203" s="3" t="s">
        <v>611</v>
      </c>
      <c r="C203" s="3" t="s">
        <v>2369</v>
      </c>
      <c r="D203" s="3" t="s">
        <v>432</v>
      </c>
      <c r="E203" s="3"/>
      <c r="F203" s="3" t="s">
        <v>432</v>
      </c>
      <c r="G203" s="3" t="s">
        <v>433</v>
      </c>
    </row>
    <row r="204" spans="1:7" x14ac:dyDescent="0.4">
      <c r="A204" s="3">
        <f t="shared" si="3"/>
        <v>200</v>
      </c>
      <c r="B204" s="3" t="s">
        <v>612</v>
      </c>
      <c r="C204" s="3" t="s">
        <v>2370</v>
      </c>
      <c r="D204" s="3" t="s">
        <v>444</v>
      </c>
      <c r="E204" s="3"/>
      <c r="F204" s="3" t="s">
        <v>444</v>
      </c>
      <c r="G204" s="3" t="s">
        <v>458</v>
      </c>
    </row>
    <row r="205" spans="1:7" x14ac:dyDescent="0.4">
      <c r="A205" s="3">
        <f t="shared" si="3"/>
        <v>201</v>
      </c>
      <c r="B205" s="3" t="s">
        <v>2371</v>
      </c>
      <c r="C205" s="3" t="s">
        <v>2372</v>
      </c>
      <c r="D205" s="3" t="s">
        <v>470</v>
      </c>
      <c r="E205" s="3"/>
      <c r="F205" s="3" t="s">
        <v>470</v>
      </c>
      <c r="G205" s="3" t="s">
        <v>433</v>
      </c>
    </row>
    <row r="206" spans="1:7" x14ac:dyDescent="0.4">
      <c r="A206" s="3">
        <f t="shared" si="3"/>
        <v>202</v>
      </c>
      <c r="B206" s="3" t="s">
        <v>2373</v>
      </c>
      <c r="C206" s="3" t="s">
        <v>2374</v>
      </c>
      <c r="D206" s="3" t="s">
        <v>182</v>
      </c>
      <c r="E206" s="3"/>
      <c r="F206" s="3" t="s">
        <v>182</v>
      </c>
      <c r="G206" s="3" t="s">
        <v>435</v>
      </c>
    </row>
    <row r="207" spans="1:7" x14ac:dyDescent="0.4">
      <c r="A207" s="3">
        <f t="shared" si="3"/>
        <v>203</v>
      </c>
      <c r="B207" s="3" t="s">
        <v>2375</v>
      </c>
      <c r="C207" s="3" t="s">
        <v>453</v>
      </c>
      <c r="D207" s="3" t="s">
        <v>432</v>
      </c>
      <c r="E207" s="3"/>
      <c r="F207" s="3" t="s">
        <v>432</v>
      </c>
      <c r="G207" s="3" t="s">
        <v>433</v>
      </c>
    </row>
    <row r="208" spans="1:7" x14ac:dyDescent="0.4">
      <c r="A208" s="3">
        <f t="shared" si="3"/>
        <v>204</v>
      </c>
      <c r="B208" s="3" t="s">
        <v>2376</v>
      </c>
      <c r="C208" s="3" t="s">
        <v>2377</v>
      </c>
      <c r="D208" s="3" t="s">
        <v>182</v>
      </c>
      <c r="E208" s="3"/>
      <c r="F208" s="3" t="s">
        <v>182</v>
      </c>
      <c r="G208" s="3" t="s">
        <v>433</v>
      </c>
    </row>
    <row r="209" spans="1:7" x14ac:dyDescent="0.4">
      <c r="A209" s="3">
        <f t="shared" si="3"/>
        <v>205</v>
      </c>
      <c r="B209" s="3" t="s">
        <v>2378</v>
      </c>
      <c r="C209" s="3" t="s">
        <v>613</v>
      </c>
      <c r="D209" s="3" t="s">
        <v>432</v>
      </c>
      <c r="E209" s="3"/>
      <c r="F209" s="3" t="s">
        <v>432</v>
      </c>
      <c r="G209" s="3" t="s">
        <v>433</v>
      </c>
    </row>
    <row r="210" spans="1:7" x14ac:dyDescent="0.4">
      <c r="A210" s="3">
        <f t="shared" si="3"/>
        <v>206</v>
      </c>
      <c r="B210" s="3" t="s">
        <v>2379</v>
      </c>
      <c r="C210" s="3" t="s">
        <v>2380</v>
      </c>
      <c r="D210" s="3" t="s">
        <v>470</v>
      </c>
      <c r="E210" s="3"/>
      <c r="F210" s="3" t="s">
        <v>470</v>
      </c>
      <c r="G210" s="3" t="s">
        <v>435</v>
      </c>
    </row>
    <row r="211" spans="1:7" x14ac:dyDescent="0.4">
      <c r="A211" s="3">
        <f t="shared" si="3"/>
        <v>207</v>
      </c>
      <c r="B211" s="3" t="s">
        <v>2381</v>
      </c>
      <c r="C211" s="3" t="s">
        <v>2382</v>
      </c>
      <c r="D211" s="3" t="s">
        <v>182</v>
      </c>
      <c r="E211" s="3"/>
      <c r="F211" s="3" t="s">
        <v>182</v>
      </c>
      <c r="G211" s="3" t="s">
        <v>433</v>
      </c>
    </row>
    <row r="212" spans="1:7" x14ac:dyDescent="0.4">
      <c r="A212" s="3">
        <f t="shared" si="3"/>
        <v>208</v>
      </c>
      <c r="B212" s="3" t="s">
        <v>2383</v>
      </c>
      <c r="C212" s="3" t="s">
        <v>2384</v>
      </c>
      <c r="D212" s="3" t="s">
        <v>432</v>
      </c>
      <c r="E212" s="3"/>
      <c r="F212" s="3" t="s">
        <v>432</v>
      </c>
      <c r="G212" s="3" t="s">
        <v>433</v>
      </c>
    </row>
    <row r="213" spans="1:7" x14ac:dyDescent="0.4">
      <c r="A213" s="3">
        <f t="shared" si="3"/>
        <v>209</v>
      </c>
      <c r="B213" s="3" t="s">
        <v>2385</v>
      </c>
      <c r="C213" s="3" t="s">
        <v>2386</v>
      </c>
      <c r="D213" s="3" t="s">
        <v>182</v>
      </c>
      <c r="E213" s="3"/>
      <c r="F213" s="3" t="s">
        <v>182</v>
      </c>
      <c r="G213" s="3" t="s">
        <v>435</v>
      </c>
    </row>
    <row r="214" spans="1:7" x14ac:dyDescent="0.4">
      <c r="A214" s="3">
        <f t="shared" si="3"/>
        <v>210</v>
      </c>
      <c r="B214" s="3" t="s">
        <v>2387</v>
      </c>
      <c r="C214" s="3" t="s">
        <v>2388</v>
      </c>
      <c r="D214" s="3" t="s">
        <v>2148</v>
      </c>
      <c r="E214" s="3"/>
      <c r="F214" s="3" t="s">
        <v>2148</v>
      </c>
      <c r="G214" s="3" t="s">
        <v>433</v>
      </c>
    </row>
    <row r="215" spans="1:7" x14ac:dyDescent="0.4">
      <c r="A215" s="3">
        <f t="shared" si="3"/>
        <v>211</v>
      </c>
      <c r="B215" s="3" t="s">
        <v>2389</v>
      </c>
      <c r="C215" s="3" t="s">
        <v>2390</v>
      </c>
      <c r="D215" s="3" t="s">
        <v>182</v>
      </c>
      <c r="E215" s="3"/>
      <c r="F215" s="3" t="s">
        <v>182</v>
      </c>
      <c r="G215" s="3" t="s">
        <v>435</v>
      </c>
    </row>
  </sheetData>
  <phoneticPr fontId="1"/>
  <conditionalFormatting sqref="F5:F215">
    <cfRule type="expression" dxfId="6" priority="1">
      <formula>$D5&lt;&gt;$F5</formula>
    </cfRule>
  </conditionalFormatting>
  <dataValidations count="1">
    <dataValidation type="list" allowBlank="1" showInputMessage="1" showErrorMessage="1" sqref="E5:E215" xr:uid="{40177F93-617B-426F-A08E-59382B8B2F3C}">
      <formula1>"-,変更"</formula1>
    </dataValidation>
  </dataValidations>
  <pageMargins left="0.7" right="0.7" top="0.75" bottom="0.75" header="0.3" footer="0.3"/>
  <pageSetup paperSize="9" orientation="portrait" horizontalDpi="0" verticalDpi="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AC1624-D136-734E-A200-716C3EF49225}">
  <dimension ref="A1:Q35"/>
  <sheetViews>
    <sheetView zoomScale="90" zoomScaleNormal="90" workbookViewId="0">
      <selection activeCell="O5" sqref="O5:O35"/>
    </sheetView>
  </sheetViews>
  <sheetFormatPr defaultColWidth="11.5546875" defaultRowHeight="19.5" x14ac:dyDescent="0.4"/>
  <cols>
    <col min="1" max="12" width="4.6640625" customWidth="1"/>
    <col min="13" max="13" width="60.6640625" customWidth="1"/>
    <col min="14" max="14" width="30.88671875" bestFit="1" customWidth="1"/>
    <col min="15" max="15" width="8.6640625" bestFit="1" customWidth="1"/>
    <col min="16" max="16" width="30.88671875" bestFit="1" customWidth="1"/>
    <col min="17" max="17" width="30.6640625" customWidth="1"/>
  </cols>
  <sheetData>
    <row r="1" spans="1:17" x14ac:dyDescent="0.4">
      <c r="A1" s="1" t="str">
        <f ca="1">RIGHT(CELL("filename",A1),LEN(CELL("filename",A1))-FIND("]",CELL("filename",A1)))</f>
        <v>8.イベントビューアー</v>
      </c>
    </row>
    <row r="3" spans="1:17" x14ac:dyDescent="0.4">
      <c r="A3" s="62" t="s">
        <v>3</v>
      </c>
      <c r="B3" s="61" t="s">
        <v>4</v>
      </c>
      <c r="C3" s="82"/>
      <c r="D3" s="82"/>
      <c r="E3" s="82"/>
      <c r="F3" s="82"/>
      <c r="G3" s="82"/>
      <c r="H3" s="82"/>
      <c r="I3" s="82"/>
      <c r="J3" s="82"/>
      <c r="K3" s="82"/>
      <c r="L3" s="82"/>
      <c r="M3" s="113"/>
      <c r="N3" s="62" t="s">
        <v>14</v>
      </c>
      <c r="O3" s="207" t="s">
        <v>2915</v>
      </c>
      <c r="P3" s="207"/>
      <c r="Q3" s="62" t="s">
        <v>5</v>
      </c>
    </row>
    <row r="4" spans="1:17" ht="20.25" thickBot="1" x14ac:dyDescent="0.45">
      <c r="A4" s="118"/>
      <c r="B4" s="119"/>
      <c r="C4" s="120"/>
      <c r="D4" s="120"/>
      <c r="E4" s="120"/>
      <c r="F4" s="120"/>
      <c r="G4" s="120"/>
      <c r="H4" s="120"/>
      <c r="I4" s="120"/>
      <c r="J4" s="120"/>
      <c r="K4" s="120"/>
      <c r="L4" s="120"/>
      <c r="M4" s="121"/>
      <c r="N4" s="118"/>
      <c r="O4" s="208" t="s">
        <v>2913</v>
      </c>
      <c r="P4" s="209" t="s">
        <v>2912</v>
      </c>
      <c r="Q4" s="118"/>
    </row>
    <row r="5" spans="1:17" ht="20.25" thickTop="1" x14ac:dyDescent="0.4">
      <c r="A5" s="20">
        <v>1</v>
      </c>
      <c r="B5" s="21" t="s">
        <v>1313</v>
      </c>
      <c r="C5" s="25"/>
      <c r="D5" s="33"/>
      <c r="E5" s="33"/>
      <c r="F5" s="33"/>
      <c r="G5" s="33"/>
      <c r="H5" s="33"/>
      <c r="I5" s="33"/>
      <c r="J5" s="33"/>
      <c r="K5" s="33"/>
      <c r="L5" s="33"/>
      <c r="M5" s="29"/>
      <c r="N5" s="210"/>
      <c r="O5" s="210"/>
      <c r="P5" s="210"/>
      <c r="Q5" s="210"/>
    </row>
    <row r="6" spans="1:17" x14ac:dyDescent="0.4">
      <c r="A6" s="3">
        <f t="shared" ref="A6:A35" si="0">A5+1</f>
        <v>2</v>
      </c>
      <c r="B6" s="21"/>
      <c r="C6" s="15" t="s">
        <v>146</v>
      </c>
      <c r="D6" s="9"/>
      <c r="E6" s="9"/>
      <c r="F6" s="9"/>
      <c r="G6" s="9"/>
      <c r="H6" s="9"/>
      <c r="I6" s="9"/>
      <c r="J6" s="9"/>
      <c r="K6" s="9"/>
      <c r="L6" s="9"/>
      <c r="M6" s="10"/>
      <c r="N6" s="2"/>
      <c r="O6" s="2"/>
      <c r="P6" s="2"/>
      <c r="Q6" s="2"/>
    </row>
    <row r="7" spans="1:17" x14ac:dyDescent="0.4">
      <c r="A7" s="3">
        <f t="shared" si="0"/>
        <v>3</v>
      </c>
      <c r="B7" s="21"/>
      <c r="C7" s="16"/>
      <c r="D7" s="13" t="s">
        <v>147</v>
      </c>
      <c r="E7" s="13"/>
      <c r="F7" s="13"/>
      <c r="G7" s="13"/>
      <c r="H7" s="13"/>
      <c r="I7" s="13"/>
      <c r="J7" s="13"/>
      <c r="K7" s="13"/>
      <c r="L7" s="13"/>
      <c r="M7" s="14"/>
      <c r="N7" s="3" t="s">
        <v>148</v>
      </c>
      <c r="O7" s="3"/>
      <c r="P7" s="3" t="s">
        <v>148</v>
      </c>
      <c r="Q7" s="11"/>
    </row>
    <row r="8" spans="1:17" x14ac:dyDescent="0.4">
      <c r="A8" s="3">
        <f t="shared" si="0"/>
        <v>4</v>
      </c>
      <c r="B8" s="21"/>
      <c r="C8" s="16"/>
      <c r="D8" s="13" t="s">
        <v>149</v>
      </c>
      <c r="E8" s="13"/>
      <c r="F8" s="13"/>
      <c r="G8" s="13"/>
      <c r="H8" s="13"/>
      <c r="I8" s="13"/>
      <c r="J8" s="13"/>
      <c r="K8" s="13"/>
      <c r="L8" s="13"/>
      <c r="M8" s="14"/>
      <c r="N8" s="57">
        <v>20480</v>
      </c>
      <c r="O8" s="57"/>
      <c r="P8" s="57">
        <v>20480</v>
      </c>
      <c r="Q8" s="11"/>
    </row>
    <row r="9" spans="1:17" x14ac:dyDescent="0.4">
      <c r="A9" s="3">
        <f t="shared" si="0"/>
        <v>5</v>
      </c>
      <c r="B9" s="21"/>
      <c r="C9" s="16"/>
      <c r="D9" s="27" t="s">
        <v>150</v>
      </c>
      <c r="E9" s="9"/>
      <c r="F9" s="9"/>
      <c r="G9" s="9"/>
      <c r="H9" s="9"/>
      <c r="I9" s="9"/>
      <c r="J9" s="9"/>
      <c r="K9" s="9"/>
      <c r="L9" s="9"/>
      <c r="M9" s="10"/>
      <c r="N9" s="2"/>
      <c r="O9" s="2"/>
      <c r="P9" s="2"/>
      <c r="Q9" s="2"/>
    </row>
    <row r="10" spans="1:17" x14ac:dyDescent="0.4">
      <c r="A10" s="3">
        <f t="shared" si="0"/>
        <v>6</v>
      </c>
      <c r="B10" s="21"/>
      <c r="C10" s="16"/>
      <c r="D10" s="16"/>
      <c r="E10" s="13" t="s">
        <v>151</v>
      </c>
      <c r="F10" s="13"/>
      <c r="G10" s="13"/>
      <c r="H10" s="13"/>
      <c r="I10" s="13"/>
      <c r="J10" s="13"/>
      <c r="K10" s="13"/>
      <c r="L10" s="13"/>
      <c r="M10" s="14"/>
      <c r="N10" s="11" t="s">
        <v>9</v>
      </c>
      <c r="O10" s="11"/>
      <c r="P10" s="11" t="s">
        <v>9</v>
      </c>
      <c r="Q10" s="11"/>
    </row>
    <row r="11" spans="1:17" x14ac:dyDescent="0.4">
      <c r="A11" s="3">
        <f t="shared" si="0"/>
        <v>7</v>
      </c>
      <c r="B11" s="21"/>
      <c r="C11" s="16"/>
      <c r="D11" s="16"/>
      <c r="E11" s="13" t="s">
        <v>1314</v>
      </c>
      <c r="F11" s="13"/>
      <c r="G11" s="13"/>
      <c r="H11" s="13"/>
      <c r="I11" s="13"/>
      <c r="J11" s="13"/>
      <c r="K11" s="13"/>
      <c r="L11" s="13"/>
      <c r="M11" s="14"/>
      <c r="N11" s="11" t="s">
        <v>10</v>
      </c>
      <c r="O11" s="11"/>
      <c r="P11" s="11" t="s">
        <v>10</v>
      </c>
      <c r="Q11" s="11"/>
    </row>
    <row r="12" spans="1:17" x14ac:dyDescent="0.4">
      <c r="A12" s="3">
        <f t="shared" si="0"/>
        <v>8</v>
      </c>
      <c r="B12" s="21"/>
      <c r="C12" s="16"/>
      <c r="D12" s="17"/>
      <c r="E12" s="13" t="s">
        <v>152</v>
      </c>
      <c r="F12" s="13"/>
      <c r="G12" s="13"/>
      <c r="H12" s="13"/>
      <c r="I12" s="13"/>
      <c r="J12" s="13"/>
      <c r="K12" s="13"/>
      <c r="L12" s="13"/>
      <c r="M12" s="14"/>
      <c r="N12" s="11" t="s">
        <v>10</v>
      </c>
      <c r="O12" s="11"/>
      <c r="P12" s="11" t="s">
        <v>10</v>
      </c>
      <c r="Q12" s="11"/>
    </row>
    <row r="13" spans="1:17" x14ac:dyDescent="0.4">
      <c r="A13" s="3">
        <f t="shared" si="0"/>
        <v>9</v>
      </c>
      <c r="B13" s="21"/>
      <c r="C13" s="15" t="s">
        <v>93</v>
      </c>
      <c r="D13" s="9"/>
      <c r="E13" s="9"/>
      <c r="F13" s="9"/>
      <c r="G13" s="9"/>
      <c r="H13" s="9"/>
      <c r="I13" s="9"/>
      <c r="J13" s="9"/>
      <c r="K13" s="9"/>
      <c r="L13" s="9"/>
      <c r="M13" s="10"/>
      <c r="N13" s="2"/>
      <c r="O13" s="2"/>
      <c r="P13" s="2"/>
      <c r="Q13" s="2"/>
    </row>
    <row r="14" spans="1:17" x14ac:dyDescent="0.4">
      <c r="A14" s="3">
        <f t="shared" si="0"/>
        <v>10</v>
      </c>
      <c r="B14" s="21"/>
      <c r="C14" s="16"/>
      <c r="D14" s="13" t="s">
        <v>147</v>
      </c>
      <c r="E14" s="13"/>
      <c r="F14" s="13"/>
      <c r="G14" s="13"/>
      <c r="H14" s="13"/>
      <c r="I14" s="13"/>
      <c r="J14" s="13"/>
      <c r="K14" s="13"/>
      <c r="L14" s="13"/>
      <c r="M14" s="14"/>
      <c r="N14" s="3" t="s">
        <v>154</v>
      </c>
      <c r="O14" s="3"/>
      <c r="P14" s="3" t="s">
        <v>154</v>
      </c>
      <c r="Q14" s="11"/>
    </row>
    <row r="15" spans="1:17" x14ac:dyDescent="0.4">
      <c r="A15" s="3">
        <f t="shared" si="0"/>
        <v>11</v>
      </c>
      <c r="B15" s="21"/>
      <c r="C15" s="16"/>
      <c r="D15" s="13" t="s">
        <v>149</v>
      </c>
      <c r="E15" s="13"/>
      <c r="F15" s="13"/>
      <c r="G15" s="13"/>
      <c r="H15" s="13"/>
      <c r="I15" s="13"/>
      <c r="J15" s="13"/>
      <c r="K15" s="13"/>
      <c r="L15" s="13"/>
      <c r="M15" s="14"/>
      <c r="N15" s="57">
        <v>20480</v>
      </c>
      <c r="O15" s="57"/>
      <c r="P15" s="57">
        <v>20480</v>
      </c>
      <c r="Q15" s="11"/>
    </row>
    <row r="16" spans="1:17" x14ac:dyDescent="0.4">
      <c r="A16" s="3">
        <f t="shared" si="0"/>
        <v>12</v>
      </c>
      <c r="B16" s="21"/>
      <c r="C16" s="16"/>
      <c r="D16" s="27" t="s">
        <v>150</v>
      </c>
      <c r="E16" s="9"/>
      <c r="F16" s="9"/>
      <c r="G16" s="9"/>
      <c r="H16" s="9"/>
      <c r="I16" s="9"/>
      <c r="J16" s="9"/>
      <c r="K16" s="9"/>
      <c r="L16" s="9"/>
      <c r="M16" s="10"/>
      <c r="N16" s="2"/>
      <c r="O16" s="2"/>
      <c r="P16" s="2"/>
      <c r="Q16" s="2"/>
    </row>
    <row r="17" spans="1:17" x14ac:dyDescent="0.4">
      <c r="A17" s="3">
        <f t="shared" si="0"/>
        <v>13</v>
      </c>
      <c r="B17" s="21"/>
      <c r="C17" s="16"/>
      <c r="D17" s="16"/>
      <c r="E17" s="13" t="s">
        <v>151</v>
      </c>
      <c r="F17" s="13"/>
      <c r="G17" s="13"/>
      <c r="H17" s="13"/>
      <c r="I17" s="13"/>
      <c r="J17" s="13"/>
      <c r="K17" s="13"/>
      <c r="L17" s="13"/>
      <c r="M17" s="14"/>
      <c r="N17" s="11" t="s">
        <v>9</v>
      </c>
      <c r="O17" s="11"/>
      <c r="P17" s="11" t="s">
        <v>9</v>
      </c>
      <c r="Q17" s="11"/>
    </row>
    <row r="18" spans="1:17" x14ac:dyDescent="0.4">
      <c r="A18" s="3">
        <f t="shared" si="0"/>
        <v>14</v>
      </c>
      <c r="B18" s="21"/>
      <c r="C18" s="16"/>
      <c r="D18" s="16"/>
      <c r="E18" s="13" t="s">
        <v>1314</v>
      </c>
      <c r="F18" s="13"/>
      <c r="G18" s="13"/>
      <c r="H18" s="13"/>
      <c r="I18" s="13"/>
      <c r="J18" s="13"/>
      <c r="K18" s="13"/>
      <c r="L18" s="13"/>
      <c r="M18" s="14"/>
      <c r="N18" s="11" t="s">
        <v>10</v>
      </c>
      <c r="O18" s="11"/>
      <c r="P18" s="11" t="s">
        <v>10</v>
      </c>
      <c r="Q18" s="11"/>
    </row>
    <row r="19" spans="1:17" x14ac:dyDescent="0.4">
      <c r="A19" s="3">
        <f t="shared" si="0"/>
        <v>15</v>
      </c>
      <c r="B19" s="21"/>
      <c r="C19" s="16"/>
      <c r="D19" s="17"/>
      <c r="E19" s="13" t="s">
        <v>152</v>
      </c>
      <c r="F19" s="13"/>
      <c r="G19" s="13"/>
      <c r="H19" s="13"/>
      <c r="I19" s="13"/>
      <c r="J19" s="13"/>
      <c r="K19" s="13"/>
      <c r="L19" s="13"/>
      <c r="M19" s="14"/>
      <c r="N19" s="11" t="s">
        <v>10</v>
      </c>
      <c r="O19" s="11"/>
      <c r="P19" s="11" t="s">
        <v>10</v>
      </c>
      <c r="Q19" s="11"/>
    </row>
    <row r="20" spans="1:17" x14ac:dyDescent="0.4">
      <c r="A20" s="3">
        <f t="shared" si="0"/>
        <v>16</v>
      </c>
      <c r="B20" s="21"/>
      <c r="C20" s="15" t="s">
        <v>153</v>
      </c>
      <c r="D20" s="9"/>
      <c r="E20" s="9"/>
      <c r="F20" s="9"/>
      <c r="G20" s="9"/>
      <c r="H20" s="9"/>
      <c r="I20" s="9"/>
      <c r="J20" s="9"/>
      <c r="K20" s="9"/>
      <c r="L20" s="9"/>
      <c r="M20" s="10"/>
      <c r="N20" s="2"/>
      <c r="O20" s="2"/>
      <c r="P20" s="2"/>
      <c r="Q20" s="2"/>
    </row>
    <row r="21" spans="1:17" x14ac:dyDescent="0.4">
      <c r="A21" s="3">
        <f t="shared" si="0"/>
        <v>17</v>
      </c>
      <c r="B21" s="21"/>
      <c r="C21" s="16"/>
      <c r="D21" s="13" t="s">
        <v>147</v>
      </c>
      <c r="E21" s="13"/>
      <c r="F21" s="13"/>
      <c r="G21" s="13"/>
      <c r="H21" s="13"/>
      <c r="I21" s="13"/>
      <c r="J21" s="13"/>
      <c r="K21" s="13"/>
      <c r="L21" s="13"/>
      <c r="M21" s="14"/>
      <c r="N21" s="3" t="s">
        <v>155</v>
      </c>
      <c r="O21" s="3"/>
      <c r="P21" s="3" t="s">
        <v>155</v>
      </c>
      <c r="Q21" s="11"/>
    </row>
    <row r="22" spans="1:17" x14ac:dyDescent="0.4">
      <c r="A22" s="3">
        <f t="shared" si="0"/>
        <v>18</v>
      </c>
      <c r="B22" s="21"/>
      <c r="C22" s="16"/>
      <c r="D22" s="13" t="s">
        <v>149</v>
      </c>
      <c r="E22" s="13"/>
      <c r="F22" s="13"/>
      <c r="G22" s="13"/>
      <c r="H22" s="13"/>
      <c r="I22" s="13"/>
      <c r="J22" s="13"/>
      <c r="K22" s="13"/>
      <c r="L22" s="13"/>
      <c r="M22" s="14"/>
      <c r="N22" s="57">
        <v>1028</v>
      </c>
      <c r="O22" s="57"/>
      <c r="P22" s="57">
        <v>1028</v>
      </c>
      <c r="Q22" s="11"/>
    </row>
    <row r="23" spans="1:17" x14ac:dyDescent="0.4">
      <c r="A23" s="3">
        <f t="shared" si="0"/>
        <v>19</v>
      </c>
      <c r="B23" s="21"/>
      <c r="C23" s="16"/>
      <c r="D23" s="27" t="s">
        <v>150</v>
      </c>
      <c r="E23" s="9"/>
      <c r="F23" s="9"/>
      <c r="G23" s="9"/>
      <c r="H23" s="9"/>
      <c r="I23" s="9"/>
      <c r="J23" s="9"/>
      <c r="K23" s="9"/>
      <c r="L23" s="9"/>
      <c r="M23" s="10"/>
      <c r="N23" s="2"/>
      <c r="O23" s="2"/>
      <c r="P23" s="2"/>
      <c r="Q23" s="2"/>
    </row>
    <row r="24" spans="1:17" x14ac:dyDescent="0.4">
      <c r="A24" s="3">
        <f t="shared" si="0"/>
        <v>20</v>
      </c>
      <c r="B24" s="21"/>
      <c r="C24" s="16"/>
      <c r="D24" s="16"/>
      <c r="E24" s="13" t="s">
        <v>151</v>
      </c>
      <c r="F24" s="13"/>
      <c r="G24" s="13"/>
      <c r="H24" s="13"/>
      <c r="I24" s="13"/>
      <c r="J24" s="13"/>
      <c r="K24" s="13"/>
      <c r="L24" s="13"/>
      <c r="M24" s="14"/>
      <c r="N24" s="11" t="s">
        <v>9</v>
      </c>
      <c r="O24" s="11"/>
      <c r="P24" s="11" t="s">
        <v>9</v>
      </c>
      <c r="Q24" s="11"/>
    </row>
    <row r="25" spans="1:17" x14ac:dyDescent="0.4">
      <c r="A25" s="3">
        <f t="shared" si="0"/>
        <v>21</v>
      </c>
      <c r="B25" s="21"/>
      <c r="C25" s="16"/>
      <c r="D25" s="16"/>
      <c r="E25" s="13" t="s">
        <v>1314</v>
      </c>
      <c r="F25" s="13"/>
      <c r="G25" s="13"/>
      <c r="H25" s="13"/>
      <c r="I25" s="13"/>
      <c r="J25" s="13"/>
      <c r="K25" s="13"/>
      <c r="L25" s="13"/>
      <c r="M25" s="14"/>
      <c r="N25" s="11" t="s">
        <v>10</v>
      </c>
      <c r="O25" s="11"/>
      <c r="P25" s="11" t="s">
        <v>10</v>
      </c>
      <c r="Q25" s="11"/>
    </row>
    <row r="26" spans="1:17" x14ac:dyDescent="0.4">
      <c r="A26" s="3">
        <f t="shared" si="0"/>
        <v>22</v>
      </c>
      <c r="B26" s="21"/>
      <c r="C26" s="16"/>
      <c r="D26" s="17"/>
      <c r="E26" s="13" t="s">
        <v>152</v>
      </c>
      <c r="F26" s="13"/>
      <c r="G26" s="13"/>
      <c r="H26" s="13"/>
      <c r="I26" s="13"/>
      <c r="J26" s="13"/>
      <c r="K26" s="13"/>
      <c r="L26" s="13"/>
      <c r="M26" s="14"/>
      <c r="N26" s="11" t="s">
        <v>10</v>
      </c>
      <c r="O26" s="11"/>
      <c r="P26" s="11" t="s">
        <v>10</v>
      </c>
      <c r="Q26" s="11"/>
    </row>
    <row r="27" spans="1:17" x14ac:dyDescent="0.4">
      <c r="A27" s="3">
        <f t="shared" si="0"/>
        <v>23</v>
      </c>
      <c r="B27" s="21"/>
      <c r="C27" s="15" t="s">
        <v>24</v>
      </c>
      <c r="D27" s="9"/>
      <c r="E27" s="9"/>
      <c r="F27" s="9"/>
      <c r="G27" s="9"/>
      <c r="H27" s="9"/>
      <c r="I27" s="9"/>
      <c r="J27" s="9"/>
      <c r="K27" s="9"/>
      <c r="L27" s="9"/>
      <c r="M27" s="10"/>
      <c r="N27" s="2"/>
      <c r="O27" s="2"/>
      <c r="P27" s="2"/>
      <c r="Q27" s="2"/>
    </row>
    <row r="28" spans="1:17" x14ac:dyDescent="0.4">
      <c r="A28" s="3">
        <f t="shared" si="0"/>
        <v>24</v>
      </c>
      <c r="B28" s="21"/>
      <c r="C28" s="16"/>
      <c r="D28" s="13" t="s">
        <v>147</v>
      </c>
      <c r="E28" s="13"/>
      <c r="F28" s="13"/>
      <c r="G28" s="13"/>
      <c r="H28" s="13"/>
      <c r="I28" s="13"/>
      <c r="J28" s="13"/>
      <c r="K28" s="13"/>
      <c r="L28" s="13"/>
      <c r="M28" s="14"/>
      <c r="N28" s="3" t="s">
        <v>156</v>
      </c>
      <c r="O28" s="3"/>
      <c r="P28" s="3" t="s">
        <v>156</v>
      </c>
      <c r="Q28" s="11"/>
    </row>
    <row r="29" spans="1:17" x14ac:dyDescent="0.4">
      <c r="A29" s="3">
        <f t="shared" si="0"/>
        <v>25</v>
      </c>
      <c r="B29" s="21"/>
      <c r="C29" s="16"/>
      <c r="D29" s="13" t="s">
        <v>149</v>
      </c>
      <c r="E29" s="13"/>
      <c r="F29" s="13"/>
      <c r="G29" s="13"/>
      <c r="H29" s="13"/>
      <c r="I29" s="13"/>
      <c r="J29" s="13"/>
      <c r="K29" s="13"/>
      <c r="L29" s="13"/>
      <c r="M29" s="14"/>
      <c r="N29" s="57">
        <v>20480</v>
      </c>
      <c r="O29" s="57"/>
      <c r="P29" s="57">
        <v>20480</v>
      </c>
      <c r="Q29" s="11"/>
    </row>
    <row r="30" spans="1:17" x14ac:dyDescent="0.4">
      <c r="A30" s="3">
        <f t="shared" si="0"/>
        <v>26</v>
      </c>
      <c r="B30" s="21"/>
      <c r="C30" s="16"/>
      <c r="D30" s="27" t="s">
        <v>150</v>
      </c>
      <c r="E30" s="9"/>
      <c r="F30" s="9"/>
      <c r="G30" s="9"/>
      <c r="H30" s="9"/>
      <c r="I30" s="9"/>
      <c r="J30" s="9"/>
      <c r="K30" s="9"/>
      <c r="L30" s="9"/>
      <c r="M30" s="10"/>
      <c r="N30" s="2"/>
      <c r="O30" s="2"/>
      <c r="P30" s="2"/>
      <c r="Q30" s="2"/>
    </row>
    <row r="31" spans="1:17" x14ac:dyDescent="0.4">
      <c r="A31" s="3">
        <f t="shared" si="0"/>
        <v>27</v>
      </c>
      <c r="B31" s="21"/>
      <c r="C31" s="16"/>
      <c r="D31" s="16"/>
      <c r="E31" s="13" t="s">
        <v>151</v>
      </c>
      <c r="F31" s="13"/>
      <c r="G31" s="13"/>
      <c r="H31" s="13"/>
      <c r="I31" s="13"/>
      <c r="J31" s="13"/>
      <c r="K31" s="13"/>
      <c r="L31" s="13"/>
      <c r="M31" s="14"/>
      <c r="N31" s="11" t="s">
        <v>9</v>
      </c>
      <c r="O31" s="11"/>
      <c r="P31" s="11" t="s">
        <v>9</v>
      </c>
      <c r="Q31" s="11"/>
    </row>
    <row r="32" spans="1:17" x14ac:dyDescent="0.4">
      <c r="A32" s="3">
        <f t="shared" si="0"/>
        <v>28</v>
      </c>
      <c r="B32" s="21"/>
      <c r="C32" s="16"/>
      <c r="D32" s="16"/>
      <c r="E32" s="13" t="s">
        <v>1314</v>
      </c>
      <c r="F32" s="13"/>
      <c r="G32" s="13"/>
      <c r="H32" s="13"/>
      <c r="I32" s="13"/>
      <c r="J32" s="13"/>
      <c r="K32" s="13"/>
      <c r="L32" s="13"/>
      <c r="M32" s="14"/>
      <c r="N32" s="11" t="s">
        <v>10</v>
      </c>
      <c r="O32" s="11"/>
      <c r="P32" s="11" t="s">
        <v>10</v>
      </c>
      <c r="Q32" s="11"/>
    </row>
    <row r="33" spans="1:17" x14ac:dyDescent="0.4">
      <c r="A33" s="3">
        <f t="shared" si="0"/>
        <v>29</v>
      </c>
      <c r="B33" s="21"/>
      <c r="C33" s="17"/>
      <c r="D33" s="17"/>
      <c r="E33" s="13" t="s">
        <v>152</v>
      </c>
      <c r="F33" s="13"/>
      <c r="G33" s="13"/>
      <c r="H33" s="13"/>
      <c r="I33" s="13"/>
      <c r="J33" s="13"/>
      <c r="K33" s="13"/>
      <c r="L33" s="13"/>
      <c r="M33" s="14"/>
      <c r="N33" s="11" t="s">
        <v>10</v>
      </c>
      <c r="O33" s="11"/>
      <c r="P33" s="11" t="s">
        <v>10</v>
      </c>
      <c r="Q33" s="11"/>
    </row>
    <row r="34" spans="1:17" x14ac:dyDescent="0.4">
      <c r="A34" s="3">
        <f t="shared" si="0"/>
        <v>30</v>
      </c>
      <c r="B34" s="21"/>
      <c r="C34" s="15" t="s">
        <v>157</v>
      </c>
      <c r="D34" s="9"/>
      <c r="E34" s="9"/>
      <c r="F34" s="9"/>
      <c r="G34" s="9"/>
      <c r="H34" s="9"/>
      <c r="I34" s="9"/>
      <c r="J34" s="9"/>
      <c r="K34" s="9"/>
      <c r="L34" s="9"/>
      <c r="M34" s="10"/>
      <c r="N34" s="2"/>
      <c r="O34" s="2"/>
      <c r="P34" s="2"/>
      <c r="Q34" s="2"/>
    </row>
    <row r="35" spans="1:17" x14ac:dyDescent="0.4">
      <c r="A35" s="3">
        <f t="shared" si="0"/>
        <v>31</v>
      </c>
      <c r="B35" s="24"/>
      <c r="C35" s="17"/>
      <c r="D35" s="13"/>
      <c r="E35" s="13"/>
      <c r="F35" s="13"/>
      <c r="G35" s="13"/>
      <c r="H35" s="13"/>
      <c r="I35" s="13"/>
      <c r="J35" s="13"/>
      <c r="K35" s="13"/>
      <c r="L35" s="13"/>
      <c r="M35" s="14"/>
      <c r="N35" s="11" t="s">
        <v>1240</v>
      </c>
      <c r="O35" s="11"/>
      <c r="P35" s="11" t="s">
        <v>1240</v>
      </c>
      <c r="Q35" s="11"/>
    </row>
  </sheetData>
  <phoneticPr fontId="1"/>
  <conditionalFormatting sqref="P5:P35">
    <cfRule type="expression" dxfId="5" priority="1">
      <formula>$N5&lt;&gt;$P5</formula>
    </cfRule>
  </conditionalFormatting>
  <dataValidations count="3">
    <dataValidation type="list" allowBlank="1" showInputMessage="1" showErrorMessage="1" sqref="Q5:Q35" xr:uid="{BF00C9FB-C2F0-7145-89E1-CF0A408390DC}">
      <formula1>work_チェックボックス</formula1>
    </dataValidation>
    <dataValidation type="list" allowBlank="1" showInputMessage="1" showErrorMessage="1" sqref="P17:P19 P24:P26 P31:P33 N31:N33 N24:N26 N17:N19 N10:N12 P10:P12" xr:uid="{CA001665-6EF9-EE4A-BD09-7CA025CC980C}">
      <formula1>work_ラジオボタン</formula1>
    </dataValidation>
    <dataValidation type="list" allowBlank="1" showInputMessage="1" showErrorMessage="1" sqref="O5:O35" xr:uid="{E8868317-54B7-4A6A-BE18-BDB1672EA077}">
      <formula1>"-,変更"</formula1>
    </dataValidation>
  </dataValidations>
  <pageMargins left="0.7" right="0.7" top="0.75" bottom="0.75" header="0.3" footer="0.3"/>
  <pageSetup paperSize="9" orientation="portrait" horizontalDpi="0" verticalDpi="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9496E3-E206-6B48-A7CD-F2DD83D4060E}">
  <dimension ref="A1:AD227"/>
  <sheetViews>
    <sheetView topLeftCell="A223" zoomScale="90" zoomScaleNormal="90" workbookViewId="0">
      <selection activeCell="D31" sqref="D31"/>
    </sheetView>
  </sheetViews>
  <sheetFormatPr defaultColWidth="11.5546875" defaultRowHeight="19.5" x14ac:dyDescent="0.4"/>
  <cols>
    <col min="1" max="1" width="4.6640625" customWidth="1"/>
    <col min="2" max="2" width="24.109375" bestFit="1" customWidth="1"/>
    <col min="3" max="3" width="8.6640625" bestFit="1" customWidth="1"/>
    <col min="4" max="4" width="120.109375" bestFit="1" customWidth="1"/>
    <col min="5" max="5" width="15.5546875" bestFit="1" customWidth="1"/>
    <col min="6" max="6" width="8.88671875" bestFit="1" customWidth="1"/>
    <col min="7" max="7" width="23" bestFit="1" customWidth="1"/>
    <col min="8" max="8" width="15.5546875" bestFit="1" customWidth="1"/>
    <col min="9" max="9" width="12.44140625" bestFit="1" customWidth="1"/>
    <col min="10" max="10" width="44.44140625" bestFit="1" customWidth="1"/>
    <col min="11" max="11" width="120.109375" bestFit="1" customWidth="1"/>
    <col min="12" max="12" width="7.88671875" bestFit="1" customWidth="1"/>
    <col min="13" max="13" width="255.6640625" bestFit="1" customWidth="1"/>
    <col min="14" max="14" width="30" bestFit="1" customWidth="1"/>
    <col min="15" max="15" width="98.5546875" bestFit="1" customWidth="1"/>
    <col min="16" max="16" width="41.33203125" bestFit="1" customWidth="1"/>
    <col min="17" max="17" width="19.109375" bestFit="1" customWidth="1"/>
    <col min="18" max="18" width="45.5546875" bestFit="1" customWidth="1"/>
    <col min="19" max="19" width="26" bestFit="1" customWidth="1"/>
    <col min="20" max="20" width="55.88671875" bestFit="1" customWidth="1"/>
    <col min="21" max="21" width="22.109375" bestFit="1" customWidth="1"/>
    <col min="22" max="22" width="8.88671875" bestFit="1" customWidth="1"/>
    <col min="23" max="23" width="11.44140625" bestFit="1" customWidth="1"/>
    <col min="24" max="24" width="9.44140625" bestFit="1" customWidth="1"/>
    <col min="25" max="26" width="8.5546875" bestFit="1" customWidth="1"/>
    <col min="27" max="27" width="13.88671875" bestFit="1" customWidth="1"/>
    <col min="28" max="28" width="17.33203125" bestFit="1" customWidth="1"/>
    <col min="29" max="29" width="13.44140625" bestFit="1" customWidth="1"/>
    <col min="30" max="30" width="27.109375" bestFit="1" customWidth="1"/>
  </cols>
  <sheetData>
    <row r="1" spans="1:30" x14ac:dyDescent="0.4">
      <c r="A1" s="1" t="str">
        <f ca="1">RIGHT(CELL("filename",A1),LEN(CELL("filename",A1))-FIND("]",CELL("filename",A1)))</f>
        <v>9.タスクスケジューラー</v>
      </c>
    </row>
    <row r="3" spans="1:30" x14ac:dyDescent="0.4">
      <c r="B3" t="s">
        <v>158</v>
      </c>
    </row>
    <row r="5" spans="1:30" x14ac:dyDescent="0.4">
      <c r="A5" s="4" t="s">
        <v>3</v>
      </c>
      <c r="B5" s="39" t="s">
        <v>159</v>
      </c>
      <c r="C5" s="39" t="s">
        <v>3020</v>
      </c>
      <c r="D5" s="39" t="s">
        <v>160</v>
      </c>
      <c r="E5" s="44" t="s">
        <v>161</v>
      </c>
      <c r="F5" s="39" t="s">
        <v>162</v>
      </c>
      <c r="G5" s="39" t="s">
        <v>2743</v>
      </c>
      <c r="H5" s="44" t="s">
        <v>163</v>
      </c>
      <c r="I5" s="44" t="s">
        <v>164</v>
      </c>
      <c r="J5" s="39" t="s">
        <v>165</v>
      </c>
      <c r="K5" s="39" t="s">
        <v>166</v>
      </c>
      <c r="L5" s="39" t="s">
        <v>167</v>
      </c>
      <c r="M5" s="39" t="s">
        <v>168</v>
      </c>
      <c r="N5" s="39" t="s">
        <v>2744</v>
      </c>
      <c r="O5" s="39" t="s">
        <v>169</v>
      </c>
      <c r="P5" s="39" t="s">
        <v>170</v>
      </c>
      <c r="Q5" s="39" t="s">
        <v>2745</v>
      </c>
      <c r="R5" s="39" t="s">
        <v>2746</v>
      </c>
      <c r="S5" s="39" t="s">
        <v>171</v>
      </c>
      <c r="T5" s="39" t="s">
        <v>2747</v>
      </c>
      <c r="U5" s="39" t="s">
        <v>2748</v>
      </c>
      <c r="V5" s="39" t="s">
        <v>172</v>
      </c>
      <c r="W5" s="39" t="s">
        <v>144</v>
      </c>
      <c r="X5" s="39" t="s">
        <v>145</v>
      </c>
      <c r="Y5" s="39" t="s">
        <v>173</v>
      </c>
      <c r="Z5" s="39" t="s">
        <v>174</v>
      </c>
      <c r="AA5" s="39" t="s">
        <v>175</v>
      </c>
      <c r="AB5" s="39" t="s">
        <v>176</v>
      </c>
      <c r="AC5" s="39" t="s">
        <v>177</v>
      </c>
      <c r="AD5" s="39" t="s">
        <v>178</v>
      </c>
    </row>
    <row r="6" spans="1:30" x14ac:dyDescent="0.4">
      <c r="A6" s="3">
        <v>1</v>
      </c>
      <c r="B6" s="3">
        <f>'3.Windows基本設定'!T17</f>
        <v>0</v>
      </c>
      <c r="C6" s="3" t="s">
        <v>3021</v>
      </c>
      <c r="D6" s="3" t="s">
        <v>2553</v>
      </c>
      <c r="E6" s="40">
        <v>44729.715810185182</v>
      </c>
      <c r="F6" s="3" t="s">
        <v>179</v>
      </c>
      <c r="G6" s="3" t="s">
        <v>187</v>
      </c>
      <c r="H6" s="40">
        <v>44728.715810185182</v>
      </c>
      <c r="I6" s="3">
        <v>0</v>
      </c>
      <c r="J6" s="3" t="s">
        <v>180</v>
      </c>
      <c r="K6" s="3" t="s">
        <v>2554</v>
      </c>
      <c r="L6" s="3" t="s">
        <v>180</v>
      </c>
      <c r="M6" s="3" t="s">
        <v>2555</v>
      </c>
      <c r="N6" s="3" t="s">
        <v>181</v>
      </c>
      <c r="O6" s="3" t="s">
        <v>182</v>
      </c>
      <c r="P6" s="3" t="s">
        <v>2556</v>
      </c>
      <c r="Q6" s="3" t="s">
        <v>86</v>
      </c>
      <c r="R6" s="3" t="s">
        <v>182</v>
      </c>
      <c r="S6" s="41">
        <v>3</v>
      </c>
      <c r="T6" s="3" t="s">
        <v>2557</v>
      </c>
      <c r="U6" s="3" t="s">
        <v>196</v>
      </c>
      <c r="V6" s="3" t="s">
        <v>180</v>
      </c>
      <c r="W6" s="3" t="s">
        <v>180</v>
      </c>
      <c r="X6" s="3" t="s">
        <v>180</v>
      </c>
      <c r="Y6" s="3" t="s">
        <v>180</v>
      </c>
      <c r="Z6" s="3" t="s">
        <v>180</v>
      </c>
      <c r="AA6" s="3" t="s">
        <v>180</v>
      </c>
      <c r="AB6" s="3" t="s">
        <v>180</v>
      </c>
      <c r="AC6" s="3" t="s">
        <v>180</v>
      </c>
      <c r="AD6" s="3" t="s">
        <v>180</v>
      </c>
    </row>
    <row r="7" spans="1:30" x14ac:dyDescent="0.4">
      <c r="A7" s="3">
        <f>A6+1</f>
        <v>2</v>
      </c>
      <c r="B7" s="3">
        <f>$B$6</f>
        <v>0</v>
      </c>
      <c r="C7" s="3" t="s">
        <v>3021</v>
      </c>
      <c r="D7" s="3" t="s">
        <v>2553</v>
      </c>
      <c r="E7" s="40">
        <v>44729.715810185182</v>
      </c>
      <c r="F7" s="3" t="s">
        <v>179</v>
      </c>
      <c r="G7" s="3" t="s">
        <v>187</v>
      </c>
      <c r="H7" s="40">
        <v>44728.715810185182</v>
      </c>
      <c r="I7" s="3">
        <v>0</v>
      </c>
      <c r="J7" s="3" t="s">
        <v>180</v>
      </c>
      <c r="K7" s="3" t="s">
        <v>2554</v>
      </c>
      <c r="L7" s="3" t="s">
        <v>180</v>
      </c>
      <c r="M7" s="3" t="s">
        <v>2555</v>
      </c>
      <c r="N7" s="3" t="s">
        <v>181</v>
      </c>
      <c r="O7" s="3" t="s">
        <v>182</v>
      </c>
      <c r="P7" s="3" t="s">
        <v>2556</v>
      </c>
      <c r="Q7" s="3" t="s">
        <v>86</v>
      </c>
      <c r="R7" s="3" t="s">
        <v>182</v>
      </c>
      <c r="S7" s="41">
        <v>3</v>
      </c>
      <c r="T7" s="3" t="s">
        <v>2557</v>
      </c>
      <c r="U7" s="3" t="s">
        <v>184</v>
      </c>
      <c r="V7" s="42">
        <v>0.71581018518518524</v>
      </c>
      <c r="W7" s="43">
        <v>44728</v>
      </c>
      <c r="X7" s="3" t="s">
        <v>180</v>
      </c>
      <c r="Y7" s="3" t="s">
        <v>185</v>
      </c>
      <c r="Z7" s="3" t="s">
        <v>180</v>
      </c>
      <c r="AA7" s="3" t="s">
        <v>182</v>
      </c>
      <c r="AB7" s="3" t="s">
        <v>182</v>
      </c>
      <c r="AC7" s="3" t="s">
        <v>182</v>
      </c>
      <c r="AD7" s="3" t="s">
        <v>182</v>
      </c>
    </row>
    <row r="8" spans="1:30" x14ac:dyDescent="0.4">
      <c r="A8" s="3">
        <f t="shared" ref="A8:A71" si="0">A7+1</f>
        <v>3</v>
      </c>
      <c r="B8" s="3">
        <f t="shared" ref="B8:B71" si="1">$B$6</f>
        <v>0</v>
      </c>
      <c r="C8" s="3" t="s">
        <v>3021</v>
      </c>
      <c r="D8" s="3" t="s">
        <v>2558</v>
      </c>
      <c r="E8" s="40">
        <v>44729.028310185182</v>
      </c>
      <c r="F8" s="3" t="s">
        <v>179</v>
      </c>
      <c r="G8" s="3" t="s">
        <v>187</v>
      </c>
      <c r="H8" s="40">
        <v>44728.986643518518</v>
      </c>
      <c r="I8" s="3">
        <v>0</v>
      </c>
      <c r="J8" s="3" t="s">
        <v>180</v>
      </c>
      <c r="K8" s="3" t="s">
        <v>2559</v>
      </c>
      <c r="L8" s="3" t="s">
        <v>180</v>
      </c>
      <c r="M8" s="3" t="s">
        <v>2560</v>
      </c>
      <c r="N8" s="3" t="s">
        <v>181</v>
      </c>
      <c r="O8" s="3" t="s">
        <v>182</v>
      </c>
      <c r="P8" s="3" t="s">
        <v>2556</v>
      </c>
      <c r="Q8" s="3" t="s">
        <v>86</v>
      </c>
      <c r="R8" s="3" t="s">
        <v>182</v>
      </c>
      <c r="S8" s="41">
        <v>3</v>
      </c>
      <c r="T8" s="3" t="s">
        <v>2561</v>
      </c>
      <c r="U8" s="3" t="s">
        <v>184</v>
      </c>
      <c r="V8" s="42">
        <v>0.69497685185185187</v>
      </c>
      <c r="W8" s="43">
        <v>44728</v>
      </c>
      <c r="X8" s="3" t="s">
        <v>180</v>
      </c>
      <c r="Y8" s="3" t="s">
        <v>185</v>
      </c>
      <c r="Z8" s="3" t="s">
        <v>180</v>
      </c>
      <c r="AA8" s="3" t="s">
        <v>357</v>
      </c>
      <c r="AB8" s="3" t="s">
        <v>211</v>
      </c>
      <c r="AC8" s="3" t="s">
        <v>210</v>
      </c>
      <c r="AD8" s="3" t="s">
        <v>182</v>
      </c>
    </row>
    <row r="9" spans="1:30" x14ac:dyDescent="0.4">
      <c r="A9" s="3">
        <f t="shared" si="0"/>
        <v>4</v>
      </c>
      <c r="B9" s="3">
        <f t="shared" si="1"/>
        <v>0</v>
      </c>
      <c r="C9" s="3" t="s">
        <v>3021</v>
      </c>
      <c r="D9" s="3" t="s">
        <v>2562</v>
      </c>
      <c r="E9" s="3" t="s">
        <v>180</v>
      </c>
      <c r="F9" s="3" t="s">
        <v>182</v>
      </c>
      <c r="G9" s="3" t="s">
        <v>187</v>
      </c>
      <c r="H9" s="40">
        <v>44693.412789351853</v>
      </c>
      <c r="I9" s="3">
        <v>0</v>
      </c>
      <c r="J9" s="3" t="s">
        <v>2563</v>
      </c>
      <c r="K9" s="3" t="s">
        <v>2564</v>
      </c>
      <c r="L9" s="3" t="s">
        <v>180</v>
      </c>
      <c r="M9" s="3" t="s">
        <v>2565</v>
      </c>
      <c r="N9" s="3" t="s">
        <v>182</v>
      </c>
      <c r="O9" s="3" t="s">
        <v>182</v>
      </c>
      <c r="P9" s="3" t="s">
        <v>2566</v>
      </c>
      <c r="Q9" s="3" t="s">
        <v>86</v>
      </c>
      <c r="R9" s="3" t="s">
        <v>182</v>
      </c>
      <c r="S9" s="41">
        <v>3</v>
      </c>
      <c r="T9" s="3" t="s">
        <v>2561</v>
      </c>
      <c r="U9" s="3" t="s">
        <v>206</v>
      </c>
      <c r="V9" s="3" t="s">
        <v>180</v>
      </c>
      <c r="W9" s="3" t="s">
        <v>180</v>
      </c>
      <c r="X9" s="3" t="s">
        <v>180</v>
      </c>
      <c r="Y9" s="3" t="s">
        <v>180</v>
      </c>
      <c r="Z9" s="3" t="s">
        <v>180</v>
      </c>
      <c r="AA9" s="3" t="s">
        <v>180</v>
      </c>
      <c r="AB9" s="3" t="s">
        <v>180</v>
      </c>
      <c r="AC9" s="3" t="s">
        <v>180</v>
      </c>
      <c r="AD9" s="3" t="s">
        <v>180</v>
      </c>
    </row>
    <row r="10" spans="1:30" x14ac:dyDescent="0.4">
      <c r="A10" s="3">
        <f t="shared" si="0"/>
        <v>5</v>
      </c>
      <c r="B10" s="3">
        <f t="shared" si="1"/>
        <v>0</v>
      </c>
      <c r="C10" s="3" t="s">
        <v>3021</v>
      </c>
      <c r="D10" s="3" t="s">
        <v>186</v>
      </c>
      <c r="E10" s="3" t="s">
        <v>180</v>
      </c>
      <c r="F10" s="3" t="s">
        <v>179</v>
      </c>
      <c r="G10" s="3" t="s">
        <v>2567</v>
      </c>
      <c r="H10" s="40">
        <v>44728.691122685188</v>
      </c>
      <c r="I10" s="3">
        <v>0</v>
      </c>
      <c r="J10" s="3" t="s">
        <v>180</v>
      </c>
      <c r="K10" s="3" t="s">
        <v>2568</v>
      </c>
      <c r="L10" s="3" t="s">
        <v>180</v>
      </c>
      <c r="M10" s="3" t="s">
        <v>180</v>
      </c>
      <c r="N10" s="3" t="s">
        <v>181</v>
      </c>
      <c r="O10" s="3" t="s">
        <v>182</v>
      </c>
      <c r="P10" s="3" t="s">
        <v>2569</v>
      </c>
      <c r="Q10" s="3" t="s">
        <v>86</v>
      </c>
      <c r="R10" s="3" t="s">
        <v>182</v>
      </c>
      <c r="S10" s="42">
        <v>8.3333333333333329E-2</v>
      </c>
      <c r="T10" s="3" t="s">
        <v>2561</v>
      </c>
      <c r="U10" s="3" t="s">
        <v>188</v>
      </c>
      <c r="V10" s="3" t="s">
        <v>180</v>
      </c>
      <c r="W10" s="3" t="s">
        <v>180</v>
      </c>
      <c r="X10" s="3" t="s">
        <v>180</v>
      </c>
      <c r="Y10" s="3" t="s">
        <v>180</v>
      </c>
      <c r="Z10" s="3" t="s">
        <v>180</v>
      </c>
      <c r="AA10" s="3" t="s">
        <v>180</v>
      </c>
      <c r="AB10" s="3" t="s">
        <v>180</v>
      </c>
      <c r="AC10" s="3" t="s">
        <v>180</v>
      </c>
      <c r="AD10" s="3" t="s">
        <v>180</v>
      </c>
    </row>
    <row r="11" spans="1:30" x14ac:dyDescent="0.4">
      <c r="A11" s="3">
        <f t="shared" si="0"/>
        <v>6</v>
      </c>
      <c r="B11" s="3">
        <f t="shared" si="1"/>
        <v>0</v>
      </c>
      <c r="C11" s="3" t="s">
        <v>3021</v>
      </c>
      <c r="D11" s="3" t="s">
        <v>189</v>
      </c>
      <c r="E11" s="3" t="s">
        <v>180</v>
      </c>
      <c r="F11" s="3" t="s">
        <v>179</v>
      </c>
      <c r="G11" s="3" t="s">
        <v>187</v>
      </c>
      <c r="H11" s="40">
        <v>44728.691122685188</v>
      </c>
      <c r="I11" s="3">
        <v>0</v>
      </c>
      <c r="J11" s="3" t="s">
        <v>180</v>
      </c>
      <c r="K11" s="3" t="s">
        <v>2568</v>
      </c>
      <c r="L11" s="3" t="s">
        <v>180</v>
      </c>
      <c r="M11" s="3" t="s">
        <v>180</v>
      </c>
      <c r="N11" s="3" t="s">
        <v>181</v>
      </c>
      <c r="O11" s="3" t="s">
        <v>182</v>
      </c>
      <c r="P11" s="3" t="s">
        <v>2570</v>
      </c>
      <c r="Q11" s="3" t="s">
        <v>86</v>
      </c>
      <c r="R11" s="3" t="s">
        <v>182</v>
      </c>
      <c r="S11" s="42">
        <v>8.3333333333333329E-2</v>
      </c>
      <c r="T11" s="3" t="s">
        <v>2561</v>
      </c>
      <c r="U11" s="3" t="s">
        <v>188</v>
      </c>
      <c r="V11" s="3" t="s">
        <v>180</v>
      </c>
      <c r="W11" s="3" t="s">
        <v>180</v>
      </c>
      <c r="X11" s="3" t="s">
        <v>180</v>
      </c>
      <c r="Y11" s="3" t="s">
        <v>180</v>
      </c>
      <c r="Z11" s="3" t="s">
        <v>180</v>
      </c>
      <c r="AA11" s="3" t="s">
        <v>180</v>
      </c>
      <c r="AB11" s="3" t="s">
        <v>180</v>
      </c>
      <c r="AC11" s="3" t="s">
        <v>180</v>
      </c>
      <c r="AD11" s="3" t="s">
        <v>180</v>
      </c>
    </row>
    <row r="12" spans="1:30" x14ac:dyDescent="0.4">
      <c r="A12" s="3">
        <f t="shared" si="0"/>
        <v>7</v>
      </c>
      <c r="B12" s="3">
        <f t="shared" si="1"/>
        <v>0</v>
      </c>
      <c r="C12" s="3" t="s">
        <v>3021</v>
      </c>
      <c r="D12" s="3" t="s">
        <v>190</v>
      </c>
      <c r="E12" s="3" t="s">
        <v>180</v>
      </c>
      <c r="F12" s="3" t="s">
        <v>182</v>
      </c>
      <c r="G12" s="3" t="s">
        <v>2571</v>
      </c>
      <c r="H12" s="40">
        <v>44693.418726851851</v>
      </c>
      <c r="I12" s="3">
        <v>0</v>
      </c>
      <c r="J12" s="3" t="s">
        <v>180</v>
      </c>
      <c r="K12" s="3" t="s">
        <v>2568</v>
      </c>
      <c r="L12" s="3" t="s">
        <v>180</v>
      </c>
      <c r="M12" s="3" t="s">
        <v>180</v>
      </c>
      <c r="N12" s="3" t="s">
        <v>182</v>
      </c>
      <c r="O12" s="3" t="s">
        <v>182</v>
      </c>
      <c r="P12" s="3"/>
      <c r="Q12" s="3" t="s">
        <v>86</v>
      </c>
      <c r="R12" s="3" t="s">
        <v>182</v>
      </c>
      <c r="S12" s="42">
        <v>8.3333333333333329E-2</v>
      </c>
      <c r="T12" s="3" t="s">
        <v>2561</v>
      </c>
      <c r="U12" s="3" t="s">
        <v>191</v>
      </c>
      <c r="V12" s="3" t="s">
        <v>180</v>
      </c>
      <c r="W12" s="3" t="s">
        <v>180</v>
      </c>
      <c r="X12" s="3" t="s">
        <v>180</v>
      </c>
      <c r="Y12" s="3" t="s">
        <v>180</v>
      </c>
      <c r="Z12" s="3" t="s">
        <v>180</v>
      </c>
      <c r="AA12" s="3" t="s">
        <v>180</v>
      </c>
      <c r="AB12" s="3" t="s">
        <v>180</v>
      </c>
      <c r="AC12" s="3" t="s">
        <v>180</v>
      </c>
      <c r="AD12" s="3" t="s">
        <v>180</v>
      </c>
    </row>
    <row r="13" spans="1:30" x14ac:dyDescent="0.4">
      <c r="A13" s="3">
        <f t="shared" si="0"/>
        <v>8</v>
      </c>
      <c r="B13" s="3">
        <f t="shared" si="1"/>
        <v>0</v>
      </c>
      <c r="C13" s="3" t="s">
        <v>3021</v>
      </c>
      <c r="D13" s="3" t="s">
        <v>192</v>
      </c>
      <c r="E13" s="3" t="s">
        <v>180</v>
      </c>
      <c r="F13" s="3" t="s">
        <v>182</v>
      </c>
      <c r="G13" s="3" t="s">
        <v>187</v>
      </c>
      <c r="H13" s="40">
        <v>44693.418726851851</v>
      </c>
      <c r="I13" s="3">
        <v>0</v>
      </c>
      <c r="J13" s="3" t="s">
        <v>180</v>
      </c>
      <c r="K13" s="3" t="s">
        <v>2568</v>
      </c>
      <c r="L13" s="3" t="s">
        <v>180</v>
      </c>
      <c r="M13" s="3" t="s">
        <v>180</v>
      </c>
      <c r="N13" s="3" t="s">
        <v>182</v>
      </c>
      <c r="O13" s="3" t="s">
        <v>182</v>
      </c>
      <c r="P13" s="3"/>
      <c r="Q13" s="3" t="s">
        <v>86</v>
      </c>
      <c r="R13" s="3" t="s">
        <v>182</v>
      </c>
      <c r="S13" s="42">
        <v>8.3333333333333329E-2</v>
      </c>
      <c r="T13" s="3" t="s">
        <v>2561</v>
      </c>
      <c r="U13" s="3" t="s">
        <v>191</v>
      </c>
      <c r="V13" s="3" t="s">
        <v>180</v>
      </c>
      <c r="W13" s="3" t="s">
        <v>180</v>
      </c>
      <c r="X13" s="3" t="s">
        <v>180</v>
      </c>
      <c r="Y13" s="3" t="s">
        <v>180</v>
      </c>
      <c r="Z13" s="3" t="s">
        <v>180</v>
      </c>
      <c r="AA13" s="3" t="s">
        <v>180</v>
      </c>
      <c r="AB13" s="3" t="s">
        <v>180</v>
      </c>
      <c r="AC13" s="3" t="s">
        <v>180</v>
      </c>
      <c r="AD13" s="3" t="s">
        <v>180</v>
      </c>
    </row>
    <row r="14" spans="1:30" x14ac:dyDescent="0.4">
      <c r="A14" s="3">
        <f t="shared" si="0"/>
        <v>9</v>
      </c>
      <c r="B14" s="3">
        <f t="shared" si="1"/>
        <v>0</v>
      </c>
      <c r="C14" s="3" t="s">
        <v>3021</v>
      </c>
      <c r="D14" s="3" t="s">
        <v>193</v>
      </c>
      <c r="E14" s="3" t="s">
        <v>180</v>
      </c>
      <c r="F14" s="3" t="s">
        <v>182</v>
      </c>
      <c r="G14" s="3" t="s">
        <v>187</v>
      </c>
      <c r="H14" s="40">
        <v>36494</v>
      </c>
      <c r="I14" s="3">
        <v>267011</v>
      </c>
      <c r="J14" s="3" t="s">
        <v>194</v>
      </c>
      <c r="K14" s="3" t="s">
        <v>2568</v>
      </c>
      <c r="L14" s="3" t="s">
        <v>180</v>
      </c>
      <c r="M14" s="3" t="s">
        <v>2572</v>
      </c>
      <c r="N14" s="3" t="s">
        <v>182</v>
      </c>
      <c r="O14" s="3" t="s">
        <v>182</v>
      </c>
      <c r="P14" s="3"/>
      <c r="Q14" s="3" t="s">
        <v>195</v>
      </c>
      <c r="R14" s="3" t="s">
        <v>182</v>
      </c>
      <c r="S14" s="42">
        <v>4.1666666666666664E-2</v>
      </c>
      <c r="T14" s="3" t="s">
        <v>2561</v>
      </c>
      <c r="U14" s="3" t="s">
        <v>2573</v>
      </c>
      <c r="V14" s="42">
        <v>0.125</v>
      </c>
      <c r="W14" s="43">
        <v>39030</v>
      </c>
      <c r="X14" s="3" t="s">
        <v>180</v>
      </c>
      <c r="Y14" s="3" t="s">
        <v>185</v>
      </c>
      <c r="Z14" s="3" t="s">
        <v>180</v>
      </c>
      <c r="AA14" s="3" t="s">
        <v>182</v>
      </c>
      <c r="AB14" s="3" t="s">
        <v>182</v>
      </c>
      <c r="AC14" s="3" t="s">
        <v>182</v>
      </c>
      <c r="AD14" s="3" t="s">
        <v>182</v>
      </c>
    </row>
    <row r="15" spans="1:30" x14ac:dyDescent="0.4">
      <c r="A15" s="3">
        <f t="shared" si="0"/>
        <v>10</v>
      </c>
      <c r="B15" s="3">
        <f t="shared" si="1"/>
        <v>0</v>
      </c>
      <c r="C15" s="3" t="s">
        <v>3021</v>
      </c>
      <c r="D15" s="3" t="s">
        <v>193</v>
      </c>
      <c r="E15" s="3" t="s">
        <v>180</v>
      </c>
      <c r="F15" s="3" t="s">
        <v>182</v>
      </c>
      <c r="G15" s="3" t="s">
        <v>187</v>
      </c>
      <c r="H15" s="40">
        <v>36494</v>
      </c>
      <c r="I15" s="3">
        <v>267011</v>
      </c>
      <c r="J15" s="3" t="s">
        <v>194</v>
      </c>
      <c r="K15" s="3" t="s">
        <v>2568</v>
      </c>
      <c r="L15" s="3" t="s">
        <v>180</v>
      </c>
      <c r="M15" s="3" t="s">
        <v>2572</v>
      </c>
      <c r="N15" s="3" t="s">
        <v>182</v>
      </c>
      <c r="O15" s="3" t="s">
        <v>182</v>
      </c>
      <c r="P15" s="3"/>
      <c r="Q15" s="3" t="s">
        <v>195</v>
      </c>
      <c r="R15" s="3" t="s">
        <v>182</v>
      </c>
      <c r="S15" s="42">
        <v>4.1666666666666664E-2</v>
      </c>
      <c r="T15" s="3" t="s">
        <v>2561</v>
      </c>
      <c r="U15" s="3" t="s">
        <v>2574</v>
      </c>
      <c r="V15" s="3" t="s">
        <v>180</v>
      </c>
      <c r="W15" s="3" t="s">
        <v>180</v>
      </c>
      <c r="X15" s="3" t="s">
        <v>180</v>
      </c>
      <c r="Y15" s="3" t="s">
        <v>180</v>
      </c>
      <c r="Z15" s="3" t="s">
        <v>180</v>
      </c>
      <c r="AA15" s="3" t="s">
        <v>180</v>
      </c>
      <c r="AB15" s="3" t="s">
        <v>180</v>
      </c>
      <c r="AC15" s="3" t="s">
        <v>180</v>
      </c>
      <c r="AD15" s="3" t="s">
        <v>180</v>
      </c>
    </row>
    <row r="16" spans="1:30" x14ac:dyDescent="0.4">
      <c r="A16" s="3">
        <f t="shared" si="0"/>
        <v>11</v>
      </c>
      <c r="B16" s="3">
        <f t="shared" si="1"/>
        <v>0</v>
      </c>
      <c r="C16" s="3" t="s">
        <v>3021</v>
      </c>
      <c r="D16" s="3" t="s">
        <v>197</v>
      </c>
      <c r="E16" s="3" t="s">
        <v>180</v>
      </c>
      <c r="F16" s="3" t="s">
        <v>179</v>
      </c>
      <c r="G16" s="3" t="s">
        <v>187</v>
      </c>
      <c r="H16" s="40">
        <v>36494</v>
      </c>
      <c r="I16" s="3">
        <v>267011</v>
      </c>
      <c r="J16" s="3" t="s">
        <v>194</v>
      </c>
      <c r="K16" s="3" t="s">
        <v>2575</v>
      </c>
      <c r="L16" s="3" t="s">
        <v>180</v>
      </c>
      <c r="M16" s="3" t="s">
        <v>2576</v>
      </c>
      <c r="N16" s="3" t="s">
        <v>181</v>
      </c>
      <c r="O16" s="3" t="s">
        <v>182</v>
      </c>
      <c r="P16" s="3" t="s">
        <v>2570</v>
      </c>
      <c r="Q16" s="3" t="s">
        <v>195</v>
      </c>
      <c r="R16" s="3" t="s">
        <v>182</v>
      </c>
      <c r="S16" s="42">
        <v>4.1666666666666664E-2</v>
      </c>
      <c r="T16" s="3" t="s">
        <v>2561</v>
      </c>
      <c r="U16" s="3" t="s">
        <v>196</v>
      </c>
      <c r="V16" s="3" t="s">
        <v>180</v>
      </c>
      <c r="W16" s="3" t="s">
        <v>180</v>
      </c>
      <c r="X16" s="3" t="s">
        <v>180</v>
      </c>
      <c r="Y16" s="3" t="s">
        <v>180</v>
      </c>
      <c r="Z16" s="3" t="s">
        <v>180</v>
      </c>
      <c r="AA16" s="3" t="s">
        <v>180</v>
      </c>
      <c r="AB16" s="3" t="s">
        <v>180</v>
      </c>
      <c r="AC16" s="3" t="s">
        <v>180</v>
      </c>
      <c r="AD16" s="3" t="s">
        <v>180</v>
      </c>
    </row>
    <row r="17" spans="1:30" x14ac:dyDescent="0.4">
      <c r="A17" s="3">
        <f t="shared" si="0"/>
        <v>12</v>
      </c>
      <c r="B17" s="3">
        <f t="shared" si="1"/>
        <v>0</v>
      </c>
      <c r="C17" s="3" t="s">
        <v>3021</v>
      </c>
      <c r="D17" s="3" t="s">
        <v>198</v>
      </c>
      <c r="E17" s="3" t="s">
        <v>180</v>
      </c>
      <c r="F17" s="3" t="s">
        <v>179</v>
      </c>
      <c r="G17" s="3" t="s">
        <v>187</v>
      </c>
      <c r="H17" s="40">
        <v>36494</v>
      </c>
      <c r="I17" s="3">
        <v>267011</v>
      </c>
      <c r="J17" s="3" t="s">
        <v>194</v>
      </c>
      <c r="K17" s="3" t="s">
        <v>2568</v>
      </c>
      <c r="L17" s="3" t="s">
        <v>180</v>
      </c>
      <c r="M17" s="3" t="s">
        <v>199</v>
      </c>
      <c r="N17" s="3" t="s">
        <v>181</v>
      </c>
      <c r="O17" s="3" t="s">
        <v>182</v>
      </c>
      <c r="P17" s="3"/>
      <c r="Q17" s="3" t="s">
        <v>200</v>
      </c>
      <c r="R17" s="3" t="s">
        <v>182</v>
      </c>
      <c r="S17" s="3" t="s">
        <v>182</v>
      </c>
      <c r="T17" s="3" t="s">
        <v>2561</v>
      </c>
      <c r="U17" s="3" t="s">
        <v>201</v>
      </c>
      <c r="V17" s="3" t="s">
        <v>180</v>
      </c>
      <c r="W17" s="3" t="s">
        <v>180</v>
      </c>
      <c r="X17" s="3" t="s">
        <v>180</v>
      </c>
      <c r="Y17" s="3" t="s">
        <v>180</v>
      </c>
      <c r="Z17" s="3" t="s">
        <v>180</v>
      </c>
      <c r="AA17" s="3" t="s">
        <v>180</v>
      </c>
      <c r="AB17" s="3" t="s">
        <v>180</v>
      </c>
      <c r="AC17" s="3" t="s">
        <v>180</v>
      </c>
      <c r="AD17" s="3" t="s">
        <v>180</v>
      </c>
    </row>
    <row r="18" spans="1:30" x14ac:dyDescent="0.4">
      <c r="A18" s="3">
        <f t="shared" si="0"/>
        <v>13</v>
      </c>
      <c r="B18" s="3">
        <f t="shared" si="1"/>
        <v>0</v>
      </c>
      <c r="C18" s="3" t="s">
        <v>3021</v>
      </c>
      <c r="D18" s="3" t="s">
        <v>198</v>
      </c>
      <c r="E18" s="3" t="s">
        <v>180</v>
      </c>
      <c r="F18" s="3" t="s">
        <v>179</v>
      </c>
      <c r="G18" s="3" t="s">
        <v>187</v>
      </c>
      <c r="H18" s="40">
        <v>36494</v>
      </c>
      <c r="I18" s="3">
        <v>267011</v>
      </c>
      <c r="J18" s="3" t="s">
        <v>194</v>
      </c>
      <c r="K18" s="3" t="s">
        <v>2568</v>
      </c>
      <c r="L18" s="3" t="s">
        <v>180</v>
      </c>
      <c r="M18" s="3" t="s">
        <v>199</v>
      </c>
      <c r="N18" s="3" t="s">
        <v>181</v>
      </c>
      <c r="O18" s="3" t="s">
        <v>182</v>
      </c>
      <c r="P18" s="3"/>
      <c r="Q18" s="3" t="s">
        <v>200</v>
      </c>
      <c r="R18" s="3" t="s">
        <v>182</v>
      </c>
      <c r="S18" s="3" t="s">
        <v>182</v>
      </c>
      <c r="T18" s="3" t="s">
        <v>2561</v>
      </c>
      <c r="U18" s="3" t="s">
        <v>201</v>
      </c>
      <c r="V18" s="3" t="s">
        <v>180</v>
      </c>
      <c r="W18" s="3" t="s">
        <v>180</v>
      </c>
      <c r="X18" s="3" t="s">
        <v>180</v>
      </c>
      <c r="Y18" s="3" t="s">
        <v>180</v>
      </c>
      <c r="Z18" s="3" t="s">
        <v>180</v>
      </c>
      <c r="AA18" s="3" t="s">
        <v>180</v>
      </c>
      <c r="AB18" s="3" t="s">
        <v>180</v>
      </c>
      <c r="AC18" s="3" t="s">
        <v>180</v>
      </c>
      <c r="AD18" s="3" t="s">
        <v>180</v>
      </c>
    </row>
    <row r="19" spans="1:30" x14ac:dyDescent="0.4">
      <c r="A19" s="3">
        <f t="shared" si="0"/>
        <v>14</v>
      </c>
      <c r="B19" s="3">
        <f t="shared" si="1"/>
        <v>0</v>
      </c>
      <c r="C19" s="3" t="s">
        <v>3021</v>
      </c>
      <c r="D19" s="3" t="s">
        <v>202</v>
      </c>
      <c r="E19" s="3" t="s">
        <v>180</v>
      </c>
      <c r="F19" s="3" t="s">
        <v>182</v>
      </c>
      <c r="G19" s="3" t="s">
        <v>187</v>
      </c>
      <c r="H19" s="40">
        <v>36494</v>
      </c>
      <c r="I19" s="3">
        <v>267011</v>
      </c>
      <c r="J19" s="3" t="s">
        <v>194</v>
      </c>
      <c r="K19" s="3" t="s">
        <v>203</v>
      </c>
      <c r="L19" s="3" t="s">
        <v>180</v>
      </c>
      <c r="M19" s="3" t="s">
        <v>2577</v>
      </c>
      <c r="N19" s="3" t="s">
        <v>182</v>
      </c>
      <c r="O19" s="3" t="s">
        <v>182</v>
      </c>
      <c r="P19" s="3"/>
      <c r="Q19" s="3" t="s">
        <v>86</v>
      </c>
      <c r="R19" s="3" t="s">
        <v>182</v>
      </c>
      <c r="S19" s="41">
        <v>3</v>
      </c>
      <c r="T19" s="3" t="s">
        <v>2561</v>
      </c>
      <c r="U19" s="3" t="s">
        <v>188</v>
      </c>
      <c r="V19" s="3" t="s">
        <v>180</v>
      </c>
      <c r="W19" s="3" t="s">
        <v>180</v>
      </c>
      <c r="X19" s="3" t="s">
        <v>180</v>
      </c>
      <c r="Y19" s="3" t="s">
        <v>180</v>
      </c>
      <c r="Z19" s="3" t="s">
        <v>180</v>
      </c>
      <c r="AA19" s="3" t="s">
        <v>180</v>
      </c>
      <c r="AB19" s="3" t="s">
        <v>180</v>
      </c>
      <c r="AC19" s="3" t="s">
        <v>180</v>
      </c>
      <c r="AD19" s="3" t="s">
        <v>180</v>
      </c>
    </row>
    <row r="20" spans="1:30" x14ac:dyDescent="0.4">
      <c r="A20" s="3">
        <f t="shared" si="0"/>
        <v>15</v>
      </c>
      <c r="B20" s="3">
        <f t="shared" si="1"/>
        <v>0</v>
      </c>
      <c r="C20" s="3" t="s">
        <v>3021</v>
      </c>
      <c r="D20" s="3" t="s">
        <v>204</v>
      </c>
      <c r="E20" s="3" t="s">
        <v>180</v>
      </c>
      <c r="F20" s="3" t="s">
        <v>182</v>
      </c>
      <c r="G20" s="3" t="s">
        <v>187</v>
      </c>
      <c r="H20" s="40">
        <v>36494</v>
      </c>
      <c r="I20" s="3">
        <v>267011</v>
      </c>
      <c r="J20" s="3" t="s">
        <v>194</v>
      </c>
      <c r="K20" s="3" t="s">
        <v>205</v>
      </c>
      <c r="L20" s="3" t="s">
        <v>180</v>
      </c>
      <c r="M20" s="3" t="s">
        <v>2578</v>
      </c>
      <c r="N20" s="3" t="s">
        <v>182</v>
      </c>
      <c r="O20" s="3" t="s">
        <v>2579</v>
      </c>
      <c r="P20" s="3" t="s">
        <v>2566</v>
      </c>
      <c r="Q20" s="3" t="s">
        <v>200</v>
      </c>
      <c r="R20" s="3" t="s">
        <v>182</v>
      </c>
      <c r="S20" s="41">
        <v>3</v>
      </c>
      <c r="T20" s="3" t="s">
        <v>2561</v>
      </c>
      <c r="U20" s="3" t="s">
        <v>206</v>
      </c>
      <c r="V20" s="3" t="s">
        <v>180</v>
      </c>
      <c r="W20" s="3" t="s">
        <v>180</v>
      </c>
      <c r="X20" s="3" t="s">
        <v>180</v>
      </c>
      <c r="Y20" s="3" t="s">
        <v>180</v>
      </c>
      <c r="Z20" s="3" t="s">
        <v>180</v>
      </c>
      <c r="AA20" s="3" t="s">
        <v>180</v>
      </c>
      <c r="AB20" s="3" t="s">
        <v>180</v>
      </c>
      <c r="AC20" s="3" t="s">
        <v>180</v>
      </c>
      <c r="AD20" s="3" t="s">
        <v>180</v>
      </c>
    </row>
    <row r="21" spans="1:30" x14ac:dyDescent="0.4">
      <c r="A21" s="3">
        <f t="shared" si="0"/>
        <v>16</v>
      </c>
      <c r="B21" s="3">
        <f t="shared" si="1"/>
        <v>0</v>
      </c>
      <c r="C21" s="3" t="s">
        <v>3021</v>
      </c>
      <c r="D21" s="3" t="s">
        <v>207</v>
      </c>
      <c r="E21" s="40">
        <v>44729.138738425929</v>
      </c>
      <c r="F21" s="3" t="s">
        <v>2580</v>
      </c>
      <c r="G21" s="3" t="s">
        <v>187</v>
      </c>
      <c r="H21" s="40">
        <v>44728.692511574074</v>
      </c>
      <c r="I21" s="3">
        <v>0</v>
      </c>
      <c r="J21" s="3" t="s">
        <v>194</v>
      </c>
      <c r="K21" s="3" t="s">
        <v>208</v>
      </c>
      <c r="L21" s="3" t="s">
        <v>180</v>
      </c>
      <c r="M21" s="3" t="s">
        <v>2581</v>
      </c>
      <c r="N21" s="3" t="s">
        <v>181</v>
      </c>
      <c r="O21" s="3" t="s">
        <v>182</v>
      </c>
      <c r="P21" s="3"/>
      <c r="Q21" s="3" t="s">
        <v>86</v>
      </c>
      <c r="R21" s="3" t="s">
        <v>182</v>
      </c>
      <c r="S21" s="41">
        <v>4</v>
      </c>
      <c r="T21" s="3" t="s">
        <v>2561</v>
      </c>
      <c r="U21" s="3" t="s">
        <v>209</v>
      </c>
      <c r="V21" s="42">
        <v>0.125</v>
      </c>
      <c r="W21" s="43">
        <v>39692</v>
      </c>
      <c r="X21" s="3" t="s">
        <v>180</v>
      </c>
      <c r="Y21" s="3" t="s">
        <v>180</v>
      </c>
      <c r="Z21" s="3" t="s">
        <v>180</v>
      </c>
      <c r="AA21" s="3" t="s">
        <v>210</v>
      </c>
      <c r="AB21" s="3" t="s">
        <v>211</v>
      </c>
      <c r="AC21" s="3" t="s">
        <v>182</v>
      </c>
      <c r="AD21" s="3" t="s">
        <v>182</v>
      </c>
    </row>
    <row r="22" spans="1:30" x14ac:dyDescent="0.4">
      <c r="A22" s="3">
        <f t="shared" si="0"/>
        <v>17</v>
      </c>
      <c r="B22" s="3">
        <f t="shared" si="1"/>
        <v>0</v>
      </c>
      <c r="C22" s="3" t="s">
        <v>3021</v>
      </c>
      <c r="D22" s="3" t="s">
        <v>207</v>
      </c>
      <c r="E22" s="40">
        <v>44729.149513888886</v>
      </c>
      <c r="F22" s="3" t="s">
        <v>2580</v>
      </c>
      <c r="G22" s="3" t="s">
        <v>187</v>
      </c>
      <c r="H22" s="40">
        <v>44728.692511574074</v>
      </c>
      <c r="I22" s="3">
        <v>0</v>
      </c>
      <c r="J22" s="3" t="s">
        <v>194</v>
      </c>
      <c r="K22" s="3" t="s">
        <v>208</v>
      </c>
      <c r="L22" s="3" t="s">
        <v>180</v>
      </c>
      <c r="M22" s="3" t="s">
        <v>2581</v>
      </c>
      <c r="N22" s="3" t="s">
        <v>181</v>
      </c>
      <c r="O22" s="3" t="s">
        <v>182</v>
      </c>
      <c r="P22" s="3"/>
      <c r="Q22" s="3" t="s">
        <v>86</v>
      </c>
      <c r="R22" s="3" t="s">
        <v>182</v>
      </c>
      <c r="S22" s="41">
        <v>4</v>
      </c>
      <c r="T22" s="3" t="s">
        <v>2561</v>
      </c>
      <c r="U22" s="3" t="s">
        <v>201</v>
      </c>
      <c r="V22" s="3" t="s">
        <v>180</v>
      </c>
      <c r="W22" s="3" t="s">
        <v>180</v>
      </c>
      <c r="X22" s="3" t="s">
        <v>180</v>
      </c>
      <c r="Y22" s="3" t="s">
        <v>180</v>
      </c>
      <c r="Z22" s="3" t="s">
        <v>180</v>
      </c>
      <c r="AA22" s="3" t="s">
        <v>180</v>
      </c>
      <c r="AB22" s="3" t="s">
        <v>180</v>
      </c>
      <c r="AC22" s="3" t="s">
        <v>180</v>
      </c>
      <c r="AD22" s="3" t="s">
        <v>180</v>
      </c>
    </row>
    <row r="23" spans="1:30" x14ac:dyDescent="0.4">
      <c r="A23" s="3">
        <f t="shared" si="0"/>
        <v>18</v>
      </c>
      <c r="B23" s="3">
        <f t="shared" si="1"/>
        <v>0</v>
      </c>
      <c r="C23" s="3" t="s">
        <v>3021</v>
      </c>
      <c r="D23" s="3" t="s">
        <v>207</v>
      </c>
      <c r="E23" s="40">
        <v>44729.185671296298</v>
      </c>
      <c r="F23" s="3" t="s">
        <v>2580</v>
      </c>
      <c r="G23" s="3" t="s">
        <v>187</v>
      </c>
      <c r="H23" s="40">
        <v>44728.692511574074</v>
      </c>
      <c r="I23" s="3">
        <v>0</v>
      </c>
      <c r="J23" s="3" t="s">
        <v>194</v>
      </c>
      <c r="K23" s="3" t="s">
        <v>208</v>
      </c>
      <c r="L23" s="3" t="s">
        <v>180</v>
      </c>
      <c r="M23" s="3" t="s">
        <v>2581</v>
      </c>
      <c r="N23" s="3" t="s">
        <v>181</v>
      </c>
      <c r="O23" s="3" t="s">
        <v>182</v>
      </c>
      <c r="P23" s="3"/>
      <c r="Q23" s="3" t="s">
        <v>86</v>
      </c>
      <c r="R23" s="3" t="s">
        <v>182</v>
      </c>
      <c r="S23" s="41">
        <v>4</v>
      </c>
      <c r="T23" s="3" t="s">
        <v>2561</v>
      </c>
      <c r="U23" s="3" t="s">
        <v>201</v>
      </c>
      <c r="V23" s="3" t="s">
        <v>180</v>
      </c>
      <c r="W23" s="3" t="s">
        <v>180</v>
      </c>
      <c r="X23" s="3" t="s">
        <v>180</v>
      </c>
      <c r="Y23" s="3" t="s">
        <v>180</v>
      </c>
      <c r="Z23" s="3" t="s">
        <v>180</v>
      </c>
      <c r="AA23" s="3" t="s">
        <v>180</v>
      </c>
      <c r="AB23" s="3" t="s">
        <v>180</v>
      </c>
      <c r="AC23" s="3" t="s">
        <v>180</v>
      </c>
      <c r="AD23" s="3" t="s">
        <v>180</v>
      </c>
    </row>
    <row r="24" spans="1:30" x14ac:dyDescent="0.4">
      <c r="A24" s="3">
        <f t="shared" si="0"/>
        <v>19</v>
      </c>
      <c r="B24" s="3">
        <f t="shared" si="1"/>
        <v>0</v>
      </c>
      <c r="C24" s="3" t="s">
        <v>3021</v>
      </c>
      <c r="D24" s="3" t="s">
        <v>2582</v>
      </c>
      <c r="E24" s="40">
        <v>44729.135925925926</v>
      </c>
      <c r="F24" s="3" t="s">
        <v>179</v>
      </c>
      <c r="G24" s="3" t="s">
        <v>187</v>
      </c>
      <c r="H24" s="40">
        <v>44728.692511574074</v>
      </c>
      <c r="I24" s="3">
        <v>0</v>
      </c>
      <c r="J24" s="3" t="s">
        <v>194</v>
      </c>
      <c r="K24" s="3" t="s">
        <v>2583</v>
      </c>
      <c r="L24" s="3" t="s">
        <v>180</v>
      </c>
      <c r="M24" s="3" t="s">
        <v>2584</v>
      </c>
      <c r="N24" s="3" t="s">
        <v>181</v>
      </c>
      <c r="O24" s="3" t="s">
        <v>182</v>
      </c>
      <c r="P24" s="3"/>
      <c r="Q24" s="3" t="s">
        <v>86</v>
      </c>
      <c r="R24" s="3" t="s">
        <v>182</v>
      </c>
      <c r="S24" s="41">
        <v>1</v>
      </c>
      <c r="T24" s="3" t="s">
        <v>2585</v>
      </c>
      <c r="U24" s="3" t="s">
        <v>209</v>
      </c>
      <c r="V24" s="42">
        <v>0.125</v>
      </c>
      <c r="W24" s="43">
        <v>39692</v>
      </c>
      <c r="X24" s="3" t="s">
        <v>180</v>
      </c>
      <c r="Y24" s="3" t="s">
        <v>180</v>
      </c>
      <c r="Z24" s="3" t="s">
        <v>180</v>
      </c>
      <c r="AA24" s="3" t="s">
        <v>398</v>
      </c>
      <c r="AB24" s="3" t="s">
        <v>211</v>
      </c>
      <c r="AC24" s="3" t="s">
        <v>182</v>
      </c>
      <c r="AD24" s="3" t="s">
        <v>182</v>
      </c>
    </row>
    <row r="25" spans="1:30" x14ac:dyDescent="0.4">
      <c r="A25" s="3">
        <f t="shared" si="0"/>
        <v>20</v>
      </c>
      <c r="B25" s="3">
        <f t="shared" si="1"/>
        <v>0</v>
      </c>
      <c r="C25" s="3" t="s">
        <v>3021</v>
      </c>
      <c r="D25" s="3" t="s">
        <v>212</v>
      </c>
      <c r="E25" s="3" t="s">
        <v>180</v>
      </c>
      <c r="F25" s="3" t="s">
        <v>179</v>
      </c>
      <c r="G25" s="3" t="s">
        <v>187</v>
      </c>
      <c r="H25" s="40">
        <v>44728.690995370373</v>
      </c>
      <c r="I25" s="3">
        <v>0</v>
      </c>
      <c r="J25" s="3" t="s">
        <v>194</v>
      </c>
      <c r="K25" s="3" t="s">
        <v>213</v>
      </c>
      <c r="L25" s="3" t="s">
        <v>180</v>
      </c>
      <c r="M25" s="3" t="s">
        <v>2586</v>
      </c>
      <c r="N25" s="3" t="s">
        <v>181</v>
      </c>
      <c r="O25" s="3" t="s">
        <v>182</v>
      </c>
      <c r="P25" s="3" t="s">
        <v>2566</v>
      </c>
      <c r="Q25" s="3" t="s">
        <v>86</v>
      </c>
      <c r="R25" s="3" t="s">
        <v>182</v>
      </c>
      <c r="S25" s="41">
        <v>3</v>
      </c>
      <c r="T25" s="3" t="s">
        <v>2561</v>
      </c>
      <c r="U25" s="3" t="s">
        <v>188</v>
      </c>
      <c r="V25" s="3" t="s">
        <v>180</v>
      </c>
      <c r="W25" s="3" t="s">
        <v>180</v>
      </c>
      <c r="X25" s="3" t="s">
        <v>180</v>
      </c>
      <c r="Y25" s="3" t="s">
        <v>180</v>
      </c>
      <c r="Z25" s="3" t="s">
        <v>180</v>
      </c>
      <c r="AA25" s="3" t="s">
        <v>180</v>
      </c>
      <c r="AB25" s="3" t="s">
        <v>180</v>
      </c>
      <c r="AC25" s="3" t="s">
        <v>180</v>
      </c>
      <c r="AD25" s="3" t="s">
        <v>180</v>
      </c>
    </row>
    <row r="26" spans="1:30" x14ac:dyDescent="0.4">
      <c r="A26" s="3">
        <f t="shared" si="0"/>
        <v>21</v>
      </c>
      <c r="B26" s="3">
        <f t="shared" si="1"/>
        <v>0</v>
      </c>
      <c r="C26" s="3" t="s">
        <v>3021</v>
      </c>
      <c r="D26" s="3" t="s">
        <v>214</v>
      </c>
      <c r="E26" s="3" t="s">
        <v>180</v>
      </c>
      <c r="F26" s="3" t="s">
        <v>179</v>
      </c>
      <c r="G26" s="3" t="s">
        <v>187</v>
      </c>
      <c r="H26" s="40">
        <v>44728.690995370373</v>
      </c>
      <c r="I26" s="3">
        <v>0</v>
      </c>
      <c r="J26" s="3" t="s">
        <v>194</v>
      </c>
      <c r="K26" s="3" t="s">
        <v>215</v>
      </c>
      <c r="L26" s="3" t="s">
        <v>180</v>
      </c>
      <c r="M26" s="3" t="s">
        <v>2587</v>
      </c>
      <c r="N26" s="3" t="s">
        <v>181</v>
      </c>
      <c r="O26" s="3" t="s">
        <v>182</v>
      </c>
      <c r="P26" s="3" t="s">
        <v>2566</v>
      </c>
      <c r="Q26" s="3" t="s">
        <v>216</v>
      </c>
      <c r="R26" s="3" t="s">
        <v>182</v>
      </c>
      <c r="S26" s="41">
        <v>3</v>
      </c>
      <c r="T26" s="3" t="s">
        <v>2561</v>
      </c>
      <c r="U26" s="3" t="s">
        <v>188</v>
      </c>
      <c r="V26" s="3" t="s">
        <v>180</v>
      </c>
      <c r="W26" s="3" t="s">
        <v>180</v>
      </c>
      <c r="X26" s="3" t="s">
        <v>180</v>
      </c>
      <c r="Y26" s="3" t="s">
        <v>180</v>
      </c>
      <c r="Z26" s="3" t="s">
        <v>180</v>
      </c>
      <c r="AA26" s="3" t="s">
        <v>180</v>
      </c>
      <c r="AB26" s="3" t="s">
        <v>180</v>
      </c>
      <c r="AC26" s="3" t="s">
        <v>180</v>
      </c>
      <c r="AD26" s="3" t="s">
        <v>180</v>
      </c>
    </row>
    <row r="27" spans="1:30" x14ac:dyDescent="0.4">
      <c r="A27" s="3">
        <f t="shared" si="0"/>
        <v>22</v>
      </c>
      <c r="B27" s="3">
        <f t="shared" si="1"/>
        <v>0</v>
      </c>
      <c r="C27" s="3" t="s">
        <v>3021</v>
      </c>
      <c r="D27" s="3" t="s">
        <v>217</v>
      </c>
      <c r="E27" s="3" t="s">
        <v>180</v>
      </c>
      <c r="F27" s="3" t="s">
        <v>179</v>
      </c>
      <c r="G27" s="3" t="s">
        <v>187</v>
      </c>
      <c r="H27" s="40">
        <v>44728.690995370373</v>
      </c>
      <c r="I27" s="3">
        <v>0</v>
      </c>
      <c r="J27" s="3" t="s">
        <v>194</v>
      </c>
      <c r="K27" s="3" t="s">
        <v>218</v>
      </c>
      <c r="L27" s="3" t="s">
        <v>180</v>
      </c>
      <c r="M27" s="3" t="s">
        <v>2588</v>
      </c>
      <c r="N27" s="3" t="s">
        <v>181</v>
      </c>
      <c r="O27" s="3" t="s">
        <v>182</v>
      </c>
      <c r="P27" s="3"/>
      <c r="Q27" s="3" t="s">
        <v>216</v>
      </c>
      <c r="R27" s="3" t="s">
        <v>182</v>
      </c>
      <c r="S27" s="42">
        <v>1.0416666666666666E-2</v>
      </c>
      <c r="T27" s="3" t="s">
        <v>2589</v>
      </c>
      <c r="U27" s="3" t="s">
        <v>188</v>
      </c>
      <c r="V27" s="3" t="s">
        <v>180</v>
      </c>
      <c r="W27" s="3" t="s">
        <v>180</v>
      </c>
      <c r="X27" s="3" t="s">
        <v>180</v>
      </c>
      <c r="Y27" s="3" t="s">
        <v>180</v>
      </c>
      <c r="Z27" s="3" t="s">
        <v>180</v>
      </c>
      <c r="AA27" s="3" t="s">
        <v>180</v>
      </c>
      <c r="AB27" s="3" t="s">
        <v>180</v>
      </c>
      <c r="AC27" s="3" t="s">
        <v>180</v>
      </c>
      <c r="AD27" s="3" t="s">
        <v>180</v>
      </c>
    </row>
    <row r="28" spans="1:30" x14ac:dyDescent="0.4">
      <c r="A28" s="3">
        <f t="shared" si="0"/>
        <v>23</v>
      </c>
      <c r="B28" s="3">
        <f t="shared" si="1"/>
        <v>0</v>
      </c>
      <c r="C28" s="3" t="s">
        <v>3021</v>
      </c>
      <c r="D28" s="3" t="s">
        <v>220</v>
      </c>
      <c r="E28" s="3" t="s">
        <v>180</v>
      </c>
      <c r="F28" s="3" t="s">
        <v>179</v>
      </c>
      <c r="G28" s="3" t="s">
        <v>187</v>
      </c>
      <c r="H28" s="40">
        <v>36494</v>
      </c>
      <c r="I28" s="3">
        <v>267011</v>
      </c>
      <c r="J28" s="3" t="s">
        <v>194</v>
      </c>
      <c r="K28" s="3" t="s">
        <v>218</v>
      </c>
      <c r="L28" s="3" t="s">
        <v>180</v>
      </c>
      <c r="M28" s="3" t="s">
        <v>219</v>
      </c>
      <c r="N28" s="3" t="s">
        <v>181</v>
      </c>
      <c r="O28" s="3" t="s">
        <v>182</v>
      </c>
      <c r="P28" s="3"/>
      <c r="Q28" s="3" t="s">
        <v>216</v>
      </c>
      <c r="R28" s="3" t="s">
        <v>182</v>
      </c>
      <c r="S28" s="42">
        <v>1.0416666666666666E-2</v>
      </c>
      <c r="T28" s="3" t="s">
        <v>2561</v>
      </c>
      <c r="U28" s="3" t="s">
        <v>201</v>
      </c>
      <c r="V28" s="3" t="s">
        <v>180</v>
      </c>
      <c r="W28" s="3" t="s">
        <v>180</v>
      </c>
      <c r="X28" s="3" t="s">
        <v>180</v>
      </c>
      <c r="Y28" s="3" t="s">
        <v>180</v>
      </c>
      <c r="Z28" s="3" t="s">
        <v>180</v>
      </c>
      <c r="AA28" s="3" t="s">
        <v>180</v>
      </c>
      <c r="AB28" s="3" t="s">
        <v>180</v>
      </c>
      <c r="AC28" s="3" t="s">
        <v>180</v>
      </c>
      <c r="AD28" s="3" t="s">
        <v>180</v>
      </c>
    </row>
    <row r="29" spans="1:30" x14ac:dyDescent="0.4">
      <c r="A29" s="3">
        <f t="shared" si="0"/>
        <v>24</v>
      </c>
      <c r="B29" s="3">
        <f t="shared" si="1"/>
        <v>0</v>
      </c>
      <c r="C29" s="3" t="s">
        <v>3021</v>
      </c>
      <c r="D29" s="3" t="s">
        <v>221</v>
      </c>
      <c r="E29" s="3" t="s">
        <v>180</v>
      </c>
      <c r="F29" s="3" t="s">
        <v>179</v>
      </c>
      <c r="G29" s="3" t="s">
        <v>187</v>
      </c>
      <c r="H29" s="40">
        <v>44728.690995370373</v>
      </c>
      <c r="I29" s="3">
        <v>0</v>
      </c>
      <c r="J29" s="3" t="s">
        <v>194</v>
      </c>
      <c r="K29" s="3" t="s">
        <v>222</v>
      </c>
      <c r="L29" s="3" t="s">
        <v>180</v>
      </c>
      <c r="M29" s="3" t="s">
        <v>223</v>
      </c>
      <c r="N29" s="3" t="s">
        <v>181</v>
      </c>
      <c r="O29" s="3" t="s">
        <v>182</v>
      </c>
      <c r="P29" s="3" t="s">
        <v>2590</v>
      </c>
      <c r="Q29" s="3" t="s">
        <v>86</v>
      </c>
      <c r="R29" s="3" t="s">
        <v>182</v>
      </c>
      <c r="S29" s="41">
        <v>3</v>
      </c>
      <c r="T29" s="3" t="s">
        <v>2561</v>
      </c>
      <c r="U29" s="3" t="s">
        <v>188</v>
      </c>
      <c r="V29" s="3" t="s">
        <v>180</v>
      </c>
      <c r="W29" s="3" t="s">
        <v>180</v>
      </c>
      <c r="X29" s="3" t="s">
        <v>180</v>
      </c>
      <c r="Y29" s="3" t="s">
        <v>180</v>
      </c>
      <c r="Z29" s="3" t="s">
        <v>180</v>
      </c>
      <c r="AA29" s="3" t="s">
        <v>180</v>
      </c>
      <c r="AB29" s="3" t="s">
        <v>180</v>
      </c>
      <c r="AC29" s="3" t="s">
        <v>180</v>
      </c>
      <c r="AD29" s="3" t="s">
        <v>180</v>
      </c>
    </row>
    <row r="30" spans="1:30" x14ac:dyDescent="0.4">
      <c r="A30" s="3">
        <f t="shared" si="0"/>
        <v>25</v>
      </c>
      <c r="B30" s="3">
        <f t="shared" si="1"/>
        <v>0</v>
      </c>
      <c r="C30" s="3" t="s">
        <v>3021</v>
      </c>
      <c r="D30" s="3" t="s">
        <v>224</v>
      </c>
      <c r="E30" s="3" t="s">
        <v>180</v>
      </c>
      <c r="F30" s="3" t="s">
        <v>179</v>
      </c>
      <c r="G30" s="3" t="s">
        <v>187</v>
      </c>
      <c r="H30" s="40">
        <v>44728.690995370373</v>
      </c>
      <c r="I30" s="3">
        <v>0</v>
      </c>
      <c r="J30" s="3" t="s">
        <v>194</v>
      </c>
      <c r="K30" s="3" t="s">
        <v>225</v>
      </c>
      <c r="L30" s="3" t="s">
        <v>180</v>
      </c>
      <c r="M30" s="3" t="s">
        <v>2591</v>
      </c>
      <c r="N30" s="3" t="s">
        <v>181</v>
      </c>
      <c r="O30" s="3" t="s">
        <v>182</v>
      </c>
      <c r="P30" s="3" t="s">
        <v>2566</v>
      </c>
      <c r="Q30" s="3" t="s">
        <v>86</v>
      </c>
      <c r="R30" s="3" t="s">
        <v>182</v>
      </c>
      <c r="S30" s="41">
        <v>3</v>
      </c>
      <c r="T30" s="3" t="s">
        <v>2592</v>
      </c>
      <c r="U30" s="3" t="s">
        <v>188</v>
      </c>
      <c r="V30" s="3" t="s">
        <v>180</v>
      </c>
      <c r="W30" s="3" t="s">
        <v>180</v>
      </c>
      <c r="X30" s="3" t="s">
        <v>180</v>
      </c>
      <c r="Y30" s="3" t="s">
        <v>180</v>
      </c>
      <c r="Z30" s="3" t="s">
        <v>180</v>
      </c>
      <c r="AA30" s="3" t="s">
        <v>180</v>
      </c>
      <c r="AB30" s="3" t="s">
        <v>180</v>
      </c>
      <c r="AC30" s="3" t="s">
        <v>180</v>
      </c>
      <c r="AD30" s="3" t="s">
        <v>180</v>
      </c>
    </row>
    <row r="31" spans="1:30" x14ac:dyDescent="0.4">
      <c r="A31" s="3">
        <f t="shared" si="0"/>
        <v>26</v>
      </c>
      <c r="B31" s="3">
        <f t="shared" si="1"/>
        <v>0</v>
      </c>
      <c r="C31" s="3" t="s">
        <v>3021</v>
      </c>
      <c r="D31" s="3" t="s">
        <v>226</v>
      </c>
      <c r="E31" s="3" t="s">
        <v>180</v>
      </c>
      <c r="F31" s="3" t="s">
        <v>182</v>
      </c>
      <c r="G31" s="3" t="s">
        <v>187</v>
      </c>
      <c r="H31" s="40">
        <v>44710.624131944445</v>
      </c>
      <c r="I31" s="3">
        <v>0</v>
      </c>
      <c r="J31" s="3" t="s">
        <v>180</v>
      </c>
      <c r="K31" s="3" t="s">
        <v>227</v>
      </c>
      <c r="L31" s="3" t="s">
        <v>180</v>
      </c>
      <c r="M31" s="3" t="s">
        <v>180</v>
      </c>
      <c r="N31" s="3" t="s">
        <v>182</v>
      </c>
      <c r="O31" s="3" t="s">
        <v>228</v>
      </c>
      <c r="P31" s="3" t="s">
        <v>2566</v>
      </c>
      <c r="Q31" s="3" t="s">
        <v>86</v>
      </c>
      <c r="R31" s="3" t="s">
        <v>182</v>
      </c>
      <c r="S31" s="3" t="s">
        <v>182</v>
      </c>
      <c r="T31" s="3" t="s">
        <v>2561</v>
      </c>
      <c r="U31" s="3" t="s">
        <v>196</v>
      </c>
      <c r="V31" s="3" t="s">
        <v>180</v>
      </c>
      <c r="W31" s="3" t="s">
        <v>180</v>
      </c>
      <c r="X31" s="3" t="s">
        <v>180</v>
      </c>
      <c r="Y31" s="3" t="s">
        <v>180</v>
      </c>
      <c r="Z31" s="3" t="s">
        <v>180</v>
      </c>
      <c r="AA31" s="3" t="s">
        <v>180</v>
      </c>
      <c r="AB31" s="3" t="s">
        <v>180</v>
      </c>
      <c r="AC31" s="3" t="s">
        <v>180</v>
      </c>
      <c r="AD31" s="3" t="s">
        <v>180</v>
      </c>
    </row>
    <row r="32" spans="1:30" x14ac:dyDescent="0.4">
      <c r="A32" s="3">
        <f t="shared" si="0"/>
        <v>27</v>
      </c>
      <c r="B32" s="3">
        <f t="shared" si="1"/>
        <v>0</v>
      </c>
      <c r="C32" s="3" t="s">
        <v>3021</v>
      </c>
      <c r="D32" s="3" t="s">
        <v>229</v>
      </c>
      <c r="E32" s="3" t="s">
        <v>180</v>
      </c>
      <c r="F32" s="3" t="s">
        <v>179</v>
      </c>
      <c r="G32" s="3" t="s">
        <v>187</v>
      </c>
      <c r="H32" s="40">
        <v>44710.644953703704</v>
      </c>
      <c r="I32" s="3">
        <v>0</v>
      </c>
      <c r="J32" s="3" t="s">
        <v>194</v>
      </c>
      <c r="K32" s="3" t="s">
        <v>230</v>
      </c>
      <c r="L32" s="3" t="s">
        <v>180</v>
      </c>
      <c r="M32" s="3" t="s">
        <v>2593</v>
      </c>
      <c r="N32" s="3" t="s">
        <v>2594</v>
      </c>
      <c r="O32" s="3" t="s">
        <v>231</v>
      </c>
      <c r="P32" s="3"/>
      <c r="Q32" s="3" t="s">
        <v>86</v>
      </c>
      <c r="R32" s="3" t="s">
        <v>182</v>
      </c>
      <c r="S32" s="41">
        <v>3</v>
      </c>
      <c r="T32" s="3" t="s">
        <v>2595</v>
      </c>
      <c r="U32" s="3" t="s">
        <v>206</v>
      </c>
      <c r="V32" s="3" t="s">
        <v>180</v>
      </c>
      <c r="W32" s="3" t="s">
        <v>180</v>
      </c>
      <c r="X32" s="3" t="s">
        <v>180</v>
      </c>
      <c r="Y32" s="3" t="s">
        <v>180</v>
      </c>
      <c r="Z32" s="3" t="s">
        <v>180</v>
      </c>
      <c r="AA32" s="3" t="s">
        <v>180</v>
      </c>
      <c r="AB32" s="3" t="s">
        <v>180</v>
      </c>
      <c r="AC32" s="3" t="s">
        <v>180</v>
      </c>
      <c r="AD32" s="3" t="s">
        <v>180</v>
      </c>
    </row>
    <row r="33" spans="1:30" x14ac:dyDescent="0.4">
      <c r="A33" s="3">
        <f t="shared" si="0"/>
        <v>28</v>
      </c>
      <c r="B33" s="3">
        <f t="shared" si="1"/>
        <v>0</v>
      </c>
      <c r="C33" s="3" t="s">
        <v>3021</v>
      </c>
      <c r="D33" s="3" t="s">
        <v>232</v>
      </c>
      <c r="E33" s="3" t="s">
        <v>180</v>
      </c>
      <c r="F33" s="3" t="s">
        <v>179</v>
      </c>
      <c r="G33" s="3" t="s">
        <v>187</v>
      </c>
      <c r="H33" s="40">
        <v>36494</v>
      </c>
      <c r="I33" s="3">
        <v>267011</v>
      </c>
      <c r="J33" s="3" t="s">
        <v>180</v>
      </c>
      <c r="K33" s="3" t="s">
        <v>2568</v>
      </c>
      <c r="L33" s="3" t="s">
        <v>180</v>
      </c>
      <c r="M33" s="3" t="s">
        <v>180</v>
      </c>
      <c r="N33" s="3" t="s">
        <v>181</v>
      </c>
      <c r="O33" s="3" t="s">
        <v>182</v>
      </c>
      <c r="P33" s="3"/>
      <c r="Q33" s="3" t="s">
        <v>216</v>
      </c>
      <c r="R33" s="3" t="s">
        <v>182</v>
      </c>
      <c r="S33" s="41">
        <v>3</v>
      </c>
      <c r="T33" s="3" t="s">
        <v>2596</v>
      </c>
      <c r="U33" s="3" t="s">
        <v>201</v>
      </c>
      <c r="V33" s="3" t="s">
        <v>180</v>
      </c>
      <c r="W33" s="3" t="s">
        <v>180</v>
      </c>
      <c r="X33" s="3" t="s">
        <v>180</v>
      </c>
      <c r="Y33" s="3" t="s">
        <v>180</v>
      </c>
      <c r="Z33" s="3" t="s">
        <v>180</v>
      </c>
      <c r="AA33" s="3" t="s">
        <v>180</v>
      </c>
      <c r="AB33" s="3" t="s">
        <v>180</v>
      </c>
      <c r="AC33" s="3" t="s">
        <v>180</v>
      </c>
      <c r="AD33" s="3" t="s">
        <v>180</v>
      </c>
    </row>
    <row r="34" spans="1:30" x14ac:dyDescent="0.4">
      <c r="A34" s="3">
        <f t="shared" si="0"/>
        <v>29</v>
      </c>
      <c r="B34" s="3">
        <f t="shared" si="1"/>
        <v>0</v>
      </c>
      <c r="C34" s="3" t="s">
        <v>3021</v>
      </c>
      <c r="D34" s="3" t="s">
        <v>233</v>
      </c>
      <c r="E34" s="3" t="s">
        <v>180</v>
      </c>
      <c r="F34" s="3" t="s">
        <v>179</v>
      </c>
      <c r="G34" s="3" t="s">
        <v>187</v>
      </c>
      <c r="H34" s="40">
        <v>36494</v>
      </c>
      <c r="I34" s="3">
        <v>267011</v>
      </c>
      <c r="J34" s="3" t="s">
        <v>180</v>
      </c>
      <c r="K34" s="3" t="s">
        <v>2568</v>
      </c>
      <c r="L34" s="3" t="s">
        <v>180</v>
      </c>
      <c r="M34" s="3" t="s">
        <v>180</v>
      </c>
      <c r="N34" s="3" t="s">
        <v>181</v>
      </c>
      <c r="O34" s="3" t="s">
        <v>182</v>
      </c>
      <c r="P34" s="3" t="s">
        <v>2556</v>
      </c>
      <c r="Q34" s="3" t="s">
        <v>216</v>
      </c>
      <c r="R34" s="3" t="s">
        <v>182</v>
      </c>
      <c r="S34" s="41">
        <v>3</v>
      </c>
      <c r="T34" s="3" t="s">
        <v>2561</v>
      </c>
      <c r="U34" s="3" t="s">
        <v>201</v>
      </c>
      <c r="V34" s="3" t="s">
        <v>180</v>
      </c>
      <c r="W34" s="3" t="s">
        <v>180</v>
      </c>
      <c r="X34" s="3" t="s">
        <v>180</v>
      </c>
      <c r="Y34" s="3" t="s">
        <v>180</v>
      </c>
      <c r="Z34" s="3" t="s">
        <v>180</v>
      </c>
      <c r="AA34" s="3" t="s">
        <v>180</v>
      </c>
      <c r="AB34" s="3" t="s">
        <v>180</v>
      </c>
      <c r="AC34" s="3" t="s">
        <v>180</v>
      </c>
      <c r="AD34" s="3" t="s">
        <v>180</v>
      </c>
    </row>
    <row r="35" spans="1:30" x14ac:dyDescent="0.4">
      <c r="A35" s="3">
        <f t="shared" si="0"/>
        <v>30</v>
      </c>
      <c r="B35" s="3">
        <f t="shared" si="1"/>
        <v>0</v>
      </c>
      <c r="C35" s="3" t="s">
        <v>3021</v>
      </c>
      <c r="D35" s="3" t="s">
        <v>234</v>
      </c>
      <c r="E35" s="3" t="s">
        <v>180</v>
      </c>
      <c r="F35" s="3" t="s">
        <v>182</v>
      </c>
      <c r="G35" s="3" t="s">
        <v>187</v>
      </c>
      <c r="H35" s="40">
        <v>36494</v>
      </c>
      <c r="I35" s="3">
        <v>267011</v>
      </c>
      <c r="J35" s="3" t="s">
        <v>235</v>
      </c>
      <c r="K35" s="3" t="s">
        <v>236</v>
      </c>
      <c r="L35" s="3" t="s">
        <v>180</v>
      </c>
      <c r="M35" s="3" t="s">
        <v>2597</v>
      </c>
      <c r="N35" s="3" t="s">
        <v>182</v>
      </c>
      <c r="O35" s="3" t="s">
        <v>182</v>
      </c>
      <c r="P35" s="3"/>
      <c r="Q35" s="3" t="s">
        <v>86</v>
      </c>
      <c r="R35" s="3" t="s">
        <v>182</v>
      </c>
      <c r="S35" s="41">
        <v>3</v>
      </c>
      <c r="T35" s="3" t="s">
        <v>2561</v>
      </c>
      <c r="U35" s="3" t="s">
        <v>188</v>
      </c>
      <c r="V35" s="3" t="s">
        <v>180</v>
      </c>
      <c r="W35" s="3" t="s">
        <v>180</v>
      </c>
      <c r="X35" s="3" t="s">
        <v>180</v>
      </c>
      <c r="Y35" s="3" t="s">
        <v>180</v>
      </c>
      <c r="Z35" s="3" t="s">
        <v>180</v>
      </c>
      <c r="AA35" s="3" t="s">
        <v>180</v>
      </c>
      <c r="AB35" s="3" t="s">
        <v>180</v>
      </c>
      <c r="AC35" s="3" t="s">
        <v>180</v>
      </c>
      <c r="AD35" s="3" t="s">
        <v>180</v>
      </c>
    </row>
    <row r="36" spans="1:30" x14ac:dyDescent="0.4">
      <c r="A36" s="3">
        <f t="shared" si="0"/>
        <v>31</v>
      </c>
      <c r="B36" s="3">
        <f t="shared" si="1"/>
        <v>0</v>
      </c>
      <c r="C36" s="3" t="s">
        <v>3021</v>
      </c>
      <c r="D36" s="3" t="s">
        <v>237</v>
      </c>
      <c r="E36" s="3" t="s">
        <v>180</v>
      </c>
      <c r="F36" s="3" t="s">
        <v>179</v>
      </c>
      <c r="G36" s="3" t="s">
        <v>187</v>
      </c>
      <c r="H36" s="40">
        <v>44728.690995370373</v>
      </c>
      <c r="I36" s="3">
        <v>268435456</v>
      </c>
      <c r="J36" s="3" t="s">
        <v>194</v>
      </c>
      <c r="K36" s="3" t="s">
        <v>2568</v>
      </c>
      <c r="L36" s="3" t="s">
        <v>180</v>
      </c>
      <c r="M36" s="3" t="s">
        <v>2598</v>
      </c>
      <c r="N36" s="3" t="s">
        <v>181</v>
      </c>
      <c r="O36" s="3" t="s">
        <v>238</v>
      </c>
      <c r="P36" s="3" t="s">
        <v>2566</v>
      </c>
      <c r="Q36" s="3" t="s">
        <v>86</v>
      </c>
      <c r="R36" s="3" t="s">
        <v>182</v>
      </c>
      <c r="S36" s="42">
        <v>4.1666666666666666E-3</v>
      </c>
      <c r="T36" s="3" t="s">
        <v>2561</v>
      </c>
      <c r="U36" s="3" t="s">
        <v>188</v>
      </c>
      <c r="V36" s="3" t="s">
        <v>180</v>
      </c>
      <c r="W36" s="3" t="s">
        <v>180</v>
      </c>
      <c r="X36" s="3" t="s">
        <v>180</v>
      </c>
      <c r="Y36" s="3" t="s">
        <v>180</v>
      </c>
      <c r="Z36" s="3" t="s">
        <v>180</v>
      </c>
      <c r="AA36" s="3" t="s">
        <v>180</v>
      </c>
      <c r="AB36" s="3" t="s">
        <v>180</v>
      </c>
      <c r="AC36" s="3" t="s">
        <v>180</v>
      </c>
      <c r="AD36" s="3" t="s">
        <v>180</v>
      </c>
    </row>
    <row r="37" spans="1:30" x14ac:dyDescent="0.4">
      <c r="A37" s="3">
        <f t="shared" si="0"/>
        <v>32</v>
      </c>
      <c r="B37" s="3">
        <f t="shared" si="1"/>
        <v>0</v>
      </c>
      <c r="C37" s="3" t="s">
        <v>3021</v>
      </c>
      <c r="D37" s="3" t="s">
        <v>239</v>
      </c>
      <c r="E37" s="3" t="s">
        <v>180</v>
      </c>
      <c r="F37" s="3" t="s">
        <v>179</v>
      </c>
      <c r="G37" s="3" t="s">
        <v>187</v>
      </c>
      <c r="H37" s="40">
        <v>36494</v>
      </c>
      <c r="I37" s="3">
        <v>267011</v>
      </c>
      <c r="J37" s="3" t="s">
        <v>194</v>
      </c>
      <c r="K37" s="3" t="s">
        <v>2568</v>
      </c>
      <c r="L37" s="3" t="s">
        <v>180</v>
      </c>
      <c r="M37" s="3" t="s">
        <v>2599</v>
      </c>
      <c r="N37" s="3" t="s">
        <v>181</v>
      </c>
      <c r="O37" s="3" t="s">
        <v>182</v>
      </c>
      <c r="P37" s="3"/>
      <c r="Q37" s="3" t="s">
        <v>86</v>
      </c>
      <c r="R37" s="3" t="s">
        <v>182</v>
      </c>
      <c r="S37" s="41">
        <v>3</v>
      </c>
      <c r="T37" s="3" t="s">
        <v>2561</v>
      </c>
      <c r="U37" s="3" t="s">
        <v>2600</v>
      </c>
      <c r="V37" s="3" t="s">
        <v>180</v>
      </c>
      <c r="W37" s="3" t="s">
        <v>180</v>
      </c>
      <c r="X37" s="3" t="s">
        <v>180</v>
      </c>
      <c r="Y37" s="3" t="s">
        <v>180</v>
      </c>
      <c r="Z37" s="3" t="s">
        <v>180</v>
      </c>
      <c r="AA37" s="3" t="s">
        <v>180</v>
      </c>
      <c r="AB37" s="3" t="s">
        <v>180</v>
      </c>
      <c r="AC37" s="3" t="s">
        <v>180</v>
      </c>
      <c r="AD37" s="3" t="s">
        <v>180</v>
      </c>
    </row>
    <row r="38" spans="1:30" x14ac:dyDescent="0.4">
      <c r="A38" s="3">
        <f t="shared" si="0"/>
        <v>33</v>
      </c>
      <c r="B38" s="3">
        <f t="shared" si="1"/>
        <v>0</v>
      </c>
      <c r="C38" s="3" t="s">
        <v>3021</v>
      </c>
      <c r="D38" s="3" t="s">
        <v>240</v>
      </c>
      <c r="E38" s="3" t="s">
        <v>180</v>
      </c>
      <c r="F38" s="3" t="s">
        <v>179</v>
      </c>
      <c r="G38" s="3" t="s">
        <v>187</v>
      </c>
      <c r="H38" s="40">
        <v>36494</v>
      </c>
      <c r="I38" s="3">
        <v>267011</v>
      </c>
      <c r="J38" s="3" t="s">
        <v>194</v>
      </c>
      <c r="K38" s="3" t="s">
        <v>2568</v>
      </c>
      <c r="L38" s="3" t="s">
        <v>180</v>
      </c>
      <c r="M38" s="3" t="s">
        <v>2601</v>
      </c>
      <c r="N38" s="3" t="s">
        <v>181</v>
      </c>
      <c r="O38" s="3" t="s">
        <v>182</v>
      </c>
      <c r="P38" s="3"/>
      <c r="Q38" s="3" t="s">
        <v>86</v>
      </c>
      <c r="R38" s="3" t="s">
        <v>182</v>
      </c>
      <c r="S38" s="41">
        <v>3</v>
      </c>
      <c r="T38" s="3" t="s">
        <v>2561</v>
      </c>
      <c r="U38" s="3" t="s">
        <v>201</v>
      </c>
      <c r="V38" s="3" t="s">
        <v>180</v>
      </c>
      <c r="W38" s="3" t="s">
        <v>180</v>
      </c>
      <c r="X38" s="3" t="s">
        <v>180</v>
      </c>
      <c r="Y38" s="3" t="s">
        <v>180</v>
      </c>
      <c r="Z38" s="3" t="s">
        <v>180</v>
      </c>
      <c r="AA38" s="3" t="s">
        <v>180</v>
      </c>
      <c r="AB38" s="3" t="s">
        <v>180</v>
      </c>
      <c r="AC38" s="3" t="s">
        <v>180</v>
      </c>
      <c r="AD38" s="3" t="s">
        <v>180</v>
      </c>
    </row>
    <row r="39" spans="1:30" x14ac:dyDescent="0.4">
      <c r="A39" s="3">
        <f t="shared" si="0"/>
        <v>34</v>
      </c>
      <c r="B39" s="3">
        <f t="shared" si="1"/>
        <v>0</v>
      </c>
      <c r="C39" s="3" t="s">
        <v>3021</v>
      </c>
      <c r="D39" s="3" t="s">
        <v>241</v>
      </c>
      <c r="E39" s="3" t="s">
        <v>180</v>
      </c>
      <c r="F39" s="3" t="s">
        <v>179</v>
      </c>
      <c r="G39" s="3" t="s">
        <v>187</v>
      </c>
      <c r="H39" s="40">
        <v>36494</v>
      </c>
      <c r="I39" s="3">
        <v>267011</v>
      </c>
      <c r="J39" s="3" t="s">
        <v>194</v>
      </c>
      <c r="K39" s="3" t="s">
        <v>2568</v>
      </c>
      <c r="L39" s="3" t="s">
        <v>180</v>
      </c>
      <c r="M39" s="3" t="s">
        <v>2602</v>
      </c>
      <c r="N39" s="3" t="s">
        <v>181</v>
      </c>
      <c r="O39" s="3" t="s">
        <v>182</v>
      </c>
      <c r="P39" s="3"/>
      <c r="Q39" s="3" t="s">
        <v>86</v>
      </c>
      <c r="R39" s="3" t="s">
        <v>182</v>
      </c>
      <c r="S39" s="41">
        <v>3</v>
      </c>
      <c r="T39" s="3" t="s">
        <v>2603</v>
      </c>
      <c r="U39" s="3" t="s">
        <v>201</v>
      </c>
      <c r="V39" s="3" t="s">
        <v>180</v>
      </c>
      <c r="W39" s="3" t="s">
        <v>180</v>
      </c>
      <c r="X39" s="3" t="s">
        <v>180</v>
      </c>
      <c r="Y39" s="3" t="s">
        <v>180</v>
      </c>
      <c r="Z39" s="3" t="s">
        <v>180</v>
      </c>
      <c r="AA39" s="3" t="s">
        <v>180</v>
      </c>
      <c r="AB39" s="3" t="s">
        <v>180</v>
      </c>
      <c r="AC39" s="3" t="s">
        <v>180</v>
      </c>
      <c r="AD39" s="3" t="s">
        <v>180</v>
      </c>
    </row>
    <row r="40" spans="1:30" x14ac:dyDescent="0.4">
      <c r="A40" s="3">
        <f t="shared" si="0"/>
        <v>35</v>
      </c>
      <c r="B40" s="3">
        <f t="shared" si="1"/>
        <v>0</v>
      </c>
      <c r="C40" s="3" t="s">
        <v>3021</v>
      </c>
      <c r="D40" s="3" t="s">
        <v>241</v>
      </c>
      <c r="E40" s="3" t="s">
        <v>180</v>
      </c>
      <c r="F40" s="3" t="s">
        <v>179</v>
      </c>
      <c r="G40" s="3" t="s">
        <v>187</v>
      </c>
      <c r="H40" s="40">
        <v>36494</v>
      </c>
      <c r="I40" s="3">
        <v>267011</v>
      </c>
      <c r="J40" s="3" t="s">
        <v>194</v>
      </c>
      <c r="K40" s="3" t="s">
        <v>2568</v>
      </c>
      <c r="L40" s="3" t="s">
        <v>180</v>
      </c>
      <c r="M40" s="3" t="s">
        <v>2602</v>
      </c>
      <c r="N40" s="3" t="s">
        <v>181</v>
      </c>
      <c r="O40" s="3" t="s">
        <v>182</v>
      </c>
      <c r="P40" s="3"/>
      <c r="Q40" s="3" t="s">
        <v>86</v>
      </c>
      <c r="R40" s="3" t="s">
        <v>182</v>
      </c>
      <c r="S40" s="41">
        <v>3</v>
      </c>
      <c r="T40" s="3" t="s">
        <v>2603</v>
      </c>
      <c r="U40" s="3" t="s">
        <v>201</v>
      </c>
      <c r="V40" s="3" t="s">
        <v>180</v>
      </c>
      <c r="W40" s="3" t="s">
        <v>180</v>
      </c>
      <c r="X40" s="3" t="s">
        <v>180</v>
      </c>
      <c r="Y40" s="3" t="s">
        <v>180</v>
      </c>
      <c r="Z40" s="3" t="s">
        <v>180</v>
      </c>
      <c r="AA40" s="3" t="s">
        <v>180</v>
      </c>
      <c r="AB40" s="3" t="s">
        <v>180</v>
      </c>
      <c r="AC40" s="3" t="s">
        <v>180</v>
      </c>
      <c r="AD40" s="3" t="s">
        <v>180</v>
      </c>
    </row>
    <row r="41" spans="1:30" x14ac:dyDescent="0.4">
      <c r="A41" s="3">
        <f t="shared" si="0"/>
        <v>36</v>
      </c>
      <c r="B41" s="3">
        <f t="shared" si="1"/>
        <v>0</v>
      </c>
      <c r="C41" s="3" t="s">
        <v>3021</v>
      </c>
      <c r="D41" s="3" t="s">
        <v>241</v>
      </c>
      <c r="E41" s="3" t="s">
        <v>180</v>
      </c>
      <c r="F41" s="3" t="s">
        <v>179</v>
      </c>
      <c r="G41" s="3" t="s">
        <v>187</v>
      </c>
      <c r="H41" s="40">
        <v>36494</v>
      </c>
      <c r="I41" s="3">
        <v>267011</v>
      </c>
      <c r="J41" s="3" t="s">
        <v>194</v>
      </c>
      <c r="K41" s="3" t="s">
        <v>2568</v>
      </c>
      <c r="L41" s="3" t="s">
        <v>180</v>
      </c>
      <c r="M41" s="3" t="s">
        <v>2602</v>
      </c>
      <c r="N41" s="3" t="s">
        <v>181</v>
      </c>
      <c r="O41" s="3" t="s">
        <v>182</v>
      </c>
      <c r="P41" s="3"/>
      <c r="Q41" s="3" t="s">
        <v>86</v>
      </c>
      <c r="R41" s="3" t="s">
        <v>182</v>
      </c>
      <c r="S41" s="41">
        <v>3</v>
      </c>
      <c r="T41" s="3" t="s">
        <v>2603</v>
      </c>
      <c r="U41" s="3" t="s">
        <v>201</v>
      </c>
      <c r="V41" s="3" t="s">
        <v>180</v>
      </c>
      <c r="W41" s="3" t="s">
        <v>180</v>
      </c>
      <c r="X41" s="3" t="s">
        <v>180</v>
      </c>
      <c r="Y41" s="3" t="s">
        <v>180</v>
      </c>
      <c r="Z41" s="3" t="s">
        <v>180</v>
      </c>
      <c r="AA41" s="3" t="s">
        <v>180</v>
      </c>
      <c r="AB41" s="3" t="s">
        <v>180</v>
      </c>
      <c r="AC41" s="3" t="s">
        <v>180</v>
      </c>
      <c r="AD41" s="3" t="s">
        <v>180</v>
      </c>
    </row>
    <row r="42" spans="1:30" x14ac:dyDescent="0.4">
      <c r="A42" s="3">
        <f t="shared" si="0"/>
        <v>37</v>
      </c>
      <c r="B42" s="3">
        <f t="shared" si="1"/>
        <v>0</v>
      </c>
      <c r="C42" s="3" t="s">
        <v>3021</v>
      </c>
      <c r="D42" s="3" t="s">
        <v>241</v>
      </c>
      <c r="E42" s="3" t="s">
        <v>180</v>
      </c>
      <c r="F42" s="3" t="s">
        <v>179</v>
      </c>
      <c r="G42" s="3" t="s">
        <v>187</v>
      </c>
      <c r="H42" s="40">
        <v>36494</v>
      </c>
      <c r="I42" s="3">
        <v>267011</v>
      </c>
      <c r="J42" s="3" t="s">
        <v>194</v>
      </c>
      <c r="K42" s="3" t="s">
        <v>2568</v>
      </c>
      <c r="L42" s="3" t="s">
        <v>180</v>
      </c>
      <c r="M42" s="3" t="s">
        <v>2602</v>
      </c>
      <c r="N42" s="3" t="s">
        <v>181</v>
      </c>
      <c r="O42" s="3" t="s">
        <v>182</v>
      </c>
      <c r="P42" s="3"/>
      <c r="Q42" s="3" t="s">
        <v>86</v>
      </c>
      <c r="R42" s="3" t="s">
        <v>182</v>
      </c>
      <c r="S42" s="41">
        <v>3</v>
      </c>
      <c r="T42" s="3" t="s">
        <v>2603</v>
      </c>
      <c r="U42" s="3" t="s">
        <v>196</v>
      </c>
      <c r="V42" s="3" t="s">
        <v>180</v>
      </c>
      <c r="W42" s="3" t="s">
        <v>180</v>
      </c>
      <c r="X42" s="3" t="s">
        <v>180</v>
      </c>
      <c r="Y42" s="3" t="s">
        <v>180</v>
      </c>
      <c r="Z42" s="3" t="s">
        <v>180</v>
      </c>
      <c r="AA42" s="3" t="s">
        <v>180</v>
      </c>
      <c r="AB42" s="3" t="s">
        <v>180</v>
      </c>
      <c r="AC42" s="3" t="s">
        <v>180</v>
      </c>
      <c r="AD42" s="3" t="s">
        <v>180</v>
      </c>
    </row>
    <row r="43" spans="1:30" x14ac:dyDescent="0.4">
      <c r="A43" s="3">
        <f t="shared" si="0"/>
        <v>38</v>
      </c>
      <c r="B43" s="3">
        <f t="shared" si="1"/>
        <v>0</v>
      </c>
      <c r="C43" s="3" t="s">
        <v>3021</v>
      </c>
      <c r="D43" s="3" t="s">
        <v>241</v>
      </c>
      <c r="E43" s="3" t="s">
        <v>180</v>
      </c>
      <c r="F43" s="3" t="s">
        <v>179</v>
      </c>
      <c r="G43" s="3" t="s">
        <v>187</v>
      </c>
      <c r="H43" s="40">
        <v>36494</v>
      </c>
      <c r="I43" s="3">
        <v>267011</v>
      </c>
      <c r="J43" s="3" t="s">
        <v>194</v>
      </c>
      <c r="K43" s="3" t="s">
        <v>2568</v>
      </c>
      <c r="L43" s="3" t="s">
        <v>180</v>
      </c>
      <c r="M43" s="3" t="s">
        <v>2602</v>
      </c>
      <c r="N43" s="3" t="s">
        <v>181</v>
      </c>
      <c r="O43" s="3" t="s">
        <v>182</v>
      </c>
      <c r="P43" s="3"/>
      <c r="Q43" s="3" t="s">
        <v>86</v>
      </c>
      <c r="R43" s="3" t="s">
        <v>182</v>
      </c>
      <c r="S43" s="41">
        <v>3</v>
      </c>
      <c r="T43" s="3" t="s">
        <v>2603</v>
      </c>
      <c r="U43" s="3" t="s">
        <v>242</v>
      </c>
      <c r="V43" s="3" t="s">
        <v>180</v>
      </c>
      <c r="W43" s="3" t="s">
        <v>180</v>
      </c>
      <c r="X43" s="3" t="s">
        <v>180</v>
      </c>
      <c r="Y43" s="3" t="s">
        <v>180</v>
      </c>
      <c r="Z43" s="3" t="s">
        <v>180</v>
      </c>
      <c r="AA43" s="3" t="s">
        <v>180</v>
      </c>
      <c r="AB43" s="3" t="s">
        <v>180</v>
      </c>
      <c r="AC43" s="3" t="s">
        <v>180</v>
      </c>
      <c r="AD43" s="3" t="s">
        <v>180</v>
      </c>
    </row>
    <row r="44" spans="1:30" x14ac:dyDescent="0.4">
      <c r="A44" s="3">
        <f t="shared" si="0"/>
        <v>39</v>
      </c>
      <c r="B44" s="3">
        <f t="shared" si="1"/>
        <v>0</v>
      </c>
      <c r="C44" s="3" t="s">
        <v>3021</v>
      </c>
      <c r="D44" s="3" t="s">
        <v>243</v>
      </c>
      <c r="E44" s="3" t="s">
        <v>180</v>
      </c>
      <c r="F44" s="3" t="s">
        <v>179</v>
      </c>
      <c r="G44" s="3" t="s">
        <v>187</v>
      </c>
      <c r="H44" s="40">
        <v>44728.953969907408</v>
      </c>
      <c r="I44" s="3">
        <v>0</v>
      </c>
      <c r="J44" s="3" t="s">
        <v>194</v>
      </c>
      <c r="K44" s="3" t="s">
        <v>2568</v>
      </c>
      <c r="L44" s="3" t="s">
        <v>180</v>
      </c>
      <c r="M44" s="3" t="s">
        <v>2604</v>
      </c>
      <c r="N44" s="3" t="s">
        <v>181</v>
      </c>
      <c r="O44" s="3" t="s">
        <v>182</v>
      </c>
      <c r="P44" s="3" t="s">
        <v>2556</v>
      </c>
      <c r="Q44" s="3" t="s">
        <v>86</v>
      </c>
      <c r="R44" s="3" t="s">
        <v>182</v>
      </c>
      <c r="S44" s="3" t="s">
        <v>182</v>
      </c>
      <c r="T44" s="3" t="s">
        <v>2561</v>
      </c>
      <c r="U44" s="3" t="s">
        <v>201</v>
      </c>
      <c r="V44" s="3" t="s">
        <v>180</v>
      </c>
      <c r="W44" s="3" t="s">
        <v>180</v>
      </c>
      <c r="X44" s="3" t="s">
        <v>180</v>
      </c>
      <c r="Y44" s="3" t="s">
        <v>180</v>
      </c>
      <c r="Z44" s="3" t="s">
        <v>180</v>
      </c>
      <c r="AA44" s="3" t="s">
        <v>180</v>
      </c>
      <c r="AB44" s="3" t="s">
        <v>180</v>
      </c>
      <c r="AC44" s="3" t="s">
        <v>180</v>
      </c>
      <c r="AD44" s="3" t="s">
        <v>180</v>
      </c>
    </row>
    <row r="45" spans="1:30" x14ac:dyDescent="0.4">
      <c r="A45" s="3">
        <f t="shared" si="0"/>
        <v>40</v>
      </c>
      <c r="B45" s="3">
        <f t="shared" si="1"/>
        <v>0</v>
      </c>
      <c r="C45" s="3" t="s">
        <v>3021</v>
      </c>
      <c r="D45" s="3" t="s">
        <v>243</v>
      </c>
      <c r="E45" s="3" t="s">
        <v>180</v>
      </c>
      <c r="F45" s="3" t="s">
        <v>179</v>
      </c>
      <c r="G45" s="3" t="s">
        <v>187</v>
      </c>
      <c r="H45" s="40">
        <v>44728.953969907408</v>
      </c>
      <c r="I45" s="3">
        <v>0</v>
      </c>
      <c r="J45" s="3" t="s">
        <v>194</v>
      </c>
      <c r="K45" s="3" t="s">
        <v>2568</v>
      </c>
      <c r="L45" s="3" t="s">
        <v>180</v>
      </c>
      <c r="M45" s="3" t="s">
        <v>2604</v>
      </c>
      <c r="N45" s="3" t="s">
        <v>181</v>
      </c>
      <c r="O45" s="3" t="s">
        <v>182</v>
      </c>
      <c r="P45" s="3" t="s">
        <v>2556</v>
      </c>
      <c r="Q45" s="3" t="s">
        <v>86</v>
      </c>
      <c r="R45" s="3" t="s">
        <v>182</v>
      </c>
      <c r="S45" s="3" t="s">
        <v>182</v>
      </c>
      <c r="T45" s="3" t="s">
        <v>2561</v>
      </c>
      <c r="U45" s="3" t="s">
        <v>206</v>
      </c>
      <c r="V45" s="3" t="s">
        <v>180</v>
      </c>
      <c r="W45" s="3" t="s">
        <v>180</v>
      </c>
      <c r="X45" s="3" t="s">
        <v>180</v>
      </c>
      <c r="Y45" s="3" t="s">
        <v>180</v>
      </c>
      <c r="Z45" s="3" t="s">
        <v>180</v>
      </c>
      <c r="AA45" s="3" t="s">
        <v>180</v>
      </c>
      <c r="AB45" s="3" t="s">
        <v>180</v>
      </c>
      <c r="AC45" s="3" t="s">
        <v>180</v>
      </c>
      <c r="AD45" s="3" t="s">
        <v>180</v>
      </c>
    </row>
    <row r="46" spans="1:30" x14ac:dyDescent="0.4">
      <c r="A46" s="3">
        <f t="shared" si="0"/>
        <v>41</v>
      </c>
      <c r="B46" s="3">
        <f t="shared" si="1"/>
        <v>0</v>
      </c>
      <c r="C46" s="3" t="s">
        <v>3021</v>
      </c>
      <c r="D46" s="3" t="s">
        <v>243</v>
      </c>
      <c r="E46" s="3" t="s">
        <v>180</v>
      </c>
      <c r="F46" s="3" t="s">
        <v>179</v>
      </c>
      <c r="G46" s="3" t="s">
        <v>187</v>
      </c>
      <c r="H46" s="40">
        <v>44728.953969907408</v>
      </c>
      <c r="I46" s="3">
        <v>0</v>
      </c>
      <c r="J46" s="3" t="s">
        <v>194</v>
      </c>
      <c r="K46" s="3" t="s">
        <v>2568</v>
      </c>
      <c r="L46" s="3" t="s">
        <v>180</v>
      </c>
      <c r="M46" s="3" t="s">
        <v>2604</v>
      </c>
      <c r="N46" s="3" t="s">
        <v>181</v>
      </c>
      <c r="O46" s="3" t="s">
        <v>182</v>
      </c>
      <c r="P46" s="3" t="s">
        <v>2556</v>
      </c>
      <c r="Q46" s="3" t="s">
        <v>86</v>
      </c>
      <c r="R46" s="3" t="s">
        <v>182</v>
      </c>
      <c r="S46" s="3" t="s">
        <v>182</v>
      </c>
      <c r="T46" s="3" t="s">
        <v>2561</v>
      </c>
      <c r="U46" s="3" t="s">
        <v>206</v>
      </c>
      <c r="V46" s="3" t="s">
        <v>180</v>
      </c>
      <c r="W46" s="3" t="s">
        <v>180</v>
      </c>
      <c r="X46" s="3" t="s">
        <v>180</v>
      </c>
      <c r="Y46" s="3" t="s">
        <v>180</v>
      </c>
      <c r="Z46" s="3" t="s">
        <v>180</v>
      </c>
      <c r="AA46" s="3" t="s">
        <v>180</v>
      </c>
      <c r="AB46" s="3" t="s">
        <v>180</v>
      </c>
      <c r="AC46" s="3" t="s">
        <v>180</v>
      </c>
      <c r="AD46" s="3" t="s">
        <v>180</v>
      </c>
    </row>
    <row r="47" spans="1:30" x14ac:dyDescent="0.4">
      <c r="A47" s="3">
        <f t="shared" si="0"/>
        <v>42</v>
      </c>
      <c r="B47" s="3">
        <f t="shared" si="1"/>
        <v>0</v>
      </c>
      <c r="C47" s="3" t="s">
        <v>3021</v>
      </c>
      <c r="D47" s="3" t="s">
        <v>244</v>
      </c>
      <c r="E47" s="3" t="s">
        <v>180</v>
      </c>
      <c r="F47" s="3" t="s">
        <v>179</v>
      </c>
      <c r="G47" s="3" t="s">
        <v>187</v>
      </c>
      <c r="H47" s="40">
        <v>44728.953981481478</v>
      </c>
      <c r="I47" s="3">
        <v>0</v>
      </c>
      <c r="J47" s="3" t="s">
        <v>194</v>
      </c>
      <c r="K47" s="3" t="s">
        <v>2568</v>
      </c>
      <c r="L47" s="3" t="s">
        <v>180</v>
      </c>
      <c r="M47" s="3" t="s">
        <v>2605</v>
      </c>
      <c r="N47" s="3" t="s">
        <v>181</v>
      </c>
      <c r="O47" s="3" t="s">
        <v>182</v>
      </c>
      <c r="P47" s="3" t="s">
        <v>2556</v>
      </c>
      <c r="Q47" s="3" t="s">
        <v>216</v>
      </c>
      <c r="R47" s="3" t="s">
        <v>182</v>
      </c>
      <c r="S47" s="3" t="s">
        <v>182</v>
      </c>
      <c r="T47" s="3" t="s">
        <v>2561</v>
      </c>
      <c r="U47" s="3" t="s">
        <v>2606</v>
      </c>
      <c r="V47" s="3" t="s">
        <v>180</v>
      </c>
      <c r="W47" s="3" t="s">
        <v>180</v>
      </c>
      <c r="X47" s="3" t="s">
        <v>180</v>
      </c>
      <c r="Y47" s="3" t="s">
        <v>180</v>
      </c>
      <c r="Z47" s="3" t="s">
        <v>180</v>
      </c>
      <c r="AA47" s="3" t="s">
        <v>180</v>
      </c>
      <c r="AB47" s="3" t="s">
        <v>180</v>
      </c>
      <c r="AC47" s="3" t="s">
        <v>180</v>
      </c>
      <c r="AD47" s="3" t="s">
        <v>180</v>
      </c>
    </row>
    <row r="48" spans="1:30" x14ac:dyDescent="0.4">
      <c r="A48" s="3">
        <f t="shared" si="0"/>
        <v>43</v>
      </c>
      <c r="B48" s="3">
        <f t="shared" si="1"/>
        <v>0</v>
      </c>
      <c r="C48" s="3" t="s">
        <v>3021</v>
      </c>
      <c r="D48" s="3" t="s">
        <v>244</v>
      </c>
      <c r="E48" s="3" t="s">
        <v>180</v>
      </c>
      <c r="F48" s="3" t="s">
        <v>179</v>
      </c>
      <c r="G48" s="3" t="s">
        <v>187</v>
      </c>
      <c r="H48" s="40">
        <v>44728.953981481478</v>
      </c>
      <c r="I48" s="3">
        <v>0</v>
      </c>
      <c r="J48" s="3" t="s">
        <v>194</v>
      </c>
      <c r="K48" s="3" t="s">
        <v>2568</v>
      </c>
      <c r="L48" s="3" t="s">
        <v>180</v>
      </c>
      <c r="M48" s="3" t="s">
        <v>2605</v>
      </c>
      <c r="N48" s="3" t="s">
        <v>181</v>
      </c>
      <c r="O48" s="3" t="s">
        <v>182</v>
      </c>
      <c r="P48" s="3" t="s">
        <v>2556</v>
      </c>
      <c r="Q48" s="3" t="s">
        <v>216</v>
      </c>
      <c r="R48" s="3" t="s">
        <v>182</v>
      </c>
      <c r="S48" s="3" t="s">
        <v>182</v>
      </c>
      <c r="T48" s="3" t="s">
        <v>2561</v>
      </c>
      <c r="U48" s="3" t="s">
        <v>2607</v>
      </c>
      <c r="V48" s="3" t="s">
        <v>180</v>
      </c>
      <c r="W48" s="3" t="s">
        <v>180</v>
      </c>
      <c r="X48" s="3" t="s">
        <v>180</v>
      </c>
      <c r="Y48" s="3" t="s">
        <v>180</v>
      </c>
      <c r="Z48" s="3" t="s">
        <v>180</v>
      </c>
      <c r="AA48" s="3" t="s">
        <v>180</v>
      </c>
      <c r="AB48" s="3" t="s">
        <v>180</v>
      </c>
      <c r="AC48" s="3" t="s">
        <v>180</v>
      </c>
      <c r="AD48" s="3" t="s">
        <v>180</v>
      </c>
    </row>
    <row r="49" spans="1:30" x14ac:dyDescent="0.4">
      <c r="A49" s="3">
        <f t="shared" si="0"/>
        <v>44</v>
      </c>
      <c r="B49" s="3">
        <f t="shared" si="1"/>
        <v>0</v>
      </c>
      <c r="C49" s="3" t="s">
        <v>3021</v>
      </c>
      <c r="D49" s="3" t="s">
        <v>244</v>
      </c>
      <c r="E49" s="3" t="s">
        <v>180</v>
      </c>
      <c r="F49" s="3" t="s">
        <v>179</v>
      </c>
      <c r="G49" s="3" t="s">
        <v>187</v>
      </c>
      <c r="H49" s="40">
        <v>44728.953981481478</v>
      </c>
      <c r="I49" s="3">
        <v>0</v>
      </c>
      <c r="J49" s="3" t="s">
        <v>194</v>
      </c>
      <c r="K49" s="3" t="s">
        <v>2568</v>
      </c>
      <c r="L49" s="3" t="s">
        <v>180</v>
      </c>
      <c r="M49" s="3" t="s">
        <v>2605</v>
      </c>
      <c r="N49" s="3" t="s">
        <v>181</v>
      </c>
      <c r="O49" s="3" t="s">
        <v>182</v>
      </c>
      <c r="P49" s="3" t="s">
        <v>2556</v>
      </c>
      <c r="Q49" s="3" t="s">
        <v>216</v>
      </c>
      <c r="R49" s="3" t="s">
        <v>182</v>
      </c>
      <c r="S49" s="3" t="s">
        <v>182</v>
      </c>
      <c r="T49" s="3" t="s">
        <v>2561</v>
      </c>
      <c r="U49" s="3" t="s">
        <v>2574</v>
      </c>
      <c r="V49" s="3" t="s">
        <v>180</v>
      </c>
      <c r="W49" s="3" t="s">
        <v>180</v>
      </c>
      <c r="X49" s="3" t="s">
        <v>180</v>
      </c>
      <c r="Y49" s="3" t="s">
        <v>180</v>
      </c>
      <c r="Z49" s="3" t="s">
        <v>180</v>
      </c>
      <c r="AA49" s="3" t="s">
        <v>180</v>
      </c>
      <c r="AB49" s="3" t="s">
        <v>180</v>
      </c>
      <c r="AC49" s="3" t="s">
        <v>180</v>
      </c>
      <c r="AD49" s="3" t="s">
        <v>180</v>
      </c>
    </row>
    <row r="50" spans="1:30" x14ac:dyDescent="0.4">
      <c r="A50" s="3">
        <f t="shared" si="0"/>
        <v>45</v>
      </c>
      <c r="B50" s="3">
        <f t="shared" si="1"/>
        <v>0</v>
      </c>
      <c r="C50" s="3" t="s">
        <v>3021</v>
      </c>
      <c r="D50" s="3" t="s">
        <v>244</v>
      </c>
      <c r="E50" s="3" t="s">
        <v>180</v>
      </c>
      <c r="F50" s="3" t="s">
        <v>179</v>
      </c>
      <c r="G50" s="3" t="s">
        <v>187</v>
      </c>
      <c r="H50" s="40">
        <v>44728.953981481478</v>
      </c>
      <c r="I50" s="3">
        <v>0</v>
      </c>
      <c r="J50" s="3" t="s">
        <v>194</v>
      </c>
      <c r="K50" s="3" t="s">
        <v>2568</v>
      </c>
      <c r="L50" s="3" t="s">
        <v>180</v>
      </c>
      <c r="M50" s="3" t="s">
        <v>2605</v>
      </c>
      <c r="N50" s="3" t="s">
        <v>181</v>
      </c>
      <c r="O50" s="3" t="s">
        <v>182</v>
      </c>
      <c r="P50" s="3" t="s">
        <v>2556</v>
      </c>
      <c r="Q50" s="3" t="s">
        <v>216</v>
      </c>
      <c r="R50" s="3" t="s">
        <v>182</v>
      </c>
      <c r="S50" s="3" t="s">
        <v>182</v>
      </c>
      <c r="T50" s="3" t="s">
        <v>2561</v>
      </c>
      <c r="U50" s="3" t="s">
        <v>2608</v>
      </c>
      <c r="V50" s="3" t="s">
        <v>180</v>
      </c>
      <c r="W50" s="3" t="s">
        <v>180</v>
      </c>
      <c r="X50" s="3" t="s">
        <v>180</v>
      </c>
      <c r="Y50" s="3" t="s">
        <v>180</v>
      </c>
      <c r="Z50" s="3" t="s">
        <v>180</v>
      </c>
      <c r="AA50" s="3" t="s">
        <v>180</v>
      </c>
      <c r="AB50" s="3" t="s">
        <v>180</v>
      </c>
      <c r="AC50" s="3" t="s">
        <v>180</v>
      </c>
      <c r="AD50" s="3" t="s">
        <v>180</v>
      </c>
    </row>
    <row r="51" spans="1:30" x14ac:dyDescent="0.4">
      <c r="A51" s="3">
        <f t="shared" si="0"/>
        <v>46</v>
      </c>
      <c r="B51" s="3">
        <f t="shared" si="1"/>
        <v>0</v>
      </c>
      <c r="C51" s="3" t="s">
        <v>3021</v>
      </c>
      <c r="D51" s="3" t="s">
        <v>245</v>
      </c>
      <c r="E51" s="3" t="s">
        <v>180</v>
      </c>
      <c r="F51" s="3" t="s">
        <v>179</v>
      </c>
      <c r="G51" s="3" t="s">
        <v>187</v>
      </c>
      <c r="H51" s="40">
        <v>36494</v>
      </c>
      <c r="I51" s="3">
        <v>267011</v>
      </c>
      <c r="J51" s="3" t="s">
        <v>194</v>
      </c>
      <c r="K51" s="3" t="s">
        <v>2568</v>
      </c>
      <c r="L51" s="3" t="s">
        <v>180</v>
      </c>
      <c r="M51" s="3" t="s">
        <v>2609</v>
      </c>
      <c r="N51" s="3" t="s">
        <v>2610</v>
      </c>
      <c r="O51" s="3" t="s">
        <v>182</v>
      </c>
      <c r="P51" s="3" t="s">
        <v>2566</v>
      </c>
      <c r="Q51" s="3" t="s">
        <v>216</v>
      </c>
      <c r="R51" s="3" t="s">
        <v>182</v>
      </c>
      <c r="S51" s="3" t="s">
        <v>182</v>
      </c>
      <c r="T51" s="3" t="s">
        <v>2557</v>
      </c>
      <c r="U51" s="3" t="s">
        <v>242</v>
      </c>
      <c r="V51" s="3" t="s">
        <v>180</v>
      </c>
      <c r="W51" s="3" t="s">
        <v>180</v>
      </c>
      <c r="X51" s="3" t="s">
        <v>180</v>
      </c>
      <c r="Y51" s="3" t="s">
        <v>180</v>
      </c>
      <c r="Z51" s="3" t="s">
        <v>180</v>
      </c>
      <c r="AA51" s="3" t="s">
        <v>180</v>
      </c>
      <c r="AB51" s="3" t="s">
        <v>180</v>
      </c>
      <c r="AC51" s="3" t="s">
        <v>180</v>
      </c>
      <c r="AD51" s="3" t="s">
        <v>180</v>
      </c>
    </row>
    <row r="52" spans="1:30" x14ac:dyDescent="0.4">
      <c r="A52" s="3">
        <f t="shared" si="0"/>
        <v>47</v>
      </c>
      <c r="B52" s="3">
        <f t="shared" si="1"/>
        <v>0</v>
      </c>
      <c r="C52" s="3" t="s">
        <v>3021</v>
      </c>
      <c r="D52" s="3" t="s">
        <v>245</v>
      </c>
      <c r="E52" s="3" t="s">
        <v>180</v>
      </c>
      <c r="F52" s="3" t="s">
        <v>179</v>
      </c>
      <c r="G52" s="3" t="s">
        <v>187</v>
      </c>
      <c r="H52" s="40">
        <v>36494</v>
      </c>
      <c r="I52" s="3">
        <v>267011</v>
      </c>
      <c r="J52" s="3" t="s">
        <v>194</v>
      </c>
      <c r="K52" s="3" t="s">
        <v>2568</v>
      </c>
      <c r="L52" s="3" t="s">
        <v>180</v>
      </c>
      <c r="M52" s="3" t="s">
        <v>2609</v>
      </c>
      <c r="N52" s="3" t="s">
        <v>2610</v>
      </c>
      <c r="O52" s="3" t="s">
        <v>182</v>
      </c>
      <c r="P52" s="3" t="s">
        <v>2566</v>
      </c>
      <c r="Q52" s="3" t="s">
        <v>216</v>
      </c>
      <c r="R52" s="3" t="s">
        <v>182</v>
      </c>
      <c r="S52" s="3" t="s">
        <v>182</v>
      </c>
      <c r="T52" s="3" t="s">
        <v>2557</v>
      </c>
      <c r="U52" s="3" t="s">
        <v>242</v>
      </c>
      <c r="V52" s="3" t="s">
        <v>180</v>
      </c>
      <c r="W52" s="3" t="s">
        <v>180</v>
      </c>
      <c r="X52" s="3" t="s">
        <v>180</v>
      </c>
      <c r="Y52" s="3" t="s">
        <v>180</v>
      </c>
      <c r="Z52" s="3" t="s">
        <v>180</v>
      </c>
      <c r="AA52" s="3" t="s">
        <v>180</v>
      </c>
      <c r="AB52" s="3" t="s">
        <v>180</v>
      </c>
      <c r="AC52" s="3" t="s">
        <v>180</v>
      </c>
      <c r="AD52" s="3" t="s">
        <v>180</v>
      </c>
    </row>
    <row r="53" spans="1:30" x14ac:dyDescent="0.4">
      <c r="A53" s="3">
        <f t="shared" si="0"/>
        <v>48</v>
      </c>
      <c r="B53" s="3">
        <f t="shared" si="1"/>
        <v>0</v>
      </c>
      <c r="C53" s="3" t="s">
        <v>3021</v>
      </c>
      <c r="D53" s="3" t="s">
        <v>246</v>
      </c>
      <c r="E53" s="3" t="s">
        <v>180</v>
      </c>
      <c r="F53" s="3" t="s">
        <v>179</v>
      </c>
      <c r="G53" s="3" t="s">
        <v>187</v>
      </c>
      <c r="H53" s="40">
        <v>44728.690995370373</v>
      </c>
      <c r="I53" s="3">
        <v>0</v>
      </c>
      <c r="J53" s="3" t="s">
        <v>194</v>
      </c>
      <c r="K53" s="3" t="s">
        <v>2568</v>
      </c>
      <c r="L53" s="3" t="s">
        <v>180</v>
      </c>
      <c r="M53" s="3" t="s">
        <v>2611</v>
      </c>
      <c r="N53" s="3" t="s">
        <v>181</v>
      </c>
      <c r="O53" s="3" t="s">
        <v>182</v>
      </c>
      <c r="P53" s="3" t="s">
        <v>2612</v>
      </c>
      <c r="Q53" s="3" t="s">
        <v>86</v>
      </c>
      <c r="R53" s="3" t="s">
        <v>182</v>
      </c>
      <c r="S53" s="41">
        <v>3</v>
      </c>
      <c r="T53" s="3" t="s">
        <v>2561</v>
      </c>
      <c r="U53" s="3" t="s">
        <v>188</v>
      </c>
      <c r="V53" s="3" t="s">
        <v>180</v>
      </c>
      <c r="W53" s="3" t="s">
        <v>180</v>
      </c>
      <c r="X53" s="3" t="s">
        <v>180</v>
      </c>
      <c r="Y53" s="3" t="s">
        <v>180</v>
      </c>
      <c r="Z53" s="3" t="s">
        <v>180</v>
      </c>
      <c r="AA53" s="3" t="s">
        <v>180</v>
      </c>
      <c r="AB53" s="3" t="s">
        <v>180</v>
      </c>
      <c r="AC53" s="3" t="s">
        <v>180</v>
      </c>
      <c r="AD53" s="3" t="s">
        <v>180</v>
      </c>
    </row>
    <row r="54" spans="1:30" x14ac:dyDescent="0.4">
      <c r="A54" s="3">
        <f t="shared" si="0"/>
        <v>49</v>
      </c>
      <c r="B54" s="3">
        <f t="shared" si="1"/>
        <v>0</v>
      </c>
      <c r="C54" s="3" t="s">
        <v>3021</v>
      </c>
      <c r="D54" s="3" t="s">
        <v>247</v>
      </c>
      <c r="E54" s="3" t="s">
        <v>180</v>
      </c>
      <c r="F54" s="3" t="s">
        <v>179</v>
      </c>
      <c r="G54" s="3" t="s">
        <v>187</v>
      </c>
      <c r="H54" s="40">
        <v>36494</v>
      </c>
      <c r="I54" s="3">
        <v>267011</v>
      </c>
      <c r="J54" s="3" t="s">
        <v>180</v>
      </c>
      <c r="K54" s="3" t="s">
        <v>248</v>
      </c>
      <c r="L54" s="3" t="s">
        <v>180</v>
      </c>
      <c r="M54" s="3" t="s">
        <v>180</v>
      </c>
      <c r="N54" s="3" t="s">
        <v>181</v>
      </c>
      <c r="O54" s="3" t="s">
        <v>182</v>
      </c>
      <c r="P54" s="3"/>
      <c r="Q54" s="3" t="s">
        <v>86</v>
      </c>
      <c r="R54" s="3" t="s">
        <v>182</v>
      </c>
      <c r="S54" s="41">
        <v>3</v>
      </c>
      <c r="T54" s="3" t="s">
        <v>2561</v>
      </c>
      <c r="U54" s="3" t="s">
        <v>201</v>
      </c>
      <c r="V54" s="3" t="s">
        <v>180</v>
      </c>
      <c r="W54" s="3" t="s">
        <v>180</v>
      </c>
      <c r="X54" s="3" t="s">
        <v>180</v>
      </c>
      <c r="Y54" s="3" t="s">
        <v>180</v>
      </c>
      <c r="Z54" s="3" t="s">
        <v>180</v>
      </c>
      <c r="AA54" s="3" t="s">
        <v>180</v>
      </c>
      <c r="AB54" s="3" t="s">
        <v>180</v>
      </c>
      <c r="AC54" s="3" t="s">
        <v>180</v>
      </c>
      <c r="AD54" s="3" t="s">
        <v>180</v>
      </c>
    </row>
    <row r="55" spans="1:30" x14ac:dyDescent="0.4">
      <c r="A55" s="3">
        <f t="shared" si="0"/>
        <v>50</v>
      </c>
      <c r="B55" s="3">
        <f t="shared" si="1"/>
        <v>0</v>
      </c>
      <c r="C55" s="3" t="s">
        <v>3021</v>
      </c>
      <c r="D55" s="3" t="s">
        <v>249</v>
      </c>
      <c r="E55" s="3" t="s">
        <v>180</v>
      </c>
      <c r="F55" s="3" t="s">
        <v>182</v>
      </c>
      <c r="G55" s="3" t="s">
        <v>187</v>
      </c>
      <c r="H55" s="40">
        <v>36494</v>
      </c>
      <c r="I55" s="3">
        <v>267011</v>
      </c>
      <c r="J55" s="3" t="s">
        <v>194</v>
      </c>
      <c r="K55" s="3" t="s">
        <v>250</v>
      </c>
      <c r="L55" s="3" t="s">
        <v>180</v>
      </c>
      <c r="M55" s="3" t="s">
        <v>251</v>
      </c>
      <c r="N55" s="3" t="s">
        <v>182</v>
      </c>
      <c r="O55" s="3" t="s">
        <v>182</v>
      </c>
      <c r="P55" s="3"/>
      <c r="Q55" s="3" t="s">
        <v>86</v>
      </c>
      <c r="R55" s="3" t="s">
        <v>182</v>
      </c>
      <c r="S55" s="3" t="s">
        <v>182</v>
      </c>
      <c r="T55" s="3" t="s">
        <v>2561</v>
      </c>
      <c r="U55" s="3" t="s">
        <v>206</v>
      </c>
      <c r="V55" s="3" t="s">
        <v>180</v>
      </c>
      <c r="W55" s="3" t="s">
        <v>180</v>
      </c>
      <c r="X55" s="3" t="s">
        <v>180</v>
      </c>
      <c r="Y55" s="3" t="s">
        <v>180</v>
      </c>
      <c r="Z55" s="3" t="s">
        <v>180</v>
      </c>
      <c r="AA55" s="3" t="s">
        <v>180</v>
      </c>
      <c r="AB55" s="3" t="s">
        <v>180</v>
      </c>
      <c r="AC55" s="3" t="s">
        <v>180</v>
      </c>
      <c r="AD55" s="3" t="s">
        <v>180</v>
      </c>
    </row>
    <row r="56" spans="1:30" x14ac:dyDescent="0.4">
      <c r="A56" s="3">
        <f t="shared" si="0"/>
        <v>51</v>
      </c>
      <c r="B56" s="3">
        <f t="shared" si="1"/>
        <v>0</v>
      </c>
      <c r="C56" s="3" t="s">
        <v>3021</v>
      </c>
      <c r="D56" s="3" t="s">
        <v>252</v>
      </c>
      <c r="E56" s="3" t="s">
        <v>180</v>
      </c>
      <c r="F56" s="3" t="s">
        <v>179</v>
      </c>
      <c r="G56" s="3" t="s">
        <v>187</v>
      </c>
      <c r="H56" s="40">
        <v>36494</v>
      </c>
      <c r="I56" s="3">
        <v>267011</v>
      </c>
      <c r="J56" s="3" t="s">
        <v>180</v>
      </c>
      <c r="K56" s="3" t="s">
        <v>2568</v>
      </c>
      <c r="L56" s="3" t="s">
        <v>180</v>
      </c>
      <c r="M56" s="3" t="s">
        <v>180</v>
      </c>
      <c r="N56" s="3" t="s">
        <v>181</v>
      </c>
      <c r="O56" s="3" t="s">
        <v>182</v>
      </c>
      <c r="P56" s="3"/>
      <c r="Q56" s="3" t="s">
        <v>86</v>
      </c>
      <c r="R56" s="3" t="s">
        <v>182</v>
      </c>
      <c r="S56" s="42">
        <v>4.1666666666666664E-2</v>
      </c>
      <c r="T56" s="3" t="s">
        <v>2613</v>
      </c>
      <c r="U56" s="3" t="s">
        <v>188</v>
      </c>
      <c r="V56" s="3" t="s">
        <v>180</v>
      </c>
      <c r="W56" s="3" t="s">
        <v>180</v>
      </c>
      <c r="X56" s="3" t="s">
        <v>180</v>
      </c>
      <c r="Y56" s="3" t="s">
        <v>180</v>
      </c>
      <c r="Z56" s="3" t="s">
        <v>180</v>
      </c>
      <c r="AA56" s="3" t="s">
        <v>180</v>
      </c>
      <c r="AB56" s="3" t="s">
        <v>180</v>
      </c>
      <c r="AC56" s="3" t="s">
        <v>180</v>
      </c>
      <c r="AD56" s="3" t="s">
        <v>180</v>
      </c>
    </row>
    <row r="57" spans="1:30" x14ac:dyDescent="0.4">
      <c r="A57" s="3">
        <f t="shared" si="0"/>
        <v>52</v>
      </c>
      <c r="B57" s="3">
        <f t="shared" si="1"/>
        <v>0</v>
      </c>
      <c r="C57" s="3" t="s">
        <v>3021</v>
      </c>
      <c r="D57" s="3" t="s">
        <v>253</v>
      </c>
      <c r="E57" s="40">
        <v>44729</v>
      </c>
      <c r="F57" s="3" t="s">
        <v>179</v>
      </c>
      <c r="G57" s="3" t="s">
        <v>187</v>
      </c>
      <c r="H57" s="40">
        <v>44728.953969907408</v>
      </c>
      <c r="I57" s="3">
        <v>0</v>
      </c>
      <c r="J57" s="3" t="s">
        <v>194</v>
      </c>
      <c r="K57" s="3" t="s">
        <v>254</v>
      </c>
      <c r="L57" s="3" t="s">
        <v>180</v>
      </c>
      <c r="M57" s="3" t="s">
        <v>2614</v>
      </c>
      <c r="N57" s="3" t="s">
        <v>181</v>
      </c>
      <c r="O57" s="3" t="s">
        <v>182</v>
      </c>
      <c r="P57" s="3"/>
      <c r="Q57" s="3" t="s">
        <v>86</v>
      </c>
      <c r="R57" s="3" t="s">
        <v>182</v>
      </c>
      <c r="S57" s="41">
        <v>3</v>
      </c>
      <c r="T57" s="3" t="s">
        <v>2561</v>
      </c>
      <c r="U57" s="3" t="s">
        <v>209</v>
      </c>
      <c r="V57" s="42">
        <v>0</v>
      </c>
      <c r="W57" s="43">
        <v>37988</v>
      </c>
      <c r="X57" s="3" t="s">
        <v>180</v>
      </c>
      <c r="Y57" s="3" t="s">
        <v>180</v>
      </c>
      <c r="Z57" s="3" t="s">
        <v>180</v>
      </c>
      <c r="AA57" s="3" t="s">
        <v>255</v>
      </c>
      <c r="AB57" s="3" t="s">
        <v>211</v>
      </c>
      <c r="AC57" s="3" t="s">
        <v>182</v>
      </c>
      <c r="AD57" s="3" t="s">
        <v>182</v>
      </c>
    </row>
    <row r="58" spans="1:30" x14ac:dyDescent="0.4">
      <c r="A58" s="3">
        <f t="shared" si="0"/>
        <v>53</v>
      </c>
      <c r="B58" s="3">
        <f t="shared" si="1"/>
        <v>0</v>
      </c>
      <c r="C58" s="3" t="s">
        <v>3021</v>
      </c>
      <c r="D58" s="3" t="s">
        <v>256</v>
      </c>
      <c r="E58" s="3" t="s">
        <v>180</v>
      </c>
      <c r="F58" s="3" t="s">
        <v>179</v>
      </c>
      <c r="G58" s="3" t="s">
        <v>2615</v>
      </c>
      <c r="H58" s="40">
        <v>44728.690995370373</v>
      </c>
      <c r="I58" s="3">
        <v>0</v>
      </c>
      <c r="J58" s="3" t="s">
        <v>194</v>
      </c>
      <c r="K58" s="3" t="s">
        <v>2568</v>
      </c>
      <c r="L58" s="3" t="s">
        <v>180</v>
      </c>
      <c r="M58" s="3" t="s">
        <v>2616</v>
      </c>
      <c r="N58" s="3" t="s">
        <v>181</v>
      </c>
      <c r="O58" s="3" t="s">
        <v>182</v>
      </c>
      <c r="P58" s="3" t="s">
        <v>2566</v>
      </c>
      <c r="Q58" s="3" t="s">
        <v>86</v>
      </c>
      <c r="R58" s="3" t="s">
        <v>182</v>
      </c>
      <c r="S58" s="41">
        <v>3</v>
      </c>
      <c r="T58" s="3" t="s">
        <v>2603</v>
      </c>
      <c r="U58" s="3" t="s">
        <v>188</v>
      </c>
      <c r="V58" s="3" t="s">
        <v>180</v>
      </c>
      <c r="W58" s="3" t="s">
        <v>180</v>
      </c>
      <c r="X58" s="3" t="s">
        <v>180</v>
      </c>
      <c r="Y58" s="3" t="s">
        <v>180</v>
      </c>
      <c r="Z58" s="3" t="s">
        <v>180</v>
      </c>
      <c r="AA58" s="3" t="s">
        <v>180</v>
      </c>
      <c r="AB58" s="3" t="s">
        <v>180</v>
      </c>
      <c r="AC58" s="3" t="s">
        <v>180</v>
      </c>
      <c r="AD58" s="3" t="s">
        <v>180</v>
      </c>
    </row>
    <row r="59" spans="1:30" x14ac:dyDescent="0.4">
      <c r="A59" s="3">
        <f t="shared" si="0"/>
        <v>54</v>
      </c>
      <c r="B59" s="3">
        <f t="shared" si="1"/>
        <v>0</v>
      </c>
      <c r="C59" s="3" t="s">
        <v>3021</v>
      </c>
      <c r="D59" s="3" t="s">
        <v>2617</v>
      </c>
      <c r="E59" s="40">
        <v>44729.982997685183</v>
      </c>
      <c r="F59" s="3" t="s">
        <v>179</v>
      </c>
      <c r="G59" s="3" t="s">
        <v>187</v>
      </c>
      <c r="H59" s="40">
        <v>44728.977696759262</v>
      </c>
      <c r="I59" s="3">
        <v>0</v>
      </c>
      <c r="J59" s="3" t="s">
        <v>194</v>
      </c>
      <c r="K59" s="3" t="s">
        <v>2568</v>
      </c>
      <c r="L59" s="3" t="s">
        <v>180</v>
      </c>
      <c r="M59" s="3" t="s">
        <v>2618</v>
      </c>
      <c r="N59" s="3" t="s">
        <v>181</v>
      </c>
      <c r="O59" s="3" t="s">
        <v>182</v>
      </c>
      <c r="P59" s="3" t="s">
        <v>2566</v>
      </c>
      <c r="Q59" s="3" t="s">
        <v>86</v>
      </c>
      <c r="R59" s="3" t="s">
        <v>182</v>
      </c>
      <c r="S59" s="3" t="s">
        <v>2619</v>
      </c>
      <c r="T59" s="3" t="s">
        <v>2561</v>
      </c>
      <c r="U59" s="3" t="s">
        <v>184</v>
      </c>
      <c r="V59" s="42">
        <v>0.95833333333333337</v>
      </c>
      <c r="W59" s="43">
        <v>40544</v>
      </c>
      <c r="X59" s="3" t="s">
        <v>180</v>
      </c>
      <c r="Y59" s="3" t="s">
        <v>185</v>
      </c>
      <c r="Z59" s="3" t="s">
        <v>180</v>
      </c>
      <c r="AA59" s="3" t="s">
        <v>182</v>
      </c>
      <c r="AB59" s="3" t="s">
        <v>182</v>
      </c>
      <c r="AC59" s="3" t="s">
        <v>182</v>
      </c>
      <c r="AD59" s="3" t="s">
        <v>182</v>
      </c>
    </row>
    <row r="60" spans="1:30" x14ac:dyDescent="0.4">
      <c r="A60" s="3">
        <f t="shared" si="0"/>
        <v>55</v>
      </c>
      <c r="B60" s="3">
        <f t="shared" si="1"/>
        <v>0</v>
      </c>
      <c r="C60" s="3" t="s">
        <v>3021</v>
      </c>
      <c r="D60" s="3" t="s">
        <v>2617</v>
      </c>
      <c r="E60" s="40">
        <v>44729.987905092596</v>
      </c>
      <c r="F60" s="3" t="s">
        <v>179</v>
      </c>
      <c r="G60" s="3" t="s">
        <v>187</v>
      </c>
      <c r="H60" s="40">
        <v>44728.977696759262</v>
      </c>
      <c r="I60" s="3">
        <v>0</v>
      </c>
      <c r="J60" s="3" t="s">
        <v>194</v>
      </c>
      <c r="K60" s="3" t="s">
        <v>2568</v>
      </c>
      <c r="L60" s="3" t="s">
        <v>180</v>
      </c>
      <c r="M60" s="3" t="s">
        <v>2618</v>
      </c>
      <c r="N60" s="3" t="s">
        <v>181</v>
      </c>
      <c r="O60" s="3" t="s">
        <v>182</v>
      </c>
      <c r="P60" s="3" t="s">
        <v>2566</v>
      </c>
      <c r="Q60" s="3" t="s">
        <v>86</v>
      </c>
      <c r="R60" s="3" t="s">
        <v>182</v>
      </c>
      <c r="S60" s="3" t="s">
        <v>2619</v>
      </c>
      <c r="T60" s="3" t="s">
        <v>2561</v>
      </c>
      <c r="U60" s="3" t="s">
        <v>206</v>
      </c>
      <c r="V60" s="3" t="s">
        <v>180</v>
      </c>
      <c r="W60" s="3" t="s">
        <v>180</v>
      </c>
      <c r="X60" s="3" t="s">
        <v>180</v>
      </c>
      <c r="Y60" s="3" t="s">
        <v>180</v>
      </c>
      <c r="Z60" s="3" t="s">
        <v>180</v>
      </c>
      <c r="AA60" s="3" t="s">
        <v>180</v>
      </c>
      <c r="AB60" s="3" t="s">
        <v>180</v>
      </c>
      <c r="AC60" s="3" t="s">
        <v>180</v>
      </c>
      <c r="AD60" s="3" t="s">
        <v>180</v>
      </c>
    </row>
    <row r="61" spans="1:30" x14ac:dyDescent="0.4">
      <c r="A61" s="3">
        <f t="shared" si="0"/>
        <v>56</v>
      </c>
      <c r="B61" s="3">
        <f t="shared" si="1"/>
        <v>0</v>
      </c>
      <c r="C61" s="3" t="s">
        <v>3021</v>
      </c>
      <c r="D61" s="3" t="s">
        <v>257</v>
      </c>
      <c r="E61" s="3" t="s">
        <v>180</v>
      </c>
      <c r="F61" s="3" t="s">
        <v>179</v>
      </c>
      <c r="G61" s="3" t="s">
        <v>187</v>
      </c>
      <c r="H61" s="40">
        <v>36494</v>
      </c>
      <c r="I61" s="3">
        <v>267011</v>
      </c>
      <c r="J61" s="3" t="s">
        <v>194</v>
      </c>
      <c r="K61" s="3" t="s">
        <v>2568</v>
      </c>
      <c r="L61" s="3" t="s">
        <v>180</v>
      </c>
      <c r="M61" s="3" t="s">
        <v>2620</v>
      </c>
      <c r="N61" s="3" t="s">
        <v>181</v>
      </c>
      <c r="O61" s="3" t="s">
        <v>182</v>
      </c>
      <c r="P61" s="3" t="s">
        <v>2566</v>
      </c>
      <c r="Q61" s="3" t="s">
        <v>86</v>
      </c>
      <c r="R61" s="3" t="s">
        <v>182</v>
      </c>
      <c r="S61" s="3" t="s">
        <v>182</v>
      </c>
      <c r="T61" s="3" t="s">
        <v>2613</v>
      </c>
      <c r="U61" s="3" t="s">
        <v>188</v>
      </c>
      <c r="V61" s="3" t="s">
        <v>180</v>
      </c>
      <c r="W61" s="3" t="s">
        <v>180</v>
      </c>
      <c r="X61" s="3" t="s">
        <v>180</v>
      </c>
      <c r="Y61" s="3" t="s">
        <v>180</v>
      </c>
      <c r="Z61" s="3" t="s">
        <v>180</v>
      </c>
      <c r="AA61" s="3" t="s">
        <v>180</v>
      </c>
      <c r="AB61" s="3" t="s">
        <v>180</v>
      </c>
      <c r="AC61" s="3" t="s">
        <v>180</v>
      </c>
      <c r="AD61" s="3" t="s">
        <v>180</v>
      </c>
    </row>
    <row r="62" spans="1:30" x14ac:dyDescent="0.4">
      <c r="A62" s="3">
        <f t="shared" si="0"/>
        <v>57</v>
      </c>
      <c r="B62" s="3">
        <f t="shared" si="1"/>
        <v>0</v>
      </c>
      <c r="C62" s="3" t="s">
        <v>3021</v>
      </c>
      <c r="D62" s="3" t="s">
        <v>258</v>
      </c>
      <c r="E62" s="3" t="s">
        <v>180</v>
      </c>
      <c r="F62" s="3" t="s">
        <v>179</v>
      </c>
      <c r="G62" s="3" t="s">
        <v>187</v>
      </c>
      <c r="H62" s="40">
        <v>36494</v>
      </c>
      <c r="I62" s="3">
        <v>267011</v>
      </c>
      <c r="J62" s="3" t="s">
        <v>194</v>
      </c>
      <c r="K62" s="3" t="s">
        <v>2568</v>
      </c>
      <c r="L62" s="3" t="s">
        <v>180</v>
      </c>
      <c r="M62" s="3" t="s">
        <v>2621</v>
      </c>
      <c r="N62" s="3" t="s">
        <v>181</v>
      </c>
      <c r="O62" s="3" t="s">
        <v>182</v>
      </c>
      <c r="P62" s="3" t="s">
        <v>2566</v>
      </c>
      <c r="Q62" s="3" t="s">
        <v>86</v>
      </c>
      <c r="R62" s="3" t="s">
        <v>182</v>
      </c>
      <c r="S62" s="3" t="s">
        <v>182</v>
      </c>
      <c r="T62" s="3" t="s">
        <v>2561</v>
      </c>
      <c r="U62" s="3" t="s">
        <v>201</v>
      </c>
      <c r="V62" s="3" t="s">
        <v>180</v>
      </c>
      <c r="W62" s="3" t="s">
        <v>180</v>
      </c>
      <c r="X62" s="3" t="s">
        <v>180</v>
      </c>
      <c r="Y62" s="3" t="s">
        <v>180</v>
      </c>
      <c r="Z62" s="3" t="s">
        <v>180</v>
      </c>
      <c r="AA62" s="3" t="s">
        <v>180</v>
      </c>
      <c r="AB62" s="3" t="s">
        <v>180</v>
      </c>
      <c r="AC62" s="3" t="s">
        <v>180</v>
      </c>
      <c r="AD62" s="3" t="s">
        <v>180</v>
      </c>
    </row>
    <row r="63" spans="1:30" x14ac:dyDescent="0.4">
      <c r="A63" s="3">
        <f t="shared" si="0"/>
        <v>58</v>
      </c>
      <c r="B63" s="3">
        <f t="shared" si="1"/>
        <v>0</v>
      </c>
      <c r="C63" s="3" t="s">
        <v>3021</v>
      </c>
      <c r="D63" s="3" t="s">
        <v>259</v>
      </c>
      <c r="E63" s="3" t="s">
        <v>180</v>
      </c>
      <c r="F63" s="3" t="s">
        <v>179</v>
      </c>
      <c r="G63" s="3" t="s">
        <v>187</v>
      </c>
      <c r="H63" s="40">
        <v>44728.690995370373</v>
      </c>
      <c r="I63" s="3">
        <v>0</v>
      </c>
      <c r="J63" s="3" t="s">
        <v>194</v>
      </c>
      <c r="K63" s="3" t="s">
        <v>260</v>
      </c>
      <c r="L63" s="3" t="s">
        <v>180</v>
      </c>
      <c r="M63" s="3" t="s">
        <v>2622</v>
      </c>
      <c r="N63" s="3" t="s">
        <v>181</v>
      </c>
      <c r="O63" s="3" t="s">
        <v>182</v>
      </c>
      <c r="P63" s="3" t="s">
        <v>2566</v>
      </c>
      <c r="Q63" s="3" t="s">
        <v>86</v>
      </c>
      <c r="R63" s="3" t="s">
        <v>182</v>
      </c>
      <c r="S63" s="41">
        <v>3</v>
      </c>
      <c r="T63" s="3" t="s">
        <v>2561</v>
      </c>
      <c r="U63" s="3" t="s">
        <v>188</v>
      </c>
      <c r="V63" s="3" t="s">
        <v>180</v>
      </c>
      <c r="W63" s="3" t="s">
        <v>180</v>
      </c>
      <c r="X63" s="3" t="s">
        <v>180</v>
      </c>
      <c r="Y63" s="3" t="s">
        <v>180</v>
      </c>
      <c r="Z63" s="3" t="s">
        <v>180</v>
      </c>
      <c r="AA63" s="3" t="s">
        <v>180</v>
      </c>
      <c r="AB63" s="3" t="s">
        <v>180</v>
      </c>
      <c r="AC63" s="3" t="s">
        <v>180</v>
      </c>
      <c r="AD63" s="3" t="s">
        <v>180</v>
      </c>
    </row>
    <row r="64" spans="1:30" x14ac:dyDescent="0.4">
      <c r="A64" s="3">
        <f t="shared" si="0"/>
        <v>59</v>
      </c>
      <c r="B64" s="3">
        <f t="shared" si="1"/>
        <v>0</v>
      </c>
      <c r="C64" s="3" t="s">
        <v>3021</v>
      </c>
      <c r="D64" s="3" t="s">
        <v>261</v>
      </c>
      <c r="E64" s="40">
        <v>44729.167962962965</v>
      </c>
      <c r="F64" s="3" t="s">
        <v>179</v>
      </c>
      <c r="G64" s="3" t="s">
        <v>187</v>
      </c>
      <c r="H64" s="40">
        <v>44728.692511574074</v>
      </c>
      <c r="I64" s="3">
        <v>0</v>
      </c>
      <c r="J64" s="3" t="s">
        <v>180</v>
      </c>
      <c r="K64" s="3" t="s">
        <v>2623</v>
      </c>
      <c r="L64" s="3" t="s">
        <v>180</v>
      </c>
      <c r="M64" s="3" t="s">
        <v>180</v>
      </c>
      <c r="N64" s="3" t="s">
        <v>181</v>
      </c>
      <c r="O64" s="3" t="s">
        <v>182</v>
      </c>
      <c r="P64" s="3"/>
      <c r="Q64" s="3" t="s">
        <v>86</v>
      </c>
      <c r="R64" s="3" t="s">
        <v>182</v>
      </c>
      <c r="S64" s="41">
        <v>4</v>
      </c>
      <c r="T64" s="3" t="s">
        <v>2561</v>
      </c>
      <c r="U64" s="3" t="s">
        <v>209</v>
      </c>
      <c r="V64" s="42">
        <v>0.125</v>
      </c>
      <c r="W64" s="43">
        <v>39692</v>
      </c>
      <c r="X64" s="3" t="s">
        <v>180</v>
      </c>
      <c r="Y64" s="3" t="s">
        <v>180</v>
      </c>
      <c r="Z64" s="3" t="s">
        <v>180</v>
      </c>
      <c r="AA64" s="3" t="s">
        <v>210</v>
      </c>
      <c r="AB64" s="3" t="s">
        <v>211</v>
      </c>
      <c r="AC64" s="3" t="s">
        <v>182</v>
      </c>
      <c r="AD64" s="3" t="s">
        <v>182</v>
      </c>
    </row>
    <row r="65" spans="1:30" x14ac:dyDescent="0.4">
      <c r="A65" s="3">
        <f t="shared" si="0"/>
        <v>60</v>
      </c>
      <c r="B65" s="3">
        <f t="shared" si="1"/>
        <v>0</v>
      </c>
      <c r="C65" s="3" t="s">
        <v>3021</v>
      </c>
      <c r="D65" s="3" t="s">
        <v>261</v>
      </c>
      <c r="E65" s="40">
        <v>44729.207453703704</v>
      </c>
      <c r="F65" s="3" t="s">
        <v>179</v>
      </c>
      <c r="G65" s="3" t="s">
        <v>187</v>
      </c>
      <c r="H65" s="40">
        <v>44728.692511574074</v>
      </c>
      <c r="I65" s="3">
        <v>0</v>
      </c>
      <c r="J65" s="3" t="s">
        <v>180</v>
      </c>
      <c r="K65" s="3" t="s">
        <v>2623</v>
      </c>
      <c r="L65" s="3" t="s">
        <v>180</v>
      </c>
      <c r="M65" s="3" t="s">
        <v>180</v>
      </c>
      <c r="N65" s="3" t="s">
        <v>181</v>
      </c>
      <c r="O65" s="3" t="s">
        <v>182</v>
      </c>
      <c r="P65" s="3"/>
      <c r="Q65" s="3" t="s">
        <v>86</v>
      </c>
      <c r="R65" s="3" t="s">
        <v>182</v>
      </c>
      <c r="S65" s="41">
        <v>4</v>
      </c>
      <c r="T65" s="3" t="s">
        <v>2561</v>
      </c>
      <c r="U65" s="3" t="s">
        <v>201</v>
      </c>
      <c r="V65" s="3" t="s">
        <v>180</v>
      </c>
      <c r="W65" s="3" t="s">
        <v>180</v>
      </c>
      <c r="X65" s="3" t="s">
        <v>180</v>
      </c>
      <c r="Y65" s="3" t="s">
        <v>180</v>
      </c>
      <c r="Z65" s="3" t="s">
        <v>180</v>
      </c>
      <c r="AA65" s="3" t="s">
        <v>180</v>
      </c>
      <c r="AB65" s="3" t="s">
        <v>180</v>
      </c>
      <c r="AC65" s="3" t="s">
        <v>180</v>
      </c>
      <c r="AD65" s="3" t="s">
        <v>180</v>
      </c>
    </row>
    <row r="66" spans="1:30" x14ac:dyDescent="0.4">
      <c r="A66" s="3">
        <f t="shared" si="0"/>
        <v>61</v>
      </c>
      <c r="B66" s="3">
        <f t="shared" si="1"/>
        <v>0</v>
      </c>
      <c r="C66" s="3" t="s">
        <v>3021</v>
      </c>
      <c r="D66" s="3" t="s">
        <v>2624</v>
      </c>
      <c r="E66" s="3" t="s">
        <v>180</v>
      </c>
      <c r="F66" s="3" t="s">
        <v>179</v>
      </c>
      <c r="G66" s="3" t="s">
        <v>187</v>
      </c>
      <c r="H66" s="40">
        <v>44710.625509259262</v>
      </c>
      <c r="I66" s="3">
        <v>0</v>
      </c>
      <c r="J66" s="3" t="s">
        <v>180</v>
      </c>
      <c r="K66" s="3" t="s">
        <v>2625</v>
      </c>
      <c r="L66" s="3" t="s">
        <v>180</v>
      </c>
      <c r="M66" s="3" t="s">
        <v>180</v>
      </c>
      <c r="N66" s="3" t="s">
        <v>181</v>
      </c>
      <c r="O66" s="3" t="s">
        <v>2626</v>
      </c>
      <c r="P66" s="3"/>
      <c r="Q66" s="3" t="s">
        <v>216</v>
      </c>
      <c r="R66" s="3" t="s">
        <v>182</v>
      </c>
      <c r="S66" s="41">
        <v>4</v>
      </c>
      <c r="T66" s="3" t="s">
        <v>2627</v>
      </c>
      <c r="U66" s="3" t="s">
        <v>196</v>
      </c>
      <c r="V66" s="3" t="s">
        <v>180</v>
      </c>
      <c r="W66" s="3" t="s">
        <v>180</v>
      </c>
      <c r="X66" s="3" t="s">
        <v>180</v>
      </c>
      <c r="Y66" s="3" t="s">
        <v>180</v>
      </c>
      <c r="Z66" s="3" t="s">
        <v>180</v>
      </c>
      <c r="AA66" s="3" t="s">
        <v>180</v>
      </c>
      <c r="AB66" s="3" t="s">
        <v>180</v>
      </c>
      <c r="AC66" s="3" t="s">
        <v>180</v>
      </c>
      <c r="AD66" s="3" t="s">
        <v>180</v>
      </c>
    </row>
    <row r="67" spans="1:30" x14ac:dyDescent="0.4">
      <c r="A67" s="3">
        <f t="shared" si="0"/>
        <v>62</v>
      </c>
      <c r="B67" s="3">
        <f t="shared" si="1"/>
        <v>0</v>
      </c>
      <c r="C67" s="3" t="s">
        <v>3021</v>
      </c>
      <c r="D67" s="3" t="s">
        <v>262</v>
      </c>
      <c r="E67" s="3" t="s">
        <v>180</v>
      </c>
      <c r="F67" s="3" t="s">
        <v>179</v>
      </c>
      <c r="G67" s="3" t="s">
        <v>187</v>
      </c>
      <c r="H67" s="40">
        <v>44728.690995370373</v>
      </c>
      <c r="I67" s="3">
        <v>0</v>
      </c>
      <c r="J67" s="3" t="s">
        <v>194</v>
      </c>
      <c r="K67" s="3" t="s">
        <v>2568</v>
      </c>
      <c r="L67" s="3" t="s">
        <v>180</v>
      </c>
      <c r="M67" s="3" t="s">
        <v>2628</v>
      </c>
      <c r="N67" s="3" t="s">
        <v>181</v>
      </c>
      <c r="O67" s="3" t="s">
        <v>182</v>
      </c>
      <c r="P67" s="3" t="s">
        <v>2566</v>
      </c>
      <c r="Q67" s="3" t="s">
        <v>216</v>
      </c>
      <c r="R67" s="3" t="s">
        <v>182</v>
      </c>
      <c r="S67" s="41">
        <v>3</v>
      </c>
      <c r="T67" s="3" t="s">
        <v>2561</v>
      </c>
      <c r="U67" s="3" t="s">
        <v>188</v>
      </c>
      <c r="V67" s="3" t="s">
        <v>180</v>
      </c>
      <c r="W67" s="3" t="s">
        <v>180</v>
      </c>
      <c r="X67" s="3" t="s">
        <v>180</v>
      </c>
      <c r="Y67" s="3" t="s">
        <v>180</v>
      </c>
      <c r="Z67" s="3" t="s">
        <v>180</v>
      </c>
      <c r="AA67" s="3" t="s">
        <v>180</v>
      </c>
      <c r="AB67" s="3" t="s">
        <v>180</v>
      </c>
      <c r="AC67" s="3" t="s">
        <v>180</v>
      </c>
      <c r="AD67" s="3" t="s">
        <v>180</v>
      </c>
    </row>
    <row r="68" spans="1:30" x14ac:dyDescent="0.4">
      <c r="A68" s="3">
        <f t="shared" si="0"/>
        <v>63</v>
      </c>
      <c r="B68" s="3">
        <f t="shared" si="1"/>
        <v>0</v>
      </c>
      <c r="C68" s="3" t="s">
        <v>3021</v>
      </c>
      <c r="D68" s="3" t="s">
        <v>263</v>
      </c>
      <c r="E68" s="3" t="s">
        <v>180</v>
      </c>
      <c r="F68" s="3" t="s">
        <v>179</v>
      </c>
      <c r="G68" s="3" t="s">
        <v>187</v>
      </c>
      <c r="H68" s="40">
        <v>44728.690995370373</v>
      </c>
      <c r="I68" s="3">
        <v>0</v>
      </c>
      <c r="J68" s="3" t="s">
        <v>194</v>
      </c>
      <c r="K68" s="3" t="s">
        <v>2568</v>
      </c>
      <c r="L68" s="3" t="s">
        <v>180</v>
      </c>
      <c r="M68" s="3" t="s">
        <v>2629</v>
      </c>
      <c r="N68" s="3" t="s">
        <v>181</v>
      </c>
      <c r="O68" s="3" t="s">
        <v>182</v>
      </c>
      <c r="P68" s="3" t="s">
        <v>2566</v>
      </c>
      <c r="Q68" s="3" t="s">
        <v>216</v>
      </c>
      <c r="R68" s="3" t="s">
        <v>182</v>
      </c>
      <c r="S68" s="41">
        <v>3</v>
      </c>
      <c r="T68" s="3" t="s">
        <v>2561</v>
      </c>
      <c r="U68" s="3" t="s">
        <v>188</v>
      </c>
      <c r="V68" s="3" t="s">
        <v>180</v>
      </c>
      <c r="W68" s="3" t="s">
        <v>180</v>
      </c>
      <c r="X68" s="3" t="s">
        <v>180</v>
      </c>
      <c r="Y68" s="3" t="s">
        <v>180</v>
      </c>
      <c r="Z68" s="3" t="s">
        <v>180</v>
      </c>
      <c r="AA68" s="3" t="s">
        <v>180</v>
      </c>
      <c r="AB68" s="3" t="s">
        <v>180</v>
      </c>
      <c r="AC68" s="3" t="s">
        <v>180</v>
      </c>
      <c r="AD68" s="3" t="s">
        <v>180</v>
      </c>
    </row>
    <row r="69" spans="1:30" x14ac:dyDescent="0.4">
      <c r="A69" s="3">
        <f t="shared" si="0"/>
        <v>64</v>
      </c>
      <c r="B69" s="3">
        <f t="shared" si="1"/>
        <v>0</v>
      </c>
      <c r="C69" s="3" t="s">
        <v>3021</v>
      </c>
      <c r="D69" s="3" t="s">
        <v>2630</v>
      </c>
      <c r="E69" s="3" t="s">
        <v>180</v>
      </c>
      <c r="F69" s="3" t="s">
        <v>179</v>
      </c>
      <c r="G69" s="3" t="s">
        <v>187</v>
      </c>
      <c r="H69" s="40">
        <v>44693.424907407411</v>
      </c>
      <c r="I69" s="3">
        <v>0</v>
      </c>
      <c r="J69" s="3" t="s">
        <v>180</v>
      </c>
      <c r="K69" s="3" t="s">
        <v>2631</v>
      </c>
      <c r="L69" s="3" t="s">
        <v>180</v>
      </c>
      <c r="M69" s="3" t="s">
        <v>180</v>
      </c>
      <c r="N69" s="3" t="s">
        <v>181</v>
      </c>
      <c r="O69" s="3" t="s">
        <v>182</v>
      </c>
      <c r="P69" s="3"/>
      <c r="Q69" s="3" t="s">
        <v>86</v>
      </c>
      <c r="R69" s="3" t="s">
        <v>182</v>
      </c>
      <c r="S69" s="42">
        <v>8.3333333333333329E-2</v>
      </c>
      <c r="T69" s="3" t="s">
        <v>2561</v>
      </c>
      <c r="U69" s="3" t="s">
        <v>196</v>
      </c>
      <c r="V69" s="3" t="s">
        <v>180</v>
      </c>
      <c r="W69" s="3" t="s">
        <v>180</v>
      </c>
      <c r="X69" s="3" t="s">
        <v>180</v>
      </c>
      <c r="Y69" s="3" t="s">
        <v>180</v>
      </c>
      <c r="Z69" s="3" t="s">
        <v>180</v>
      </c>
      <c r="AA69" s="3" t="s">
        <v>180</v>
      </c>
      <c r="AB69" s="3" t="s">
        <v>180</v>
      </c>
      <c r="AC69" s="3" t="s">
        <v>180</v>
      </c>
      <c r="AD69" s="3" t="s">
        <v>180</v>
      </c>
    </row>
    <row r="70" spans="1:30" x14ac:dyDescent="0.4">
      <c r="A70" s="3">
        <f t="shared" si="0"/>
        <v>65</v>
      </c>
      <c r="B70" s="3">
        <f t="shared" si="1"/>
        <v>0</v>
      </c>
      <c r="C70" s="3" t="s">
        <v>3021</v>
      </c>
      <c r="D70" s="3" t="s">
        <v>2630</v>
      </c>
      <c r="E70" s="3" t="s">
        <v>180</v>
      </c>
      <c r="F70" s="3" t="s">
        <v>179</v>
      </c>
      <c r="G70" s="3" t="s">
        <v>187</v>
      </c>
      <c r="H70" s="40">
        <v>44693.424907407411</v>
      </c>
      <c r="I70" s="3">
        <v>0</v>
      </c>
      <c r="J70" s="3" t="s">
        <v>180</v>
      </c>
      <c r="K70" s="3" t="s">
        <v>2631</v>
      </c>
      <c r="L70" s="3" t="s">
        <v>180</v>
      </c>
      <c r="M70" s="3" t="s">
        <v>180</v>
      </c>
      <c r="N70" s="3" t="s">
        <v>181</v>
      </c>
      <c r="O70" s="3" t="s">
        <v>182</v>
      </c>
      <c r="P70" s="3"/>
      <c r="Q70" s="3" t="s">
        <v>86</v>
      </c>
      <c r="R70" s="3" t="s">
        <v>182</v>
      </c>
      <c r="S70" s="42">
        <v>8.3333333333333329E-2</v>
      </c>
      <c r="T70" s="3" t="s">
        <v>2561</v>
      </c>
      <c r="U70" s="3" t="s">
        <v>201</v>
      </c>
      <c r="V70" s="3" t="s">
        <v>180</v>
      </c>
      <c r="W70" s="3" t="s">
        <v>180</v>
      </c>
      <c r="X70" s="3" t="s">
        <v>180</v>
      </c>
      <c r="Y70" s="3" t="s">
        <v>180</v>
      </c>
      <c r="Z70" s="3" t="s">
        <v>180</v>
      </c>
      <c r="AA70" s="3" t="s">
        <v>180</v>
      </c>
      <c r="AB70" s="3" t="s">
        <v>180</v>
      </c>
      <c r="AC70" s="3" t="s">
        <v>180</v>
      </c>
      <c r="AD70" s="3" t="s">
        <v>180</v>
      </c>
    </row>
    <row r="71" spans="1:30" x14ac:dyDescent="0.4">
      <c r="A71" s="3">
        <f t="shared" si="0"/>
        <v>66</v>
      </c>
      <c r="B71" s="3">
        <f t="shared" si="1"/>
        <v>0</v>
      </c>
      <c r="C71" s="3" t="s">
        <v>3021</v>
      </c>
      <c r="D71" s="3" t="s">
        <v>264</v>
      </c>
      <c r="E71" s="3" t="s">
        <v>180</v>
      </c>
      <c r="F71" s="3" t="s">
        <v>179</v>
      </c>
      <c r="G71" s="3" t="s">
        <v>187</v>
      </c>
      <c r="H71" s="40">
        <v>44710.610937500001</v>
      </c>
      <c r="I71" s="3">
        <v>0</v>
      </c>
      <c r="J71" s="3" t="s">
        <v>180</v>
      </c>
      <c r="K71" s="3" t="s">
        <v>265</v>
      </c>
      <c r="L71" s="3" t="s">
        <v>180</v>
      </c>
      <c r="M71" s="3" t="s">
        <v>180</v>
      </c>
      <c r="N71" s="3" t="s">
        <v>181</v>
      </c>
      <c r="O71" s="3" t="s">
        <v>182</v>
      </c>
      <c r="P71" s="3"/>
      <c r="Q71" s="3" t="s">
        <v>86</v>
      </c>
      <c r="R71" s="3" t="s">
        <v>182</v>
      </c>
      <c r="S71" s="41">
        <v>3</v>
      </c>
      <c r="T71" s="3" t="s">
        <v>2632</v>
      </c>
      <c r="U71" s="3" t="s">
        <v>206</v>
      </c>
      <c r="V71" s="3" t="s">
        <v>180</v>
      </c>
      <c r="W71" s="3" t="s">
        <v>180</v>
      </c>
      <c r="X71" s="3" t="s">
        <v>180</v>
      </c>
      <c r="Y71" s="3" t="s">
        <v>180</v>
      </c>
      <c r="Z71" s="3" t="s">
        <v>180</v>
      </c>
      <c r="AA71" s="3" t="s">
        <v>180</v>
      </c>
      <c r="AB71" s="3" t="s">
        <v>180</v>
      </c>
      <c r="AC71" s="3" t="s">
        <v>180</v>
      </c>
      <c r="AD71" s="3" t="s">
        <v>180</v>
      </c>
    </row>
    <row r="72" spans="1:30" x14ac:dyDescent="0.4">
      <c r="A72" s="3">
        <f t="shared" ref="A72:A135" si="2">A71+1</f>
        <v>67</v>
      </c>
      <c r="B72" s="3">
        <f t="shared" ref="B72:B135" si="3">$B$6</f>
        <v>0</v>
      </c>
      <c r="C72" s="3" t="s">
        <v>3021</v>
      </c>
      <c r="D72" s="3" t="s">
        <v>264</v>
      </c>
      <c r="E72" s="3" t="s">
        <v>180</v>
      </c>
      <c r="F72" s="3" t="s">
        <v>179</v>
      </c>
      <c r="G72" s="3" t="s">
        <v>187</v>
      </c>
      <c r="H72" s="40">
        <v>44710.610937500001</v>
      </c>
      <c r="I72" s="3">
        <v>0</v>
      </c>
      <c r="J72" s="3" t="s">
        <v>180</v>
      </c>
      <c r="K72" s="3" t="s">
        <v>265</v>
      </c>
      <c r="L72" s="3" t="s">
        <v>180</v>
      </c>
      <c r="M72" s="3" t="s">
        <v>180</v>
      </c>
      <c r="N72" s="3" t="s">
        <v>181</v>
      </c>
      <c r="O72" s="3" t="s">
        <v>182</v>
      </c>
      <c r="P72" s="3"/>
      <c r="Q72" s="3" t="s">
        <v>86</v>
      </c>
      <c r="R72" s="3" t="s">
        <v>182</v>
      </c>
      <c r="S72" s="41">
        <v>3</v>
      </c>
      <c r="T72" s="3" t="s">
        <v>2632</v>
      </c>
      <c r="U72" s="3" t="s">
        <v>201</v>
      </c>
      <c r="V72" s="3" t="s">
        <v>180</v>
      </c>
      <c r="W72" s="3" t="s">
        <v>180</v>
      </c>
      <c r="X72" s="3" t="s">
        <v>180</v>
      </c>
      <c r="Y72" s="3" t="s">
        <v>180</v>
      </c>
      <c r="Z72" s="3" t="s">
        <v>180</v>
      </c>
      <c r="AA72" s="3" t="s">
        <v>180</v>
      </c>
      <c r="AB72" s="3" t="s">
        <v>180</v>
      </c>
      <c r="AC72" s="3" t="s">
        <v>180</v>
      </c>
      <c r="AD72" s="3" t="s">
        <v>180</v>
      </c>
    </row>
    <row r="73" spans="1:30" x14ac:dyDescent="0.4">
      <c r="A73" s="3">
        <f t="shared" si="2"/>
        <v>68</v>
      </c>
      <c r="B73" s="3">
        <f t="shared" si="3"/>
        <v>0</v>
      </c>
      <c r="C73" s="3" t="s">
        <v>3021</v>
      </c>
      <c r="D73" s="3" t="s">
        <v>264</v>
      </c>
      <c r="E73" s="3" t="s">
        <v>180</v>
      </c>
      <c r="F73" s="3" t="s">
        <v>179</v>
      </c>
      <c r="G73" s="3" t="s">
        <v>187</v>
      </c>
      <c r="H73" s="40">
        <v>44710.610937500001</v>
      </c>
      <c r="I73" s="3">
        <v>0</v>
      </c>
      <c r="J73" s="3" t="s">
        <v>180</v>
      </c>
      <c r="K73" s="3" t="s">
        <v>265</v>
      </c>
      <c r="L73" s="3" t="s">
        <v>180</v>
      </c>
      <c r="M73" s="3" t="s">
        <v>180</v>
      </c>
      <c r="N73" s="3" t="s">
        <v>181</v>
      </c>
      <c r="O73" s="3" t="s">
        <v>182</v>
      </c>
      <c r="P73" s="3"/>
      <c r="Q73" s="3" t="s">
        <v>86</v>
      </c>
      <c r="R73" s="3" t="s">
        <v>182</v>
      </c>
      <c r="S73" s="41">
        <v>3</v>
      </c>
      <c r="T73" s="3" t="s">
        <v>2632</v>
      </c>
      <c r="U73" s="3" t="s">
        <v>201</v>
      </c>
      <c r="V73" s="3" t="s">
        <v>180</v>
      </c>
      <c r="W73" s="3" t="s">
        <v>180</v>
      </c>
      <c r="X73" s="3" t="s">
        <v>180</v>
      </c>
      <c r="Y73" s="3" t="s">
        <v>180</v>
      </c>
      <c r="Z73" s="3" t="s">
        <v>180</v>
      </c>
      <c r="AA73" s="3" t="s">
        <v>180</v>
      </c>
      <c r="AB73" s="3" t="s">
        <v>180</v>
      </c>
      <c r="AC73" s="3" t="s">
        <v>180</v>
      </c>
      <c r="AD73" s="3" t="s">
        <v>180</v>
      </c>
    </row>
    <row r="74" spans="1:30" x14ac:dyDescent="0.4">
      <c r="A74" s="3">
        <f t="shared" si="2"/>
        <v>69</v>
      </c>
      <c r="B74" s="3">
        <f t="shared" si="3"/>
        <v>0</v>
      </c>
      <c r="C74" s="3" t="s">
        <v>3021</v>
      </c>
      <c r="D74" s="3" t="s">
        <v>266</v>
      </c>
      <c r="E74" s="3" t="s">
        <v>180</v>
      </c>
      <c r="F74" s="3" t="s">
        <v>179</v>
      </c>
      <c r="G74" s="3" t="s">
        <v>187</v>
      </c>
      <c r="H74" s="40">
        <v>44728.690995370373</v>
      </c>
      <c r="I74" s="3">
        <v>0</v>
      </c>
      <c r="J74" s="3" t="s">
        <v>194</v>
      </c>
      <c r="K74" s="3" t="s">
        <v>2633</v>
      </c>
      <c r="L74" s="3" t="s">
        <v>180</v>
      </c>
      <c r="M74" s="3" t="s">
        <v>2634</v>
      </c>
      <c r="N74" s="3" t="s">
        <v>181</v>
      </c>
      <c r="O74" s="3" t="s">
        <v>267</v>
      </c>
      <c r="P74" s="3" t="s">
        <v>2566</v>
      </c>
      <c r="Q74" s="3" t="s">
        <v>268</v>
      </c>
      <c r="R74" s="3" t="s">
        <v>182</v>
      </c>
      <c r="S74" s="42">
        <v>1.0416666666666666E-2</v>
      </c>
      <c r="T74" s="3" t="s">
        <v>2561</v>
      </c>
      <c r="U74" s="3" t="s">
        <v>188</v>
      </c>
      <c r="V74" s="3" t="s">
        <v>180</v>
      </c>
      <c r="W74" s="3" t="s">
        <v>180</v>
      </c>
      <c r="X74" s="3" t="s">
        <v>180</v>
      </c>
      <c r="Y74" s="3" t="s">
        <v>180</v>
      </c>
      <c r="Z74" s="3" t="s">
        <v>180</v>
      </c>
      <c r="AA74" s="3" t="s">
        <v>180</v>
      </c>
      <c r="AB74" s="3" t="s">
        <v>180</v>
      </c>
      <c r="AC74" s="3" t="s">
        <v>180</v>
      </c>
      <c r="AD74" s="3" t="s">
        <v>180</v>
      </c>
    </row>
    <row r="75" spans="1:30" x14ac:dyDescent="0.4">
      <c r="A75" s="3">
        <f t="shared" si="2"/>
        <v>70</v>
      </c>
      <c r="B75" s="3">
        <f t="shared" si="3"/>
        <v>0</v>
      </c>
      <c r="C75" s="3" t="s">
        <v>3021</v>
      </c>
      <c r="D75" s="3" t="s">
        <v>269</v>
      </c>
      <c r="E75" s="3" t="s">
        <v>180</v>
      </c>
      <c r="F75" s="3" t="s">
        <v>179</v>
      </c>
      <c r="G75" s="3" t="s">
        <v>187</v>
      </c>
      <c r="H75" s="40">
        <v>44728.690995370373</v>
      </c>
      <c r="I75" s="3">
        <v>0</v>
      </c>
      <c r="J75" s="3" t="s">
        <v>194</v>
      </c>
      <c r="K75" s="3" t="s">
        <v>270</v>
      </c>
      <c r="L75" s="3" t="s">
        <v>180</v>
      </c>
      <c r="M75" s="3" t="s">
        <v>2635</v>
      </c>
      <c r="N75" s="3" t="s">
        <v>181</v>
      </c>
      <c r="O75" s="3" t="s">
        <v>182</v>
      </c>
      <c r="P75" s="3" t="s">
        <v>271</v>
      </c>
      <c r="Q75" s="3" t="s">
        <v>86</v>
      </c>
      <c r="R75" s="3" t="s">
        <v>182</v>
      </c>
      <c r="S75" s="41">
        <v>3</v>
      </c>
      <c r="T75" s="3" t="s">
        <v>2561</v>
      </c>
      <c r="U75" s="3" t="s">
        <v>188</v>
      </c>
      <c r="V75" s="3" t="s">
        <v>180</v>
      </c>
      <c r="W75" s="3" t="s">
        <v>180</v>
      </c>
      <c r="X75" s="3" t="s">
        <v>180</v>
      </c>
      <c r="Y75" s="3" t="s">
        <v>180</v>
      </c>
      <c r="Z75" s="3" t="s">
        <v>180</v>
      </c>
      <c r="AA75" s="3" t="s">
        <v>180</v>
      </c>
      <c r="AB75" s="3" t="s">
        <v>180</v>
      </c>
      <c r="AC75" s="3" t="s">
        <v>180</v>
      </c>
      <c r="AD75" s="3" t="s">
        <v>180</v>
      </c>
    </row>
    <row r="76" spans="1:30" x14ac:dyDescent="0.4">
      <c r="A76" s="3">
        <f t="shared" si="2"/>
        <v>71</v>
      </c>
      <c r="B76" s="3">
        <f t="shared" si="3"/>
        <v>0</v>
      </c>
      <c r="C76" s="3" t="s">
        <v>3021</v>
      </c>
      <c r="D76" s="3" t="s">
        <v>272</v>
      </c>
      <c r="E76" s="3" t="s">
        <v>180</v>
      </c>
      <c r="F76" s="3" t="s">
        <v>182</v>
      </c>
      <c r="G76" s="3" t="s">
        <v>2636</v>
      </c>
      <c r="H76" s="40">
        <v>36494</v>
      </c>
      <c r="I76" s="3">
        <v>267011</v>
      </c>
      <c r="J76" s="3" t="s">
        <v>194</v>
      </c>
      <c r="K76" s="3" t="s">
        <v>273</v>
      </c>
      <c r="L76" s="3" t="s">
        <v>180</v>
      </c>
      <c r="M76" s="3" t="s">
        <v>2637</v>
      </c>
      <c r="N76" s="3" t="s">
        <v>182</v>
      </c>
      <c r="O76" s="3" t="s">
        <v>182</v>
      </c>
      <c r="P76" s="3"/>
      <c r="Q76" s="3" t="s">
        <v>268</v>
      </c>
      <c r="R76" s="3" t="s">
        <v>182</v>
      </c>
      <c r="S76" s="41">
        <v>3</v>
      </c>
      <c r="T76" s="3" t="s">
        <v>2638</v>
      </c>
      <c r="U76" s="3" t="s">
        <v>196</v>
      </c>
      <c r="V76" s="3" t="s">
        <v>180</v>
      </c>
      <c r="W76" s="3" t="s">
        <v>180</v>
      </c>
      <c r="X76" s="3" t="s">
        <v>180</v>
      </c>
      <c r="Y76" s="3" t="s">
        <v>180</v>
      </c>
      <c r="Z76" s="3" t="s">
        <v>180</v>
      </c>
      <c r="AA76" s="3" t="s">
        <v>180</v>
      </c>
      <c r="AB76" s="3" t="s">
        <v>180</v>
      </c>
      <c r="AC76" s="3" t="s">
        <v>180</v>
      </c>
      <c r="AD76" s="3" t="s">
        <v>180</v>
      </c>
    </row>
    <row r="77" spans="1:30" x14ac:dyDescent="0.4">
      <c r="A77" s="3">
        <f t="shared" si="2"/>
        <v>72</v>
      </c>
      <c r="B77" s="3">
        <f t="shared" si="3"/>
        <v>0</v>
      </c>
      <c r="C77" s="3" t="s">
        <v>3021</v>
      </c>
      <c r="D77" s="3" t="s">
        <v>274</v>
      </c>
      <c r="E77" s="3" t="s">
        <v>180</v>
      </c>
      <c r="F77" s="3" t="s">
        <v>179</v>
      </c>
      <c r="G77" s="3" t="s">
        <v>187</v>
      </c>
      <c r="H77" s="40">
        <v>44728.690995370373</v>
      </c>
      <c r="I77" s="3">
        <v>0</v>
      </c>
      <c r="J77" s="3" t="s">
        <v>180</v>
      </c>
      <c r="K77" s="3" t="s">
        <v>275</v>
      </c>
      <c r="L77" s="3" t="s">
        <v>180</v>
      </c>
      <c r="M77" s="3" t="s">
        <v>180</v>
      </c>
      <c r="N77" s="3" t="s">
        <v>181</v>
      </c>
      <c r="O77" s="3" t="s">
        <v>2639</v>
      </c>
      <c r="P77" s="3" t="s">
        <v>2566</v>
      </c>
      <c r="Q77" s="3" t="s">
        <v>86</v>
      </c>
      <c r="R77" s="3" t="s">
        <v>182</v>
      </c>
      <c r="S77" s="42">
        <v>4.1666666666666664E-2</v>
      </c>
      <c r="T77" s="3" t="s">
        <v>2561</v>
      </c>
      <c r="U77" s="3" t="s">
        <v>188</v>
      </c>
      <c r="V77" s="3" t="s">
        <v>180</v>
      </c>
      <c r="W77" s="3" t="s">
        <v>180</v>
      </c>
      <c r="X77" s="3" t="s">
        <v>180</v>
      </c>
      <c r="Y77" s="3" t="s">
        <v>180</v>
      </c>
      <c r="Z77" s="3" t="s">
        <v>180</v>
      </c>
      <c r="AA77" s="3" t="s">
        <v>180</v>
      </c>
      <c r="AB77" s="3" t="s">
        <v>180</v>
      </c>
      <c r="AC77" s="3" t="s">
        <v>180</v>
      </c>
      <c r="AD77" s="3" t="s">
        <v>180</v>
      </c>
    </row>
    <row r="78" spans="1:30" x14ac:dyDescent="0.4">
      <c r="A78" s="3">
        <f t="shared" si="2"/>
        <v>73</v>
      </c>
      <c r="B78" s="3">
        <f t="shared" si="3"/>
        <v>0</v>
      </c>
      <c r="C78" s="3" t="s">
        <v>3021</v>
      </c>
      <c r="D78" s="3" t="s">
        <v>276</v>
      </c>
      <c r="E78" s="3" t="s">
        <v>180</v>
      </c>
      <c r="F78" s="3" t="s">
        <v>179</v>
      </c>
      <c r="G78" s="3" t="s">
        <v>187</v>
      </c>
      <c r="H78" s="40">
        <v>44728.690995370373</v>
      </c>
      <c r="I78" s="3">
        <v>-2147221164</v>
      </c>
      <c r="J78" s="3" t="s">
        <v>180</v>
      </c>
      <c r="K78" s="3" t="s">
        <v>2568</v>
      </c>
      <c r="L78" s="3" t="s">
        <v>180</v>
      </c>
      <c r="M78" s="3" t="s">
        <v>180</v>
      </c>
      <c r="N78" s="3" t="s">
        <v>181</v>
      </c>
      <c r="O78" s="3" t="s">
        <v>2640</v>
      </c>
      <c r="P78" s="3" t="s">
        <v>2566</v>
      </c>
      <c r="Q78" s="3" t="s">
        <v>86</v>
      </c>
      <c r="R78" s="3" t="s">
        <v>182</v>
      </c>
      <c r="S78" s="42">
        <v>4.1666666666666664E-2</v>
      </c>
      <c r="T78" s="3" t="s">
        <v>2641</v>
      </c>
      <c r="U78" s="3" t="s">
        <v>188</v>
      </c>
      <c r="V78" s="3" t="s">
        <v>180</v>
      </c>
      <c r="W78" s="3" t="s">
        <v>180</v>
      </c>
      <c r="X78" s="3" t="s">
        <v>180</v>
      </c>
      <c r="Y78" s="3" t="s">
        <v>180</v>
      </c>
      <c r="Z78" s="3" t="s">
        <v>180</v>
      </c>
      <c r="AA78" s="3" t="s">
        <v>180</v>
      </c>
      <c r="AB78" s="3" t="s">
        <v>180</v>
      </c>
      <c r="AC78" s="3" t="s">
        <v>180</v>
      </c>
      <c r="AD78" s="3" t="s">
        <v>180</v>
      </c>
    </row>
    <row r="79" spans="1:30" x14ac:dyDescent="0.4">
      <c r="A79" s="3">
        <f t="shared" si="2"/>
        <v>74</v>
      </c>
      <c r="B79" s="3">
        <f t="shared" si="3"/>
        <v>0</v>
      </c>
      <c r="C79" s="3" t="s">
        <v>3021</v>
      </c>
      <c r="D79" s="3" t="s">
        <v>277</v>
      </c>
      <c r="E79" s="3" t="s">
        <v>180</v>
      </c>
      <c r="F79" s="3" t="s">
        <v>179</v>
      </c>
      <c r="G79" s="3" t="s">
        <v>187</v>
      </c>
      <c r="H79" s="40">
        <v>36494</v>
      </c>
      <c r="I79" s="3">
        <v>267011</v>
      </c>
      <c r="J79" s="3" t="s">
        <v>180</v>
      </c>
      <c r="K79" s="3" t="s">
        <v>2568</v>
      </c>
      <c r="L79" s="3" t="s">
        <v>180</v>
      </c>
      <c r="M79" s="3" t="s">
        <v>180</v>
      </c>
      <c r="N79" s="3" t="s">
        <v>181</v>
      </c>
      <c r="O79" s="3" t="s">
        <v>182</v>
      </c>
      <c r="P79" s="3" t="s">
        <v>2556</v>
      </c>
      <c r="Q79" s="3" t="s">
        <v>216</v>
      </c>
      <c r="R79" s="3" t="s">
        <v>182</v>
      </c>
      <c r="S79" s="41">
        <v>3</v>
      </c>
      <c r="T79" s="3" t="s">
        <v>2641</v>
      </c>
      <c r="U79" s="3" t="s">
        <v>201</v>
      </c>
      <c r="V79" s="3" t="s">
        <v>180</v>
      </c>
      <c r="W79" s="3" t="s">
        <v>180</v>
      </c>
      <c r="X79" s="3" t="s">
        <v>180</v>
      </c>
      <c r="Y79" s="3" t="s">
        <v>180</v>
      </c>
      <c r="Z79" s="3" t="s">
        <v>180</v>
      </c>
      <c r="AA79" s="3" t="s">
        <v>180</v>
      </c>
      <c r="AB79" s="3" t="s">
        <v>180</v>
      </c>
      <c r="AC79" s="3" t="s">
        <v>180</v>
      </c>
      <c r="AD79" s="3" t="s">
        <v>180</v>
      </c>
    </row>
    <row r="80" spans="1:30" x14ac:dyDescent="0.4">
      <c r="A80" s="3">
        <f t="shared" si="2"/>
        <v>75</v>
      </c>
      <c r="B80" s="3">
        <f t="shared" si="3"/>
        <v>0</v>
      </c>
      <c r="C80" s="3" t="s">
        <v>3021</v>
      </c>
      <c r="D80" s="3" t="s">
        <v>278</v>
      </c>
      <c r="E80" s="3" t="s">
        <v>180</v>
      </c>
      <c r="F80" s="3" t="s">
        <v>179</v>
      </c>
      <c r="G80" s="3" t="s">
        <v>187</v>
      </c>
      <c r="H80" s="40">
        <v>36494</v>
      </c>
      <c r="I80" s="3">
        <v>267011</v>
      </c>
      <c r="J80" s="3" t="s">
        <v>180</v>
      </c>
      <c r="K80" s="3" t="s">
        <v>2568</v>
      </c>
      <c r="L80" s="3" t="s">
        <v>180</v>
      </c>
      <c r="M80" s="3" t="s">
        <v>180</v>
      </c>
      <c r="N80" s="3" t="s">
        <v>181</v>
      </c>
      <c r="O80" s="3" t="s">
        <v>182</v>
      </c>
      <c r="P80" s="3" t="s">
        <v>2556</v>
      </c>
      <c r="Q80" s="3" t="s">
        <v>216</v>
      </c>
      <c r="R80" s="3" t="s">
        <v>182</v>
      </c>
      <c r="S80" s="41">
        <v>3</v>
      </c>
      <c r="T80" s="3" t="s">
        <v>2596</v>
      </c>
      <c r="U80" s="3" t="s">
        <v>201</v>
      </c>
      <c r="V80" s="3" t="s">
        <v>180</v>
      </c>
      <c r="W80" s="3" t="s">
        <v>180</v>
      </c>
      <c r="X80" s="3" t="s">
        <v>180</v>
      </c>
      <c r="Y80" s="3" t="s">
        <v>180</v>
      </c>
      <c r="Z80" s="3" t="s">
        <v>180</v>
      </c>
      <c r="AA80" s="3" t="s">
        <v>180</v>
      </c>
      <c r="AB80" s="3" t="s">
        <v>180</v>
      </c>
      <c r="AC80" s="3" t="s">
        <v>180</v>
      </c>
      <c r="AD80" s="3" t="s">
        <v>180</v>
      </c>
    </row>
    <row r="81" spans="1:30" x14ac:dyDescent="0.4">
      <c r="A81" s="3">
        <f t="shared" si="2"/>
        <v>76</v>
      </c>
      <c r="B81" s="3">
        <f t="shared" si="3"/>
        <v>0</v>
      </c>
      <c r="C81" s="3" t="s">
        <v>3021</v>
      </c>
      <c r="D81" s="3" t="s">
        <v>279</v>
      </c>
      <c r="E81" s="3" t="s">
        <v>180</v>
      </c>
      <c r="F81" s="3" t="s">
        <v>179</v>
      </c>
      <c r="G81" s="3" t="s">
        <v>187</v>
      </c>
      <c r="H81" s="40">
        <v>36494</v>
      </c>
      <c r="I81" s="3">
        <v>267011</v>
      </c>
      <c r="J81" s="3" t="s">
        <v>180</v>
      </c>
      <c r="K81" s="3" t="s">
        <v>2568</v>
      </c>
      <c r="L81" s="3" t="s">
        <v>180</v>
      </c>
      <c r="M81" s="3" t="s">
        <v>180</v>
      </c>
      <c r="N81" s="3" t="s">
        <v>181</v>
      </c>
      <c r="O81" s="3" t="s">
        <v>182</v>
      </c>
      <c r="P81" s="3" t="s">
        <v>2556</v>
      </c>
      <c r="Q81" s="3" t="s">
        <v>216</v>
      </c>
      <c r="R81" s="3" t="s">
        <v>182</v>
      </c>
      <c r="S81" s="41">
        <v>3</v>
      </c>
      <c r="T81" s="3" t="s">
        <v>2561</v>
      </c>
      <c r="U81" s="3" t="s">
        <v>201</v>
      </c>
      <c r="V81" s="3" t="s">
        <v>180</v>
      </c>
      <c r="W81" s="3" t="s">
        <v>180</v>
      </c>
      <c r="X81" s="3" t="s">
        <v>180</v>
      </c>
      <c r="Y81" s="3" t="s">
        <v>180</v>
      </c>
      <c r="Z81" s="3" t="s">
        <v>180</v>
      </c>
      <c r="AA81" s="3" t="s">
        <v>180</v>
      </c>
      <c r="AB81" s="3" t="s">
        <v>180</v>
      </c>
      <c r="AC81" s="3" t="s">
        <v>180</v>
      </c>
      <c r="AD81" s="3" t="s">
        <v>180</v>
      </c>
    </row>
    <row r="82" spans="1:30" x14ac:dyDescent="0.4">
      <c r="A82" s="3">
        <f t="shared" si="2"/>
        <v>77</v>
      </c>
      <c r="B82" s="3">
        <f t="shared" si="3"/>
        <v>0</v>
      </c>
      <c r="C82" s="3" t="s">
        <v>3021</v>
      </c>
      <c r="D82" s="3" t="s">
        <v>280</v>
      </c>
      <c r="E82" s="3" t="s">
        <v>180</v>
      </c>
      <c r="F82" s="3" t="s">
        <v>179</v>
      </c>
      <c r="G82" s="3" t="s">
        <v>187</v>
      </c>
      <c r="H82" s="40">
        <v>36494</v>
      </c>
      <c r="I82" s="3">
        <v>267011</v>
      </c>
      <c r="J82" s="3" t="s">
        <v>180</v>
      </c>
      <c r="K82" s="3" t="s">
        <v>2568</v>
      </c>
      <c r="L82" s="3" t="s">
        <v>180</v>
      </c>
      <c r="M82" s="3" t="s">
        <v>180</v>
      </c>
      <c r="N82" s="3" t="s">
        <v>181</v>
      </c>
      <c r="O82" s="3" t="s">
        <v>182</v>
      </c>
      <c r="P82" s="3"/>
      <c r="Q82" s="3" t="s">
        <v>216</v>
      </c>
      <c r="R82" s="3" t="s">
        <v>182</v>
      </c>
      <c r="S82" s="41">
        <v>3</v>
      </c>
      <c r="T82" s="3" t="s">
        <v>2561</v>
      </c>
      <c r="U82" s="3" t="s">
        <v>201</v>
      </c>
      <c r="V82" s="3" t="s">
        <v>180</v>
      </c>
      <c r="W82" s="3" t="s">
        <v>180</v>
      </c>
      <c r="X82" s="3" t="s">
        <v>180</v>
      </c>
      <c r="Y82" s="3" t="s">
        <v>180</v>
      </c>
      <c r="Z82" s="3" t="s">
        <v>180</v>
      </c>
      <c r="AA82" s="3" t="s">
        <v>180</v>
      </c>
      <c r="AB82" s="3" t="s">
        <v>180</v>
      </c>
      <c r="AC82" s="3" t="s">
        <v>180</v>
      </c>
      <c r="AD82" s="3" t="s">
        <v>180</v>
      </c>
    </row>
    <row r="83" spans="1:30" x14ac:dyDescent="0.4">
      <c r="A83" s="3">
        <f t="shared" si="2"/>
        <v>78</v>
      </c>
      <c r="B83" s="3">
        <f t="shared" si="3"/>
        <v>0</v>
      </c>
      <c r="C83" s="3" t="s">
        <v>3021</v>
      </c>
      <c r="D83" s="3" t="s">
        <v>281</v>
      </c>
      <c r="E83" s="3" t="s">
        <v>180</v>
      </c>
      <c r="F83" s="3" t="s">
        <v>179</v>
      </c>
      <c r="G83" s="3" t="s">
        <v>187</v>
      </c>
      <c r="H83" s="40">
        <v>44720.615555555552</v>
      </c>
      <c r="I83" s="3">
        <v>0</v>
      </c>
      <c r="J83" s="3" t="s">
        <v>194</v>
      </c>
      <c r="K83" s="3" t="s">
        <v>2568</v>
      </c>
      <c r="L83" s="3" t="s">
        <v>180</v>
      </c>
      <c r="M83" s="3" t="s">
        <v>2642</v>
      </c>
      <c r="N83" s="3" t="s">
        <v>181</v>
      </c>
      <c r="O83" s="3" t="s">
        <v>182</v>
      </c>
      <c r="P83" s="3"/>
      <c r="Q83" s="3" t="s">
        <v>86</v>
      </c>
      <c r="R83" s="3" t="s">
        <v>182</v>
      </c>
      <c r="S83" s="41">
        <v>3</v>
      </c>
      <c r="T83" s="3" t="s">
        <v>2561</v>
      </c>
      <c r="U83" s="3" t="s">
        <v>201</v>
      </c>
      <c r="V83" s="3" t="s">
        <v>180</v>
      </c>
      <c r="W83" s="3" t="s">
        <v>180</v>
      </c>
      <c r="X83" s="3" t="s">
        <v>180</v>
      </c>
      <c r="Y83" s="3" t="s">
        <v>180</v>
      </c>
      <c r="Z83" s="3" t="s">
        <v>180</v>
      </c>
      <c r="AA83" s="3" t="s">
        <v>180</v>
      </c>
      <c r="AB83" s="3" t="s">
        <v>180</v>
      </c>
      <c r="AC83" s="3" t="s">
        <v>180</v>
      </c>
      <c r="AD83" s="3" t="s">
        <v>180</v>
      </c>
    </row>
    <row r="84" spans="1:30" x14ac:dyDescent="0.4">
      <c r="A84" s="3">
        <f t="shared" si="2"/>
        <v>79</v>
      </c>
      <c r="B84" s="3">
        <f t="shared" si="3"/>
        <v>0</v>
      </c>
      <c r="C84" s="3" t="s">
        <v>3021</v>
      </c>
      <c r="D84" s="3" t="s">
        <v>281</v>
      </c>
      <c r="E84" s="3" t="s">
        <v>180</v>
      </c>
      <c r="F84" s="3" t="s">
        <v>179</v>
      </c>
      <c r="G84" s="3" t="s">
        <v>187</v>
      </c>
      <c r="H84" s="40">
        <v>44720.615555555552</v>
      </c>
      <c r="I84" s="3">
        <v>0</v>
      </c>
      <c r="J84" s="3" t="s">
        <v>194</v>
      </c>
      <c r="K84" s="3" t="s">
        <v>2568</v>
      </c>
      <c r="L84" s="3" t="s">
        <v>180</v>
      </c>
      <c r="M84" s="3" t="s">
        <v>2642</v>
      </c>
      <c r="N84" s="3" t="s">
        <v>181</v>
      </c>
      <c r="O84" s="3" t="s">
        <v>182</v>
      </c>
      <c r="P84" s="3"/>
      <c r="Q84" s="3" t="s">
        <v>86</v>
      </c>
      <c r="R84" s="3" t="s">
        <v>182</v>
      </c>
      <c r="S84" s="41">
        <v>3</v>
      </c>
      <c r="T84" s="3" t="s">
        <v>2561</v>
      </c>
      <c r="U84" s="3" t="s">
        <v>201</v>
      </c>
      <c r="V84" s="3" t="s">
        <v>180</v>
      </c>
      <c r="W84" s="3" t="s">
        <v>180</v>
      </c>
      <c r="X84" s="3" t="s">
        <v>180</v>
      </c>
      <c r="Y84" s="3" t="s">
        <v>180</v>
      </c>
      <c r="Z84" s="3" t="s">
        <v>180</v>
      </c>
      <c r="AA84" s="3" t="s">
        <v>180</v>
      </c>
      <c r="AB84" s="3" t="s">
        <v>180</v>
      </c>
      <c r="AC84" s="3" t="s">
        <v>180</v>
      </c>
      <c r="AD84" s="3" t="s">
        <v>180</v>
      </c>
    </row>
    <row r="85" spans="1:30" x14ac:dyDescent="0.4">
      <c r="A85" s="3">
        <f t="shared" si="2"/>
        <v>80</v>
      </c>
      <c r="B85" s="3">
        <f t="shared" si="3"/>
        <v>0</v>
      </c>
      <c r="C85" s="3" t="s">
        <v>3021</v>
      </c>
      <c r="D85" s="3" t="s">
        <v>281</v>
      </c>
      <c r="E85" s="3" t="s">
        <v>180</v>
      </c>
      <c r="F85" s="3" t="s">
        <v>179</v>
      </c>
      <c r="G85" s="3" t="s">
        <v>187</v>
      </c>
      <c r="H85" s="40">
        <v>44720.615555555552</v>
      </c>
      <c r="I85" s="3">
        <v>0</v>
      </c>
      <c r="J85" s="3" t="s">
        <v>194</v>
      </c>
      <c r="K85" s="3" t="s">
        <v>2568</v>
      </c>
      <c r="L85" s="3" t="s">
        <v>180</v>
      </c>
      <c r="M85" s="3" t="s">
        <v>2642</v>
      </c>
      <c r="N85" s="3" t="s">
        <v>181</v>
      </c>
      <c r="O85" s="3" t="s">
        <v>182</v>
      </c>
      <c r="P85" s="3"/>
      <c r="Q85" s="3" t="s">
        <v>86</v>
      </c>
      <c r="R85" s="3" t="s">
        <v>182</v>
      </c>
      <c r="S85" s="41">
        <v>3</v>
      </c>
      <c r="T85" s="3" t="s">
        <v>2561</v>
      </c>
      <c r="U85" s="3" t="s">
        <v>206</v>
      </c>
      <c r="V85" s="3" t="s">
        <v>180</v>
      </c>
      <c r="W85" s="3" t="s">
        <v>180</v>
      </c>
      <c r="X85" s="3" t="s">
        <v>180</v>
      </c>
      <c r="Y85" s="3" t="s">
        <v>180</v>
      </c>
      <c r="Z85" s="3" t="s">
        <v>180</v>
      </c>
      <c r="AA85" s="3" t="s">
        <v>180</v>
      </c>
      <c r="AB85" s="3" t="s">
        <v>180</v>
      </c>
      <c r="AC85" s="3" t="s">
        <v>180</v>
      </c>
      <c r="AD85" s="3" t="s">
        <v>180</v>
      </c>
    </row>
    <row r="86" spans="1:30" x14ac:dyDescent="0.4">
      <c r="A86" s="3">
        <f t="shared" si="2"/>
        <v>81</v>
      </c>
      <c r="B86" s="3">
        <f t="shared" si="3"/>
        <v>0</v>
      </c>
      <c r="C86" s="3" t="s">
        <v>3021</v>
      </c>
      <c r="D86" s="3" t="s">
        <v>282</v>
      </c>
      <c r="E86" s="3" t="s">
        <v>180</v>
      </c>
      <c r="F86" s="3" t="s">
        <v>182</v>
      </c>
      <c r="G86" s="3" t="s">
        <v>2643</v>
      </c>
      <c r="H86" s="40">
        <v>36494</v>
      </c>
      <c r="I86" s="3">
        <v>267011</v>
      </c>
      <c r="J86" s="3" t="s">
        <v>194</v>
      </c>
      <c r="K86" s="3" t="s">
        <v>2568</v>
      </c>
      <c r="L86" s="3" t="s">
        <v>180</v>
      </c>
      <c r="M86" s="3" t="s">
        <v>2644</v>
      </c>
      <c r="N86" s="3" t="s">
        <v>2619</v>
      </c>
      <c r="O86" s="3" t="s">
        <v>283</v>
      </c>
      <c r="P86" s="3"/>
      <c r="Q86" s="3" t="s">
        <v>86</v>
      </c>
      <c r="R86" s="3" t="s">
        <v>182</v>
      </c>
      <c r="S86" s="42">
        <v>3.472222222222222E-3</v>
      </c>
      <c r="T86" s="3" t="s">
        <v>2585</v>
      </c>
      <c r="U86" s="3" t="s">
        <v>184</v>
      </c>
      <c r="V86" s="42">
        <v>0.125</v>
      </c>
      <c r="W86" s="43">
        <v>39030</v>
      </c>
      <c r="X86" s="3" t="s">
        <v>180</v>
      </c>
      <c r="Y86" s="3" t="s">
        <v>185</v>
      </c>
      <c r="Z86" s="3" t="s">
        <v>180</v>
      </c>
      <c r="AA86" s="3" t="s">
        <v>182</v>
      </c>
      <c r="AB86" s="3" t="s">
        <v>182</v>
      </c>
      <c r="AC86" s="3" t="s">
        <v>182</v>
      </c>
      <c r="AD86" s="3" t="s">
        <v>182</v>
      </c>
    </row>
    <row r="87" spans="1:30" x14ac:dyDescent="0.4">
      <c r="A87" s="3">
        <f t="shared" si="2"/>
        <v>82</v>
      </c>
      <c r="B87" s="3">
        <f t="shared" si="3"/>
        <v>0</v>
      </c>
      <c r="C87" s="3" t="s">
        <v>3021</v>
      </c>
      <c r="D87" s="3" t="s">
        <v>284</v>
      </c>
      <c r="E87" s="3" t="s">
        <v>180</v>
      </c>
      <c r="F87" s="3" t="s">
        <v>179</v>
      </c>
      <c r="G87" s="3" t="s">
        <v>187</v>
      </c>
      <c r="H87" s="40">
        <v>44720.615555555552</v>
      </c>
      <c r="I87" s="3">
        <v>0</v>
      </c>
      <c r="J87" s="3" t="s">
        <v>194</v>
      </c>
      <c r="K87" s="3" t="s">
        <v>2568</v>
      </c>
      <c r="L87" s="3" t="s">
        <v>180</v>
      </c>
      <c r="M87" s="3" t="s">
        <v>285</v>
      </c>
      <c r="N87" s="3" t="s">
        <v>181</v>
      </c>
      <c r="O87" s="3" t="s">
        <v>2645</v>
      </c>
      <c r="P87" s="3"/>
      <c r="Q87" s="3" t="s">
        <v>86</v>
      </c>
      <c r="R87" s="3" t="s">
        <v>182</v>
      </c>
      <c r="S87" s="42">
        <v>3.472222222222222E-3</v>
      </c>
      <c r="T87" s="3" t="s">
        <v>2561</v>
      </c>
      <c r="U87" s="3" t="s">
        <v>201</v>
      </c>
      <c r="V87" s="3" t="s">
        <v>180</v>
      </c>
      <c r="W87" s="3" t="s">
        <v>180</v>
      </c>
      <c r="X87" s="3" t="s">
        <v>180</v>
      </c>
      <c r="Y87" s="3" t="s">
        <v>180</v>
      </c>
      <c r="Z87" s="3" t="s">
        <v>180</v>
      </c>
      <c r="AA87" s="3" t="s">
        <v>180</v>
      </c>
      <c r="AB87" s="3" t="s">
        <v>180</v>
      </c>
      <c r="AC87" s="3" t="s">
        <v>180</v>
      </c>
      <c r="AD87" s="3" t="s">
        <v>180</v>
      </c>
    </row>
    <row r="88" spans="1:30" x14ac:dyDescent="0.4">
      <c r="A88" s="3">
        <f t="shared" si="2"/>
        <v>83</v>
      </c>
      <c r="B88" s="3">
        <f t="shared" si="3"/>
        <v>0</v>
      </c>
      <c r="C88" s="3" t="s">
        <v>3021</v>
      </c>
      <c r="D88" s="3" t="s">
        <v>284</v>
      </c>
      <c r="E88" s="3" t="s">
        <v>180</v>
      </c>
      <c r="F88" s="3" t="s">
        <v>179</v>
      </c>
      <c r="G88" s="3" t="s">
        <v>187</v>
      </c>
      <c r="H88" s="40">
        <v>44720.615555555552</v>
      </c>
      <c r="I88" s="3">
        <v>0</v>
      </c>
      <c r="J88" s="3" t="s">
        <v>194</v>
      </c>
      <c r="K88" s="3" t="s">
        <v>2568</v>
      </c>
      <c r="L88" s="3" t="s">
        <v>180</v>
      </c>
      <c r="M88" s="3" t="s">
        <v>285</v>
      </c>
      <c r="N88" s="3" t="s">
        <v>181</v>
      </c>
      <c r="O88" s="3" t="s">
        <v>2645</v>
      </c>
      <c r="P88" s="3"/>
      <c r="Q88" s="3" t="s">
        <v>86</v>
      </c>
      <c r="R88" s="3" t="s">
        <v>182</v>
      </c>
      <c r="S88" s="42">
        <v>3.472222222222222E-3</v>
      </c>
      <c r="T88" s="3" t="s">
        <v>2561</v>
      </c>
      <c r="U88" s="3" t="s">
        <v>201</v>
      </c>
      <c r="V88" s="3" t="s">
        <v>180</v>
      </c>
      <c r="W88" s="3" t="s">
        <v>180</v>
      </c>
      <c r="X88" s="3" t="s">
        <v>180</v>
      </c>
      <c r="Y88" s="3" t="s">
        <v>180</v>
      </c>
      <c r="Z88" s="3" t="s">
        <v>180</v>
      </c>
      <c r="AA88" s="3" t="s">
        <v>180</v>
      </c>
      <c r="AB88" s="3" t="s">
        <v>180</v>
      </c>
      <c r="AC88" s="3" t="s">
        <v>180</v>
      </c>
      <c r="AD88" s="3" t="s">
        <v>180</v>
      </c>
    </row>
    <row r="89" spans="1:30" x14ac:dyDescent="0.4">
      <c r="A89" s="3">
        <f t="shared" si="2"/>
        <v>84</v>
      </c>
      <c r="B89" s="3">
        <f t="shared" si="3"/>
        <v>0</v>
      </c>
      <c r="C89" s="3" t="s">
        <v>3021</v>
      </c>
      <c r="D89" s="3" t="s">
        <v>284</v>
      </c>
      <c r="E89" s="3" t="s">
        <v>180</v>
      </c>
      <c r="F89" s="3" t="s">
        <v>179</v>
      </c>
      <c r="G89" s="3" t="s">
        <v>187</v>
      </c>
      <c r="H89" s="40">
        <v>44720.615555555552</v>
      </c>
      <c r="I89" s="3">
        <v>0</v>
      </c>
      <c r="J89" s="3" t="s">
        <v>194</v>
      </c>
      <c r="K89" s="3" t="s">
        <v>2568</v>
      </c>
      <c r="L89" s="3" t="s">
        <v>180</v>
      </c>
      <c r="M89" s="3" t="s">
        <v>285</v>
      </c>
      <c r="N89" s="3" t="s">
        <v>181</v>
      </c>
      <c r="O89" s="3" t="s">
        <v>2645</v>
      </c>
      <c r="P89" s="3"/>
      <c r="Q89" s="3" t="s">
        <v>86</v>
      </c>
      <c r="R89" s="3" t="s">
        <v>182</v>
      </c>
      <c r="S89" s="42">
        <v>3.472222222222222E-3</v>
      </c>
      <c r="T89" s="3" t="s">
        <v>2561</v>
      </c>
      <c r="U89" s="3" t="s">
        <v>201</v>
      </c>
      <c r="V89" s="3" t="s">
        <v>180</v>
      </c>
      <c r="W89" s="3" t="s">
        <v>180</v>
      </c>
      <c r="X89" s="3" t="s">
        <v>180</v>
      </c>
      <c r="Y89" s="3" t="s">
        <v>180</v>
      </c>
      <c r="Z89" s="3" t="s">
        <v>180</v>
      </c>
      <c r="AA89" s="3" t="s">
        <v>180</v>
      </c>
      <c r="AB89" s="3" t="s">
        <v>180</v>
      </c>
      <c r="AC89" s="3" t="s">
        <v>180</v>
      </c>
      <c r="AD89" s="3" t="s">
        <v>180</v>
      </c>
    </row>
    <row r="90" spans="1:30" x14ac:dyDescent="0.4">
      <c r="A90" s="3">
        <f t="shared" si="2"/>
        <v>85</v>
      </c>
      <c r="B90" s="3">
        <f t="shared" si="3"/>
        <v>0</v>
      </c>
      <c r="C90" s="3" t="s">
        <v>3021</v>
      </c>
      <c r="D90" s="3" t="s">
        <v>284</v>
      </c>
      <c r="E90" s="3" t="s">
        <v>180</v>
      </c>
      <c r="F90" s="3" t="s">
        <v>179</v>
      </c>
      <c r="G90" s="3" t="s">
        <v>187</v>
      </c>
      <c r="H90" s="40">
        <v>44720.615555555552</v>
      </c>
      <c r="I90" s="3">
        <v>0</v>
      </c>
      <c r="J90" s="3" t="s">
        <v>194</v>
      </c>
      <c r="K90" s="3" t="s">
        <v>2568</v>
      </c>
      <c r="L90" s="3" t="s">
        <v>180</v>
      </c>
      <c r="M90" s="3" t="s">
        <v>285</v>
      </c>
      <c r="N90" s="3" t="s">
        <v>181</v>
      </c>
      <c r="O90" s="3" t="s">
        <v>2645</v>
      </c>
      <c r="P90" s="3"/>
      <c r="Q90" s="3" t="s">
        <v>86</v>
      </c>
      <c r="R90" s="3" t="s">
        <v>182</v>
      </c>
      <c r="S90" s="42">
        <v>3.472222222222222E-3</v>
      </c>
      <c r="T90" s="3" t="s">
        <v>2561</v>
      </c>
      <c r="U90" s="3" t="s">
        <v>201</v>
      </c>
      <c r="V90" s="3" t="s">
        <v>180</v>
      </c>
      <c r="W90" s="3" t="s">
        <v>180</v>
      </c>
      <c r="X90" s="3" t="s">
        <v>180</v>
      </c>
      <c r="Y90" s="3" t="s">
        <v>180</v>
      </c>
      <c r="Z90" s="3" t="s">
        <v>180</v>
      </c>
      <c r="AA90" s="3" t="s">
        <v>180</v>
      </c>
      <c r="AB90" s="3" t="s">
        <v>180</v>
      </c>
      <c r="AC90" s="3" t="s">
        <v>180</v>
      </c>
      <c r="AD90" s="3" t="s">
        <v>180</v>
      </c>
    </row>
    <row r="91" spans="1:30" x14ac:dyDescent="0.4">
      <c r="A91" s="3">
        <f t="shared" si="2"/>
        <v>86</v>
      </c>
      <c r="B91" s="3">
        <f t="shared" si="3"/>
        <v>0</v>
      </c>
      <c r="C91" s="3" t="s">
        <v>3021</v>
      </c>
      <c r="D91" s="3" t="s">
        <v>284</v>
      </c>
      <c r="E91" s="3" t="s">
        <v>180</v>
      </c>
      <c r="F91" s="3" t="s">
        <v>179</v>
      </c>
      <c r="G91" s="3" t="s">
        <v>187</v>
      </c>
      <c r="H91" s="40">
        <v>44720.615555555552</v>
      </c>
      <c r="I91" s="3">
        <v>0</v>
      </c>
      <c r="J91" s="3" t="s">
        <v>194</v>
      </c>
      <c r="K91" s="3" t="s">
        <v>2568</v>
      </c>
      <c r="L91" s="3" t="s">
        <v>180</v>
      </c>
      <c r="M91" s="3" t="s">
        <v>285</v>
      </c>
      <c r="N91" s="3" t="s">
        <v>181</v>
      </c>
      <c r="O91" s="3" t="s">
        <v>2645</v>
      </c>
      <c r="P91" s="3"/>
      <c r="Q91" s="3" t="s">
        <v>86</v>
      </c>
      <c r="R91" s="3" t="s">
        <v>182</v>
      </c>
      <c r="S91" s="42">
        <v>3.472222222222222E-3</v>
      </c>
      <c r="T91" s="3" t="s">
        <v>2561</v>
      </c>
      <c r="U91" s="3" t="s">
        <v>201</v>
      </c>
      <c r="V91" s="3" t="s">
        <v>180</v>
      </c>
      <c r="W91" s="3" t="s">
        <v>180</v>
      </c>
      <c r="X91" s="3" t="s">
        <v>180</v>
      </c>
      <c r="Y91" s="3" t="s">
        <v>180</v>
      </c>
      <c r="Z91" s="3" t="s">
        <v>180</v>
      </c>
      <c r="AA91" s="3" t="s">
        <v>180</v>
      </c>
      <c r="AB91" s="3" t="s">
        <v>180</v>
      </c>
      <c r="AC91" s="3" t="s">
        <v>180</v>
      </c>
      <c r="AD91" s="3" t="s">
        <v>180</v>
      </c>
    </row>
    <row r="92" spans="1:30" x14ac:dyDescent="0.4">
      <c r="A92" s="3">
        <f t="shared" si="2"/>
        <v>87</v>
      </c>
      <c r="B92" s="3">
        <f t="shared" si="3"/>
        <v>0</v>
      </c>
      <c r="C92" s="3" t="s">
        <v>3021</v>
      </c>
      <c r="D92" s="3" t="s">
        <v>2646</v>
      </c>
      <c r="E92" s="3" t="s">
        <v>180</v>
      </c>
      <c r="F92" s="3" t="s">
        <v>179</v>
      </c>
      <c r="G92" s="3" t="s">
        <v>187</v>
      </c>
      <c r="H92" s="40">
        <v>36494</v>
      </c>
      <c r="I92" s="3">
        <v>267011</v>
      </c>
      <c r="J92" s="3" t="s">
        <v>194</v>
      </c>
      <c r="K92" s="3" t="s">
        <v>2568</v>
      </c>
      <c r="L92" s="3" t="s">
        <v>180</v>
      </c>
      <c r="M92" s="3" t="s">
        <v>2647</v>
      </c>
      <c r="N92" s="3" t="s">
        <v>181</v>
      </c>
      <c r="O92" s="3" t="s">
        <v>182</v>
      </c>
      <c r="P92" s="3"/>
      <c r="Q92" s="3" t="s">
        <v>86</v>
      </c>
      <c r="R92" s="3" t="s">
        <v>182</v>
      </c>
      <c r="S92" s="42">
        <v>3.472222222222222E-3</v>
      </c>
      <c r="T92" s="3" t="s">
        <v>2561</v>
      </c>
      <c r="U92" s="3" t="s">
        <v>201</v>
      </c>
      <c r="V92" s="3" t="s">
        <v>180</v>
      </c>
      <c r="W92" s="3" t="s">
        <v>180</v>
      </c>
      <c r="X92" s="3" t="s">
        <v>180</v>
      </c>
      <c r="Y92" s="3" t="s">
        <v>180</v>
      </c>
      <c r="Z92" s="3" t="s">
        <v>180</v>
      </c>
      <c r="AA92" s="3" t="s">
        <v>180</v>
      </c>
      <c r="AB92" s="3" t="s">
        <v>180</v>
      </c>
      <c r="AC92" s="3" t="s">
        <v>180</v>
      </c>
      <c r="AD92" s="3" t="s">
        <v>180</v>
      </c>
    </row>
    <row r="93" spans="1:30" x14ac:dyDescent="0.4">
      <c r="A93" s="3">
        <f t="shared" si="2"/>
        <v>88</v>
      </c>
      <c r="B93" s="3">
        <f t="shared" si="3"/>
        <v>0</v>
      </c>
      <c r="C93" s="3" t="s">
        <v>3021</v>
      </c>
      <c r="D93" s="3" t="s">
        <v>2646</v>
      </c>
      <c r="E93" s="3" t="s">
        <v>180</v>
      </c>
      <c r="F93" s="3" t="s">
        <v>179</v>
      </c>
      <c r="G93" s="3" t="s">
        <v>187</v>
      </c>
      <c r="H93" s="40">
        <v>36494</v>
      </c>
      <c r="I93" s="3">
        <v>267011</v>
      </c>
      <c r="J93" s="3" t="s">
        <v>194</v>
      </c>
      <c r="K93" s="3" t="s">
        <v>2568</v>
      </c>
      <c r="L93" s="3" t="s">
        <v>180</v>
      </c>
      <c r="M93" s="3" t="s">
        <v>2647</v>
      </c>
      <c r="N93" s="3" t="s">
        <v>181</v>
      </c>
      <c r="O93" s="3" t="s">
        <v>182</v>
      </c>
      <c r="P93" s="3"/>
      <c r="Q93" s="3" t="s">
        <v>86</v>
      </c>
      <c r="R93" s="3" t="s">
        <v>182</v>
      </c>
      <c r="S93" s="42">
        <v>3.472222222222222E-3</v>
      </c>
      <c r="T93" s="3" t="s">
        <v>2561</v>
      </c>
      <c r="U93" s="3" t="s">
        <v>201</v>
      </c>
      <c r="V93" s="3" t="s">
        <v>180</v>
      </c>
      <c r="W93" s="3" t="s">
        <v>180</v>
      </c>
      <c r="X93" s="3" t="s">
        <v>180</v>
      </c>
      <c r="Y93" s="3" t="s">
        <v>180</v>
      </c>
      <c r="Z93" s="3" t="s">
        <v>180</v>
      </c>
      <c r="AA93" s="3" t="s">
        <v>180</v>
      </c>
      <c r="AB93" s="3" t="s">
        <v>180</v>
      </c>
      <c r="AC93" s="3" t="s">
        <v>180</v>
      </c>
      <c r="AD93" s="3" t="s">
        <v>180</v>
      </c>
    </row>
    <row r="94" spans="1:30" x14ac:dyDescent="0.4">
      <c r="A94" s="3">
        <f t="shared" si="2"/>
        <v>89</v>
      </c>
      <c r="B94" s="3">
        <f t="shared" si="3"/>
        <v>0</v>
      </c>
      <c r="C94" s="3" t="s">
        <v>3021</v>
      </c>
      <c r="D94" s="3" t="s">
        <v>2646</v>
      </c>
      <c r="E94" s="3" t="s">
        <v>180</v>
      </c>
      <c r="F94" s="3" t="s">
        <v>179</v>
      </c>
      <c r="G94" s="3" t="s">
        <v>187</v>
      </c>
      <c r="H94" s="40">
        <v>36494</v>
      </c>
      <c r="I94" s="3">
        <v>267011</v>
      </c>
      <c r="J94" s="3" t="s">
        <v>194</v>
      </c>
      <c r="K94" s="3" t="s">
        <v>2568</v>
      </c>
      <c r="L94" s="3" t="s">
        <v>180</v>
      </c>
      <c r="M94" s="3" t="s">
        <v>2647</v>
      </c>
      <c r="N94" s="3" t="s">
        <v>181</v>
      </c>
      <c r="O94" s="3" t="s">
        <v>182</v>
      </c>
      <c r="P94" s="3"/>
      <c r="Q94" s="3" t="s">
        <v>86</v>
      </c>
      <c r="R94" s="3" t="s">
        <v>182</v>
      </c>
      <c r="S94" s="42">
        <v>3.472222222222222E-3</v>
      </c>
      <c r="T94" s="3" t="s">
        <v>2561</v>
      </c>
      <c r="U94" s="3" t="s">
        <v>201</v>
      </c>
      <c r="V94" s="3" t="s">
        <v>180</v>
      </c>
      <c r="W94" s="3" t="s">
        <v>180</v>
      </c>
      <c r="X94" s="3" t="s">
        <v>180</v>
      </c>
      <c r="Y94" s="3" t="s">
        <v>180</v>
      </c>
      <c r="Z94" s="3" t="s">
        <v>180</v>
      </c>
      <c r="AA94" s="3" t="s">
        <v>180</v>
      </c>
      <c r="AB94" s="3" t="s">
        <v>180</v>
      </c>
      <c r="AC94" s="3" t="s">
        <v>180</v>
      </c>
      <c r="AD94" s="3" t="s">
        <v>180</v>
      </c>
    </row>
    <row r="95" spans="1:30" x14ac:dyDescent="0.4">
      <c r="A95" s="3">
        <f t="shared" si="2"/>
        <v>90</v>
      </c>
      <c r="B95" s="3">
        <f t="shared" si="3"/>
        <v>0</v>
      </c>
      <c r="C95" s="3" t="s">
        <v>3021</v>
      </c>
      <c r="D95" s="3" t="s">
        <v>2648</v>
      </c>
      <c r="E95" s="3" t="s">
        <v>180</v>
      </c>
      <c r="F95" s="3" t="s">
        <v>179</v>
      </c>
      <c r="G95" s="3" t="s">
        <v>187</v>
      </c>
      <c r="H95" s="40">
        <v>44728.690995370373</v>
      </c>
      <c r="I95" s="3">
        <v>0</v>
      </c>
      <c r="J95" s="3" t="s">
        <v>194</v>
      </c>
      <c r="K95" s="3" t="s">
        <v>2568</v>
      </c>
      <c r="L95" s="3" t="s">
        <v>180</v>
      </c>
      <c r="M95" s="3" t="s">
        <v>2649</v>
      </c>
      <c r="N95" s="3" t="s">
        <v>181</v>
      </c>
      <c r="O95" s="3" t="s">
        <v>182</v>
      </c>
      <c r="P95" s="3"/>
      <c r="Q95" s="3" t="s">
        <v>86</v>
      </c>
      <c r="R95" s="3" t="s">
        <v>182</v>
      </c>
      <c r="S95" s="42">
        <v>3.472222222222222E-3</v>
      </c>
      <c r="T95" s="3" t="s">
        <v>2561</v>
      </c>
      <c r="U95" s="3" t="s">
        <v>188</v>
      </c>
      <c r="V95" s="3" t="s">
        <v>180</v>
      </c>
      <c r="W95" s="3" t="s">
        <v>180</v>
      </c>
      <c r="X95" s="3" t="s">
        <v>180</v>
      </c>
      <c r="Y95" s="3" t="s">
        <v>180</v>
      </c>
      <c r="Z95" s="3" t="s">
        <v>180</v>
      </c>
      <c r="AA95" s="3" t="s">
        <v>180</v>
      </c>
      <c r="AB95" s="3" t="s">
        <v>180</v>
      </c>
      <c r="AC95" s="3" t="s">
        <v>180</v>
      </c>
      <c r="AD95" s="3" t="s">
        <v>180</v>
      </c>
    </row>
    <row r="96" spans="1:30" x14ac:dyDescent="0.4">
      <c r="A96" s="3">
        <f t="shared" si="2"/>
        <v>91</v>
      </c>
      <c r="B96" s="3">
        <f t="shared" si="3"/>
        <v>0</v>
      </c>
      <c r="C96" s="3" t="s">
        <v>3021</v>
      </c>
      <c r="D96" s="3" t="s">
        <v>286</v>
      </c>
      <c r="E96" s="40">
        <v>44729.050185185188</v>
      </c>
      <c r="F96" s="3" t="s">
        <v>179</v>
      </c>
      <c r="G96" s="3" t="s">
        <v>2650</v>
      </c>
      <c r="H96" s="40">
        <v>44728.953969907408</v>
      </c>
      <c r="I96" s="3">
        <v>0</v>
      </c>
      <c r="J96" s="3" t="s">
        <v>194</v>
      </c>
      <c r="K96" s="3" t="s">
        <v>2568</v>
      </c>
      <c r="L96" s="3" t="s">
        <v>180</v>
      </c>
      <c r="M96" s="3" t="s">
        <v>2651</v>
      </c>
      <c r="N96" s="3" t="s">
        <v>181</v>
      </c>
      <c r="O96" s="3" t="s">
        <v>182</v>
      </c>
      <c r="P96" s="3"/>
      <c r="Q96" s="3" t="s">
        <v>86</v>
      </c>
      <c r="R96" s="3" t="s">
        <v>182</v>
      </c>
      <c r="S96" s="42">
        <v>3.472222222222222E-3</v>
      </c>
      <c r="T96" s="3" t="s">
        <v>2561</v>
      </c>
      <c r="U96" s="3" t="s">
        <v>320</v>
      </c>
      <c r="V96" s="42">
        <v>1.4432870370370372E-2</v>
      </c>
      <c r="W96" s="43">
        <v>44729</v>
      </c>
      <c r="X96" s="3" t="s">
        <v>180</v>
      </c>
      <c r="Y96" s="3" t="s">
        <v>180</v>
      </c>
      <c r="Z96" s="3" t="s">
        <v>180</v>
      </c>
      <c r="AA96" s="3" t="s">
        <v>2652</v>
      </c>
      <c r="AB96" s="3" t="s">
        <v>211</v>
      </c>
      <c r="AC96" s="3" t="s">
        <v>182</v>
      </c>
      <c r="AD96" s="3" t="s">
        <v>182</v>
      </c>
    </row>
    <row r="97" spans="1:30" x14ac:dyDescent="0.4">
      <c r="A97" s="3">
        <f t="shared" si="2"/>
        <v>92</v>
      </c>
      <c r="B97" s="3">
        <f t="shared" si="3"/>
        <v>0</v>
      </c>
      <c r="C97" s="3" t="s">
        <v>3021</v>
      </c>
      <c r="D97" s="3" t="s">
        <v>286</v>
      </c>
      <c r="E97" s="40">
        <v>44729.050081018519</v>
      </c>
      <c r="F97" s="3" t="s">
        <v>179</v>
      </c>
      <c r="G97" s="3" t="s">
        <v>2650</v>
      </c>
      <c r="H97" s="40">
        <v>44728.953969907408</v>
      </c>
      <c r="I97" s="3">
        <v>0</v>
      </c>
      <c r="J97" s="3" t="s">
        <v>194</v>
      </c>
      <c r="K97" s="3" t="s">
        <v>2568</v>
      </c>
      <c r="L97" s="3" t="s">
        <v>180</v>
      </c>
      <c r="M97" s="3" t="s">
        <v>2651</v>
      </c>
      <c r="N97" s="3" t="s">
        <v>181</v>
      </c>
      <c r="O97" s="3" t="s">
        <v>182</v>
      </c>
      <c r="P97" s="3"/>
      <c r="Q97" s="3" t="s">
        <v>86</v>
      </c>
      <c r="R97" s="3" t="s">
        <v>182</v>
      </c>
      <c r="S97" s="42">
        <v>3.472222222222222E-3</v>
      </c>
      <c r="T97" s="3" t="s">
        <v>2561</v>
      </c>
      <c r="U97" s="3" t="s">
        <v>201</v>
      </c>
      <c r="V97" s="3" t="s">
        <v>180</v>
      </c>
      <c r="W97" s="3" t="s">
        <v>180</v>
      </c>
      <c r="X97" s="3" t="s">
        <v>180</v>
      </c>
      <c r="Y97" s="3" t="s">
        <v>180</v>
      </c>
      <c r="Z97" s="3" t="s">
        <v>180</v>
      </c>
      <c r="AA97" s="3" t="s">
        <v>180</v>
      </c>
      <c r="AB97" s="3" t="s">
        <v>180</v>
      </c>
      <c r="AC97" s="3" t="s">
        <v>180</v>
      </c>
      <c r="AD97" s="3" t="s">
        <v>180</v>
      </c>
    </row>
    <row r="98" spans="1:30" x14ac:dyDescent="0.4">
      <c r="A98" s="3">
        <f t="shared" si="2"/>
        <v>93</v>
      </c>
      <c r="B98" s="3">
        <f t="shared" si="3"/>
        <v>0</v>
      </c>
      <c r="C98" s="3" t="s">
        <v>3021</v>
      </c>
      <c r="D98" s="3" t="s">
        <v>2653</v>
      </c>
      <c r="E98" s="3" t="s">
        <v>180</v>
      </c>
      <c r="F98" s="3" t="s">
        <v>179</v>
      </c>
      <c r="G98" s="3" t="s">
        <v>187</v>
      </c>
      <c r="H98" s="40">
        <v>44693.419247685182</v>
      </c>
      <c r="I98" s="3">
        <v>0</v>
      </c>
      <c r="J98" s="3" t="s">
        <v>180</v>
      </c>
      <c r="K98" s="3" t="s">
        <v>2568</v>
      </c>
      <c r="L98" s="3" t="s">
        <v>180</v>
      </c>
      <c r="M98" s="3" t="s">
        <v>180</v>
      </c>
      <c r="N98" s="3" t="s">
        <v>181</v>
      </c>
      <c r="O98" s="3" t="s">
        <v>182</v>
      </c>
      <c r="P98" s="3"/>
      <c r="Q98" s="3" t="s">
        <v>216</v>
      </c>
      <c r="R98" s="3" t="s">
        <v>182</v>
      </c>
      <c r="S98" s="3" t="s">
        <v>182</v>
      </c>
      <c r="T98" s="3" t="s">
        <v>2561</v>
      </c>
      <c r="U98" s="3" t="s">
        <v>201</v>
      </c>
      <c r="V98" s="3" t="s">
        <v>180</v>
      </c>
      <c r="W98" s="3" t="s">
        <v>180</v>
      </c>
      <c r="X98" s="3" t="s">
        <v>180</v>
      </c>
      <c r="Y98" s="3" t="s">
        <v>180</v>
      </c>
      <c r="Z98" s="3" t="s">
        <v>180</v>
      </c>
      <c r="AA98" s="3" t="s">
        <v>180</v>
      </c>
      <c r="AB98" s="3" t="s">
        <v>180</v>
      </c>
      <c r="AC98" s="3" t="s">
        <v>180</v>
      </c>
      <c r="AD98" s="3" t="s">
        <v>180</v>
      </c>
    </row>
    <row r="99" spans="1:30" x14ac:dyDescent="0.4">
      <c r="A99" s="3">
        <f t="shared" si="2"/>
        <v>94</v>
      </c>
      <c r="B99" s="3">
        <f t="shared" si="3"/>
        <v>0</v>
      </c>
      <c r="C99" s="3" t="s">
        <v>3021</v>
      </c>
      <c r="D99" s="3" t="s">
        <v>2654</v>
      </c>
      <c r="E99" s="3" t="s">
        <v>180</v>
      </c>
      <c r="F99" s="3" t="s">
        <v>179</v>
      </c>
      <c r="G99" s="3" t="s">
        <v>187</v>
      </c>
      <c r="H99" s="40">
        <v>36494</v>
      </c>
      <c r="I99" s="3">
        <v>267011</v>
      </c>
      <c r="J99" s="3" t="s">
        <v>180</v>
      </c>
      <c r="K99" s="3" t="s">
        <v>2568</v>
      </c>
      <c r="L99" s="3" t="s">
        <v>180</v>
      </c>
      <c r="M99" s="3" t="s">
        <v>180</v>
      </c>
      <c r="N99" s="3" t="s">
        <v>181</v>
      </c>
      <c r="O99" s="3" t="s">
        <v>182</v>
      </c>
      <c r="P99" s="3"/>
      <c r="Q99" s="3" t="s">
        <v>216</v>
      </c>
      <c r="R99" s="3" t="s">
        <v>182</v>
      </c>
      <c r="S99" s="3" t="s">
        <v>182</v>
      </c>
      <c r="T99" s="3" t="s">
        <v>2561</v>
      </c>
      <c r="U99" s="3" t="s">
        <v>201</v>
      </c>
      <c r="V99" s="3" t="s">
        <v>180</v>
      </c>
      <c r="W99" s="3" t="s">
        <v>180</v>
      </c>
      <c r="X99" s="3" t="s">
        <v>180</v>
      </c>
      <c r="Y99" s="3" t="s">
        <v>180</v>
      </c>
      <c r="Z99" s="3" t="s">
        <v>180</v>
      </c>
      <c r="AA99" s="3" t="s">
        <v>180</v>
      </c>
      <c r="AB99" s="3" t="s">
        <v>180</v>
      </c>
      <c r="AC99" s="3" t="s">
        <v>180</v>
      </c>
      <c r="AD99" s="3" t="s">
        <v>180</v>
      </c>
    </row>
    <row r="100" spans="1:30" x14ac:dyDescent="0.4">
      <c r="A100" s="3">
        <f t="shared" si="2"/>
        <v>95</v>
      </c>
      <c r="B100" s="3">
        <f t="shared" si="3"/>
        <v>0</v>
      </c>
      <c r="C100" s="3" t="s">
        <v>3021</v>
      </c>
      <c r="D100" s="3" t="s">
        <v>2655</v>
      </c>
      <c r="E100" s="3" t="s">
        <v>180</v>
      </c>
      <c r="F100" s="3" t="s">
        <v>179</v>
      </c>
      <c r="G100" s="3" t="s">
        <v>187</v>
      </c>
      <c r="H100" s="40">
        <v>36494</v>
      </c>
      <c r="I100" s="3">
        <v>267011</v>
      </c>
      <c r="J100" s="3" t="s">
        <v>180</v>
      </c>
      <c r="K100" s="3" t="s">
        <v>2568</v>
      </c>
      <c r="L100" s="3" t="s">
        <v>180</v>
      </c>
      <c r="M100" s="3" t="s">
        <v>180</v>
      </c>
      <c r="N100" s="3" t="s">
        <v>181</v>
      </c>
      <c r="O100" s="3" t="s">
        <v>182</v>
      </c>
      <c r="P100" s="3"/>
      <c r="Q100" s="3" t="s">
        <v>216</v>
      </c>
      <c r="R100" s="3" t="s">
        <v>182</v>
      </c>
      <c r="S100" s="3" t="s">
        <v>182</v>
      </c>
      <c r="T100" s="3" t="s">
        <v>2561</v>
      </c>
      <c r="U100" s="3" t="s">
        <v>201</v>
      </c>
      <c r="V100" s="3" t="s">
        <v>180</v>
      </c>
      <c r="W100" s="3" t="s">
        <v>180</v>
      </c>
      <c r="X100" s="3" t="s">
        <v>180</v>
      </c>
      <c r="Y100" s="3" t="s">
        <v>180</v>
      </c>
      <c r="Z100" s="3" t="s">
        <v>180</v>
      </c>
      <c r="AA100" s="3" t="s">
        <v>180</v>
      </c>
      <c r="AB100" s="3" t="s">
        <v>180</v>
      </c>
      <c r="AC100" s="3" t="s">
        <v>180</v>
      </c>
      <c r="AD100" s="3" t="s">
        <v>180</v>
      </c>
    </row>
    <row r="101" spans="1:30" x14ac:dyDescent="0.4">
      <c r="A101" s="3">
        <f t="shared" si="2"/>
        <v>96</v>
      </c>
      <c r="B101" s="3">
        <f t="shared" si="3"/>
        <v>0</v>
      </c>
      <c r="C101" s="3" t="s">
        <v>3021</v>
      </c>
      <c r="D101" s="3" t="s">
        <v>2656</v>
      </c>
      <c r="E101" s="3" t="s">
        <v>180</v>
      </c>
      <c r="F101" s="3" t="s">
        <v>179</v>
      </c>
      <c r="G101" s="3" t="s">
        <v>187</v>
      </c>
      <c r="H101" s="40">
        <v>36494</v>
      </c>
      <c r="I101" s="3">
        <v>267011</v>
      </c>
      <c r="J101" s="3" t="s">
        <v>180</v>
      </c>
      <c r="K101" s="3" t="s">
        <v>2568</v>
      </c>
      <c r="L101" s="3" t="s">
        <v>180</v>
      </c>
      <c r="M101" s="3" t="s">
        <v>180</v>
      </c>
      <c r="N101" s="3" t="s">
        <v>181</v>
      </c>
      <c r="O101" s="3" t="s">
        <v>182</v>
      </c>
      <c r="P101" s="3"/>
      <c r="Q101" s="3" t="s">
        <v>216</v>
      </c>
      <c r="R101" s="3" t="s">
        <v>182</v>
      </c>
      <c r="S101" s="3" t="s">
        <v>182</v>
      </c>
      <c r="T101" s="3" t="s">
        <v>2657</v>
      </c>
      <c r="U101" s="3" t="s">
        <v>201</v>
      </c>
      <c r="V101" s="3" t="s">
        <v>180</v>
      </c>
      <c r="W101" s="3" t="s">
        <v>180</v>
      </c>
      <c r="X101" s="3" t="s">
        <v>180</v>
      </c>
      <c r="Y101" s="3" t="s">
        <v>180</v>
      </c>
      <c r="Z101" s="3" t="s">
        <v>180</v>
      </c>
      <c r="AA101" s="3" t="s">
        <v>180</v>
      </c>
      <c r="AB101" s="3" t="s">
        <v>180</v>
      </c>
      <c r="AC101" s="3" t="s">
        <v>180</v>
      </c>
      <c r="AD101" s="3" t="s">
        <v>180</v>
      </c>
    </row>
    <row r="102" spans="1:30" x14ac:dyDescent="0.4">
      <c r="A102" s="3">
        <f t="shared" si="2"/>
        <v>97</v>
      </c>
      <c r="B102" s="3">
        <f t="shared" si="3"/>
        <v>0</v>
      </c>
      <c r="C102" s="3" t="s">
        <v>3021</v>
      </c>
      <c r="D102" s="3" t="s">
        <v>287</v>
      </c>
      <c r="E102" s="3" t="s">
        <v>180</v>
      </c>
      <c r="F102" s="3" t="s">
        <v>182</v>
      </c>
      <c r="G102" s="3" t="s">
        <v>187</v>
      </c>
      <c r="H102" s="40">
        <v>36494</v>
      </c>
      <c r="I102" s="3">
        <v>267011</v>
      </c>
      <c r="J102" s="3" t="s">
        <v>180</v>
      </c>
      <c r="K102" s="3" t="s">
        <v>2568</v>
      </c>
      <c r="L102" s="3" t="s">
        <v>180</v>
      </c>
      <c r="M102" s="3" t="s">
        <v>180</v>
      </c>
      <c r="N102" s="3" t="s">
        <v>182</v>
      </c>
      <c r="O102" s="3" t="s">
        <v>182</v>
      </c>
      <c r="P102" s="3"/>
      <c r="Q102" s="3" t="s">
        <v>86</v>
      </c>
      <c r="R102" s="3" t="s">
        <v>182</v>
      </c>
      <c r="S102" s="42">
        <v>0.16666666666666666</v>
      </c>
      <c r="T102" s="3" t="s">
        <v>2561</v>
      </c>
      <c r="U102" s="3" t="s">
        <v>209</v>
      </c>
      <c r="V102" s="42">
        <v>0.375</v>
      </c>
      <c r="W102" s="43">
        <v>41640</v>
      </c>
      <c r="X102" s="3" t="s">
        <v>180</v>
      </c>
      <c r="Y102" s="3" t="s">
        <v>180</v>
      </c>
      <c r="Z102" s="3" t="s">
        <v>180</v>
      </c>
      <c r="AA102" s="3" t="s">
        <v>210</v>
      </c>
      <c r="AB102" s="3" t="s">
        <v>211</v>
      </c>
      <c r="AC102" s="3" t="s">
        <v>182</v>
      </c>
      <c r="AD102" s="3" t="s">
        <v>182</v>
      </c>
    </row>
    <row r="103" spans="1:30" x14ac:dyDescent="0.4">
      <c r="A103" s="3">
        <f t="shared" si="2"/>
        <v>98</v>
      </c>
      <c r="B103" s="3">
        <f t="shared" si="3"/>
        <v>0</v>
      </c>
      <c r="C103" s="3" t="s">
        <v>3021</v>
      </c>
      <c r="D103" s="3" t="s">
        <v>287</v>
      </c>
      <c r="E103" s="3" t="s">
        <v>180</v>
      </c>
      <c r="F103" s="3" t="s">
        <v>182</v>
      </c>
      <c r="G103" s="3" t="s">
        <v>187</v>
      </c>
      <c r="H103" s="40">
        <v>36494</v>
      </c>
      <c r="I103" s="3">
        <v>267011</v>
      </c>
      <c r="J103" s="3" t="s">
        <v>180</v>
      </c>
      <c r="K103" s="3" t="s">
        <v>2568</v>
      </c>
      <c r="L103" s="3" t="s">
        <v>180</v>
      </c>
      <c r="M103" s="3" t="s">
        <v>180</v>
      </c>
      <c r="N103" s="3" t="s">
        <v>182</v>
      </c>
      <c r="O103" s="3" t="s">
        <v>182</v>
      </c>
      <c r="P103" s="3"/>
      <c r="Q103" s="3" t="s">
        <v>86</v>
      </c>
      <c r="R103" s="3" t="s">
        <v>182</v>
      </c>
      <c r="S103" s="42">
        <v>0.16666666666666666</v>
      </c>
      <c r="T103" s="3" t="s">
        <v>2561</v>
      </c>
      <c r="U103" s="3" t="s">
        <v>201</v>
      </c>
      <c r="V103" s="3" t="s">
        <v>180</v>
      </c>
      <c r="W103" s="3" t="s">
        <v>180</v>
      </c>
      <c r="X103" s="3" t="s">
        <v>180</v>
      </c>
      <c r="Y103" s="3" t="s">
        <v>180</v>
      </c>
      <c r="Z103" s="3" t="s">
        <v>180</v>
      </c>
      <c r="AA103" s="3" t="s">
        <v>180</v>
      </c>
      <c r="AB103" s="3" t="s">
        <v>180</v>
      </c>
      <c r="AC103" s="3" t="s">
        <v>180</v>
      </c>
      <c r="AD103" s="3" t="s">
        <v>180</v>
      </c>
    </row>
    <row r="104" spans="1:30" x14ac:dyDescent="0.4">
      <c r="A104" s="3">
        <f t="shared" si="2"/>
        <v>99</v>
      </c>
      <c r="B104" s="3">
        <f t="shared" si="3"/>
        <v>0</v>
      </c>
      <c r="C104" s="3" t="s">
        <v>3021</v>
      </c>
      <c r="D104" s="3" t="s">
        <v>287</v>
      </c>
      <c r="E104" s="3" t="s">
        <v>180</v>
      </c>
      <c r="F104" s="3" t="s">
        <v>182</v>
      </c>
      <c r="G104" s="3" t="s">
        <v>187</v>
      </c>
      <c r="H104" s="40">
        <v>36494</v>
      </c>
      <c r="I104" s="3">
        <v>267011</v>
      </c>
      <c r="J104" s="3" t="s">
        <v>180</v>
      </c>
      <c r="K104" s="3" t="s">
        <v>2568</v>
      </c>
      <c r="L104" s="3" t="s">
        <v>180</v>
      </c>
      <c r="M104" s="3" t="s">
        <v>180</v>
      </c>
      <c r="N104" s="3" t="s">
        <v>182</v>
      </c>
      <c r="O104" s="3" t="s">
        <v>182</v>
      </c>
      <c r="P104" s="3"/>
      <c r="Q104" s="3" t="s">
        <v>86</v>
      </c>
      <c r="R104" s="3" t="s">
        <v>182</v>
      </c>
      <c r="S104" s="42">
        <v>0.16666666666666666</v>
      </c>
      <c r="T104" s="3" t="s">
        <v>2561</v>
      </c>
      <c r="U104" s="3" t="s">
        <v>288</v>
      </c>
      <c r="V104" s="42">
        <v>0.375</v>
      </c>
      <c r="W104" s="43">
        <v>41640</v>
      </c>
      <c r="X104" s="3" t="s">
        <v>180</v>
      </c>
      <c r="Y104" s="3" t="s">
        <v>180</v>
      </c>
      <c r="Z104" s="3" t="s">
        <v>180</v>
      </c>
      <c r="AA104" s="3" t="s">
        <v>182</v>
      </c>
      <c r="AB104" s="3" t="s">
        <v>182</v>
      </c>
      <c r="AC104" s="3" t="s">
        <v>182</v>
      </c>
      <c r="AD104" s="3" t="s">
        <v>182</v>
      </c>
    </row>
    <row r="105" spans="1:30" x14ac:dyDescent="0.4">
      <c r="A105" s="3">
        <f t="shared" si="2"/>
        <v>100</v>
      </c>
      <c r="B105" s="3">
        <f t="shared" si="3"/>
        <v>0</v>
      </c>
      <c r="C105" s="3" t="s">
        <v>3021</v>
      </c>
      <c r="D105" s="3" t="s">
        <v>289</v>
      </c>
      <c r="E105" s="3" t="s">
        <v>180</v>
      </c>
      <c r="F105" s="3" t="s">
        <v>182</v>
      </c>
      <c r="G105" s="3" t="s">
        <v>187</v>
      </c>
      <c r="H105" s="40">
        <v>36494</v>
      </c>
      <c r="I105" s="3">
        <v>267011</v>
      </c>
      <c r="J105" s="3" t="s">
        <v>180</v>
      </c>
      <c r="K105" s="3" t="s">
        <v>2568</v>
      </c>
      <c r="L105" s="3" t="s">
        <v>180</v>
      </c>
      <c r="M105" s="3" t="s">
        <v>180</v>
      </c>
      <c r="N105" s="3" t="s">
        <v>182</v>
      </c>
      <c r="O105" s="3" t="s">
        <v>182</v>
      </c>
      <c r="P105" s="3"/>
      <c r="Q105" s="3" t="s">
        <v>216</v>
      </c>
      <c r="R105" s="3" t="s">
        <v>182</v>
      </c>
      <c r="S105" s="42">
        <v>0.16666666666666666</v>
      </c>
      <c r="T105" s="3" t="s">
        <v>2613</v>
      </c>
      <c r="U105" s="3" t="s">
        <v>188</v>
      </c>
      <c r="V105" s="3" t="s">
        <v>180</v>
      </c>
      <c r="W105" s="3" t="s">
        <v>180</v>
      </c>
      <c r="X105" s="3" t="s">
        <v>180</v>
      </c>
      <c r="Y105" s="3" t="s">
        <v>180</v>
      </c>
      <c r="Z105" s="3" t="s">
        <v>180</v>
      </c>
      <c r="AA105" s="3" t="s">
        <v>180</v>
      </c>
      <c r="AB105" s="3" t="s">
        <v>180</v>
      </c>
      <c r="AC105" s="3" t="s">
        <v>180</v>
      </c>
      <c r="AD105" s="3" t="s">
        <v>180</v>
      </c>
    </row>
    <row r="106" spans="1:30" x14ac:dyDescent="0.4">
      <c r="A106" s="3">
        <f t="shared" si="2"/>
        <v>101</v>
      </c>
      <c r="B106" s="3">
        <f t="shared" si="3"/>
        <v>0</v>
      </c>
      <c r="C106" s="3" t="s">
        <v>3021</v>
      </c>
      <c r="D106" s="3" t="s">
        <v>290</v>
      </c>
      <c r="E106" s="3" t="s">
        <v>180</v>
      </c>
      <c r="F106" s="3" t="s">
        <v>182</v>
      </c>
      <c r="G106" s="3" t="s">
        <v>187</v>
      </c>
      <c r="H106" s="40">
        <v>36494</v>
      </c>
      <c r="I106" s="3">
        <v>267011</v>
      </c>
      <c r="J106" s="3" t="s">
        <v>180</v>
      </c>
      <c r="K106" s="3" t="s">
        <v>2568</v>
      </c>
      <c r="L106" s="3" t="s">
        <v>180</v>
      </c>
      <c r="M106" s="3" t="s">
        <v>180</v>
      </c>
      <c r="N106" s="3" t="s">
        <v>182</v>
      </c>
      <c r="O106" s="3" t="s">
        <v>2658</v>
      </c>
      <c r="P106" s="3"/>
      <c r="Q106" s="3" t="s">
        <v>86</v>
      </c>
      <c r="R106" s="3" t="s">
        <v>182</v>
      </c>
      <c r="S106" s="42">
        <v>4.1666666666666664E-2</v>
      </c>
      <c r="T106" s="3" t="s">
        <v>2561</v>
      </c>
      <c r="U106" s="3" t="s">
        <v>206</v>
      </c>
      <c r="V106" s="3" t="s">
        <v>180</v>
      </c>
      <c r="W106" s="3" t="s">
        <v>180</v>
      </c>
      <c r="X106" s="3" t="s">
        <v>180</v>
      </c>
      <c r="Y106" s="3" t="s">
        <v>180</v>
      </c>
      <c r="Z106" s="3" t="s">
        <v>180</v>
      </c>
      <c r="AA106" s="3" t="s">
        <v>180</v>
      </c>
      <c r="AB106" s="3" t="s">
        <v>180</v>
      </c>
      <c r="AC106" s="3" t="s">
        <v>180</v>
      </c>
      <c r="AD106" s="3" t="s">
        <v>180</v>
      </c>
    </row>
    <row r="107" spans="1:30" x14ac:dyDescent="0.4">
      <c r="A107" s="3">
        <f t="shared" si="2"/>
        <v>102</v>
      </c>
      <c r="B107" s="3">
        <f t="shared" si="3"/>
        <v>0</v>
      </c>
      <c r="C107" s="3" t="s">
        <v>3021</v>
      </c>
      <c r="D107" s="3" t="s">
        <v>290</v>
      </c>
      <c r="E107" s="3" t="s">
        <v>180</v>
      </c>
      <c r="F107" s="3" t="s">
        <v>182</v>
      </c>
      <c r="G107" s="3" t="s">
        <v>187</v>
      </c>
      <c r="H107" s="40">
        <v>36494</v>
      </c>
      <c r="I107" s="3">
        <v>267011</v>
      </c>
      <c r="J107" s="3" t="s">
        <v>180</v>
      </c>
      <c r="K107" s="3" t="s">
        <v>2568</v>
      </c>
      <c r="L107" s="3" t="s">
        <v>180</v>
      </c>
      <c r="M107" s="3" t="s">
        <v>180</v>
      </c>
      <c r="N107" s="3" t="s">
        <v>182</v>
      </c>
      <c r="O107" s="3" t="s">
        <v>2658</v>
      </c>
      <c r="P107" s="3"/>
      <c r="Q107" s="3" t="s">
        <v>86</v>
      </c>
      <c r="R107" s="3" t="s">
        <v>182</v>
      </c>
      <c r="S107" s="42">
        <v>4.1666666666666664E-2</v>
      </c>
      <c r="T107" s="3" t="s">
        <v>2561</v>
      </c>
      <c r="U107" s="3" t="s">
        <v>288</v>
      </c>
      <c r="V107" s="42">
        <v>0.375</v>
      </c>
      <c r="W107" s="43">
        <v>41640</v>
      </c>
      <c r="X107" s="3" t="s">
        <v>180</v>
      </c>
      <c r="Y107" s="3" t="s">
        <v>180</v>
      </c>
      <c r="Z107" s="3" t="s">
        <v>180</v>
      </c>
      <c r="AA107" s="3" t="s">
        <v>182</v>
      </c>
      <c r="AB107" s="3" t="s">
        <v>182</v>
      </c>
      <c r="AC107" s="3" t="s">
        <v>182</v>
      </c>
      <c r="AD107" s="3" t="s">
        <v>182</v>
      </c>
    </row>
    <row r="108" spans="1:30" x14ac:dyDescent="0.4">
      <c r="A108" s="3">
        <f t="shared" si="2"/>
        <v>103</v>
      </c>
      <c r="B108" s="3">
        <f t="shared" si="3"/>
        <v>0</v>
      </c>
      <c r="C108" s="3" t="s">
        <v>3021</v>
      </c>
      <c r="D108" s="3" t="s">
        <v>290</v>
      </c>
      <c r="E108" s="3" t="s">
        <v>180</v>
      </c>
      <c r="F108" s="3" t="s">
        <v>182</v>
      </c>
      <c r="G108" s="3" t="s">
        <v>187</v>
      </c>
      <c r="H108" s="40">
        <v>36494</v>
      </c>
      <c r="I108" s="3">
        <v>267011</v>
      </c>
      <c r="J108" s="3" t="s">
        <v>180</v>
      </c>
      <c r="K108" s="3" t="s">
        <v>2568</v>
      </c>
      <c r="L108" s="3" t="s">
        <v>180</v>
      </c>
      <c r="M108" s="3" t="s">
        <v>180</v>
      </c>
      <c r="N108" s="3" t="s">
        <v>182</v>
      </c>
      <c r="O108" s="3" t="s">
        <v>2658</v>
      </c>
      <c r="P108" s="3"/>
      <c r="Q108" s="3" t="s">
        <v>86</v>
      </c>
      <c r="R108" s="3" t="s">
        <v>182</v>
      </c>
      <c r="S108" s="42">
        <v>4.1666666666666664E-2</v>
      </c>
      <c r="T108" s="3" t="s">
        <v>2561</v>
      </c>
      <c r="U108" s="3" t="s">
        <v>201</v>
      </c>
      <c r="V108" s="3" t="s">
        <v>180</v>
      </c>
      <c r="W108" s="3" t="s">
        <v>180</v>
      </c>
      <c r="X108" s="3" t="s">
        <v>180</v>
      </c>
      <c r="Y108" s="3" t="s">
        <v>180</v>
      </c>
      <c r="Z108" s="3" t="s">
        <v>180</v>
      </c>
      <c r="AA108" s="3" t="s">
        <v>180</v>
      </c>
      <c r="AB108" s="3" t="s">
        <v>180</v>
      </c>
      <c r="AC108" s="3" t="s">
        <v>180</v>
      </c>
      <c r="AD108" s="3" t="s">
        <v>180</v>
      </c>
    </row>
    <row r="109" spans="1:30" x14ac:dyDescent="0.4">
      <c r="A109" s="3">
        <f t="shared" si="2"/>
        <v>104</v>
      </c>
      <c r="B109" s="3">
        <f t="shared" si="3"/>
        <v>0</v>
      </c>
      <c r="C109" s="3" t="s">
        <v>3021</v>
      </c>
      <c r="D109" s="3" t="s">
        <v>290</v>
      </c>
      <c r="E109" s="3" t="s">
        <v>180</v>
      </c>
      <c r="F109" s="3" t="s">
        <v>182</v>
      </c>
      <c r="G109" s="3" t="s">
        <v>187</v>
      </c>
      <c r="H109" s="40">
        <v>36494</v>
      </c>
      <c r="I109" s="3">
        <v>267011</v>
      </c>
      <c r="J109" s="3" t="s">
        <v>180</v>
      </c>
      <c r="K109" s="3" t="s">
        <v>2568</v>
      </c>
      <c r="L109" s="3" t="s">
        <v>180</v>
      </c>
      <c r="M109" s="3" t="s">
        <v>180</v>
      </c>
      <c r="N109" s="3" t="s">
        <v>182</v>
      </c>
      <c r="O109" s="3" t="s">
        <v>2658</v>
      </c>
      <c r="P109" s="3"/>
      <c r="Q109" s="3" t="s">
        <v>86</v>
      </c>
      <c r="R109" s="3" t="s">
        <v>182</v>
      </c>
      <c r="S109" s="42">
        <v>4.1666666666666664E-2</v>
      </c>
      <c r="T109" s="3" t="s">
        <v>2561</v>
      </c>
      <c r="U109" s="3" t="s">
        <v>201</v>
      </c>
      <c r="V109" s="3" t="s">
        <v>180</v>
      </c>
      <c r="W109" s="3" t="s">
        <v>180</v>
      </c>
      <c r="X109" s="3" t="s">
        <v>180</v>
      </c>
      <c r="Y109" s="3" t="s">
        <v>180</v>
      </c>
      <c r="Z109" s="3" t="s">
        <v>180</v>
      </c>
      <c r="AA109" s="3" t="s">
        <v>180</v>
      </c>
      <c r="AB109" s="3" t="s">
        <v>180</v>
      </c>
      <c r="AC109" s="3" t="s">
        <v>180</v>
      </c>
      <c r="AD109" s="3" t="s">
        <v>180</v>
      </c>
    </row>
    <row r="110" spans="1:30" x14ac:dyDescent="0.4">
      <c r="A110" s="3">
        <f t="shared" si="2"/>
        <v>105</v>
      </c>
      <c r="B110" s="3">
        <f t="shared" si="3"/>
        <v>0</v>
      </c>
      <c r="C110" s="3" t="s">
        <v>3021</v>
      </c>
      <c r="D110" s="3" t="s">
        <v>290</v>
      </c>
      <c r="E110" s="3" t="s">
        <v>180</v>
      </c>
      <c r="F110" s="3" t="s">
        <v>182</v>
      </c>
      <c r="G110" s="3" t="s">
        <v>187</v>
      </c>
      <c r="H110" s="40">
        <v>36494</v>
      </c>
      <c r="I110" s="3">
        <v>267011</v>
      </c>
      <c r="J110" s="3" t="s">
        <v>180</v>
      </c>
      <c r="K110" s="3" t="s">
        <v>2568</v>
      </c>
      <c r="L110" s="3" t="s">
        <v>180</v>
      </c>
      <c r="M110" s="3" t="s">
        <v>180</v>
      </c>
      <c r="N110" s="3" t="s">
        <v>182</v>
      </c>
      <c r="O110" s="3" t="s">
        <v>2658</v>
      </c>
      <c r="P110" s="3"/>
      <c r="Q110" s="3" t="s">
        <v>86</v>
      </c>
      <c r="R110" s="3" t="s">
        <v>182</v>
      </c>
      <c r="S110" s="42">
        <v>4.1666666666666664E-2</v>
      </c>
      <c r="T110" s="3" t="s">
        <v>2561</v>
      </c>
      <c r="U110" s="3" t="s">
        <v>201</v>
      </c>
      <c r="V110" s="3" t="s">
        <v>180</v>
      </c>
      <c r="W110" s="3" t="s">
        <v>180</v>
      </c>
      <c r="X110" s="3" t="s">
        <v>180</v>
      </c>
      <c r="Y110" s="3" t="s">
        <v>180</v>
      </c>
      <c r="Z110" s="3" t="s">
        <v>180</v>
      </c>
      <c r="AA110" s="3" t="s">
        <v>180</v>
      </c>
      <c r="AB110" s="3" t="s">
        <v>180</v>
      </c>
      <c r="AC110" s="3" t="s">
        <v>180</v>
      </c>
      <c r="AD110" s="3" t="s">
        <v>180</v>
      </c>
    </row>
    <row r="111" spans="1:30" x14ac:dyDescent="0.4">
      <c r="A111" s="3">
        <f t="shared" si="2"/>
        <v>106</v>
      </c>
      <c r="B111" s="3">
        <f t="shared" si="3"/>
        <v>0</v>
      </c>
      <c r="C111" s="3" t="s">
        <v>3021</v>
      </c>
      <c r="D111" s="3" t="s">
        <v>290</v>
      </c>
      <c r="E111" s="3" t="s">
        <v>180</v>
      </c>
      <c r="F111" s="3" t="s">
        <v>182</v>
      </c>
      <c r="G111" s="3" t="s">
        <v>187</v>
      </c>
      <c r="H111" s="40">
        <v>36494</v>
      </c>
      <c r="I111" s="3">
        <v>267011</v>
      </c>
      <c r="J111" s="3" t="s">
        <v>180</v>
      </c>
      <c r="K111" s="3" t="s">
        <v>2568</v>
      </c>
      <c r="L111" s="3" t="s">
        <v>180</v>
      </c>
      <c r="M111" s="3" t="s">
        <v>180</v>
      </c>
      <c r="N111" s="3" t="s">
        <v>182</v>
      </c>
      <c r="O111" s="3" t="s">
        <v>2658</v>
      </c>
      <c r="P111" s="3"/>
      <c r="Q111" s="3" t="s">
        <v>86</v>
      </c>
      <c r="R111" s="3" t="s">
        <v>182</v>
      </c>
      <c r="S111" s="42">
        <v>4.1666666666666664E-2</v>
      </c>
      <c r="T111" s="3" t="s">
        <v>2561</v>
      </c>
      <c r="U111" s="3" t="s">
        <v>288</v>
      </c>
      <c r="V111" s="42">
        <v>0.375</v>
      </c>
      <c r="W111" s="43">
        <v>41640</v>
      </c>
      <c r="X111" s="3" t="s">
        <v>180</v>
      </c>
      <c r="Y111" s="3" t="s">
        <v>180</v>
      </c>
      <c r="Z111" s="3" t="s">
        <v>180</v>
      </c>
      <c r="AA111" s="3" t="s">
        <v>182</v>
      </c>
      <c r="AB111" s="3" t="s">
        <v>182</v>
      </c>
      <c r="AC111" s="3" t="s">
        <v>182</v>
      </c>
      <c r="AD111" s="3" t="s">
        <v>182</v>
      </c>
    </row>
    <row r="112" spans="1:30" x14ac:dyDescent="0.4">
      <c r="A112" s="3">
        <f t="shared" si="2"/>
        <v>107</v>
      </c>
      <c r="B112" s="3">
        <f t="shared" si="3"/>
        <v>0</v>
      </c>
      <c r="C112" s="3" t="s">
        <v>3021</v>
      </c>
      <c r="D112" s="3" t="s">
        <v>291</v>
      </c>
      <c r="E112" s="3" t="s">
        <v>180</v>
      </c>
      <c r="F112" s="3" t="s">
        <v>182</v>
      </c>
      <c r="G112" s="3" t="s">
        <v>187</v>
      </c>
      <c r="H112" s="40">
        <v>36494</v>
      </c>
      <c r="I112" s="3">
        <v>267011</v>
      </c>
      <c r="J112" s="3" t="s">
        <v>180</v>
      </c>
      <c r="K112" s="3" t="s">
        <v>2568</v>
      </c>
      <c r="L112" s="3" t="s">
        <v>180</v>
      </c>
      <c r="M112" s="3" t="s">
        <v>180</v>
      </c>
      <c r="N112" s="3" t="s">
        <v>182</v>
      </c>
      <c r="O112" s="3" t="s">
        <v>267</v>
      </c>
      <c r="P112" s="3" t="s">
        <v>2566</v>
      </c>
      <c r="Q112" s="3" t="s">
        <v>86</v>
      </c>
      <c r="R112" s="3" t="s">
        <v>182</v>
      </c>
      <c r="S112" s="42">
        <v>0.16666666666666666</v>
      </c>
      <c r="T112" s="3" t="s">
        <v>2659</v>
      </c>
      <c r="U112" s="3" t="s">
        <v>188</v>
      </c>
      <c r="V112" s="3" t="s">
        <v>180</v>
      </c>
      <c r="W112" s="3" t="s">
        <v>180</v>
      </c>
      <c r="X112" s="3" t="s">
        <v>180</v>
      </c>
      <c r="Y112" s="3" t="s">
        <v>180</v>
      </c>
      <c r="Z112" s="3" t="s">
        <v>180</v>
      </c>
      <c r="AA112" s="3" t="s">
        <v>180</v>
      </c>
      <c r="AB112" s="3" t="s">
        <v>180</v>
      </c>
      <c r="AC112" s="3" t="s">
        <v>180</v>
      </c>
      <c r="AD112" s="3" t="s">
        <v>180</v>
      </c>
    </row>
    <row r="113" spans="1:30" x14ac:dyDescent="0.4">
      <c r="A113" s="3">
        <f t="shared" si="2"/>
        <v>108</v>
      </c>
      <c r="B113" s="3">
        <f t="shared" si="3"/>
        <v>0</v>
      </c>
      <c r="C113" s="3" t="s">
        <v>3021</v>
      </c>
      <c r="D113" s="3" t="s">
        <v>292</v>
      </c>
      <c r="E113" s="3" t="s">
        <v>180</v>
      </c>
      <c r="F113" s="3" t="s">
        <v>182</v>
      </c>
      <c r="G113" s="3" t="s">
        <v>187</v>
      </c>
      <c r="H113" s="40">
        <v>36494</v>
      </c>
      <c r="I113" s="3">
        <v>267011</v>
      </c>
      <c r="J113" s="3" t="s">
        <v>180</v>
      </c>
      <c r="K113" s="3" t="s">
        <v>2568</v>
      </c>
      <c r="L113" s="3" t="s">
        <v>180</v>
      </c>
      <c r="M113" s="3" t="s">
        <v>180</v>
      </c>
      <c r="N113" s="3" t="s">
        <v>182</v>
      </c>
      <c r="O113" s="3" t="s">
        <v>2660</v>
      </c>
      <c r="P113" s="3" t="s">
        <v>2566</v>
      </c>
      <c r="Q113" s="3" t="s">
        <v>86</v>
      </c>
      <c r="R113" s="3" t="s">
        <v>182</v>
      </c>
      <c r="S113" s="42">
        <v>0.16666666666666666</v>
      </c>
      <c r="T113" s="3" t="s">
        <v>2659</v>
      </c>
      <c r="U113" s="3" t="s">
        <v>209</v>
      </c>
      <c r="V113" s="42">
        <v>0.375</v>
      </c>
      <c r="W113" s="43">
        <v>41640</v>
      </c>
      <c r="X113" s="3" t="s">
        <v>180</v>
      </c>
      <c r="Y113" s="3" t="s">
        <v>180</v>
      </c>
      <c r="Z113" s="3" t="s">
        <v>180</v>
      </c>
      <c r="AA113" s="3" t="s">
        <v>210</v>
      </c>
      <c r="AB113" s="3" t="s">
        <v>211</v>
      </c>
      <c r="AC113" s="3" t="s">
        <v>182</v>
      </c>
      <c r="AD113" s="3" t="s">
        <v>182</v>
      </c>
    </row>
    <row r="114" spans="1:30" x14ac:dyDescent="0.4">
      <c r="A114" s="3">
        <f t="shared" si="2"/>
        <v>109</v>
      </c>
      <c r="B114" s="3">
        <f t="shared" si="3"/>
        <v>0</v>
      </c>
      <c r="C114" s="3" t="s">
        <v>3021</v>
      </c>
      <c r="D114" s="3" t="s">
        <v>2661</v>
      </c>
      <c r="E114" s="3" t="s">
        <v>180</v>
      </c>
      <c r="F114" s="3" t="s">
        <v>179</v>
      </c>
      <c r="G114" s="3" t="s">
        <v>187</v>
      </c>
      <c r="H114" s="40">
        <v>44728.690972222219</v>
      </c>
      <c r="I114" s="3">
        <v>0</v>
      </c>
      <c r="J114" s="3" t="s">
        <v>194</v>
      </c>
      <c r="K114" s="3" t="s">
        <v>2568</v>
      </c>
      <c r="L114" s="3" t="s">
        <v>180</v>
      </c>
      <c r="M114" s="3" t="s">
        <v>2662</v>
      </c>
      <c r="N114" s="3" t="s">
        <v>181</v>
      </c>
      <c r="O114" s="3" t="s">
        <v>182</v>
      </c>
      <c r="P114" s="3"/>
      <c r="Q114" s="3" t="s">
        <v>216</v>
      </c>
      <c r="R114" s="3" t="s">
        <v>182</v>
      </c>
      <c r="S114" s="42">
        <v>6.9444444444444441E-3</v>
      </c>
      <c r="T114" s="3" t="s">
        <v>2561</v>
      </c>
      <c r="U114" s="3" t="s">
        <v>201</v>
      </c>
      <c r="V114" s="3" t="s">
        <v>180</v>
      </c>
      <c r="W114" s="3" t="s">
        <v>180</v>
      </c>
      <c r="X114" s="3" t="s">
        <v>180</v>
      </c>
      <c r="Y114" s="3" t="s">
        <v>180</v>
      </c>
      <c r="Z114" s="3" t="s">
        <v>180</v>
      </c>
      <c r="AA114" s="3" t="s">
        <v>180</v>
      </c>
      <c r="AB114" s="3" t="s">
        <v>180</v>
      </c>
      <c r="AC114" s="3" t="s">
        <v>180</v>
      </c>
      <c r="AD114" s="3" t="s">
        <v>180</v>
      </c>
    </row>
    <row r="115" spans="1:30" x14ac:dyDescent="0.4">
      <c r="A115" s="3">
        <f t="shared" si="2"/>
        <v>110</v>
      </c>
      <c r="B115" s="3">
        <f t="shared" si="3"/>
        <v>0</v>
      </c>
      <c r="C115" s="3" t="s">
        <v>3021</v>
      </c>
      <c r="D115" s="3" t="s">
        <v>2661</v>
      </c>
      <c r="E115" s="3" t="s">
        <v>180</v>
      </c>
      <c r="F115" s="3" t="s">
        <v>179</v>
      </c>
      <c r="G115" s="3" t="s">
        <v>187</v>
      </c>
      <c r="H115" s="40">
        <v>44728.690972222219</v>
      </c>
      <c r="I115" s="3">
        <v>0</v>
      </c>
      <c r="J115" s="3" t="s">
        <v>194</v>
      </c>
      <c r="K115" s="3" t="s">
        <v>2568</v>
      </c>
      <c r="L115" s="3" t="s">
        <v>180</v>
      </c>
      <c r="M115" s="3" t="s">
        <v>2662</v>
      </c>
      <c r="N115" s="3" t="s">
        <v>181</v>
      </c>
      <c r="O115" s="3" t="s">
        <v>182</v>
      </c>
      <c r="P115" s="3"/>
      <c r="Q115" s="3" t="s">
        <v>216</v>
      </c>
      <c r="R115" s="3" t="s">
        <v>182</v>
      </c>
      <c r="S115" s="42">
        <v>6.9444444444444441E-3</v>
      </c>
      <c r="T115" s="3" t="s">
        <v>2561</v>
      </c>
      <c r="U115" s="3" t="s">
        <v>196</v>
      </c>
      <c r="V115" s="3" t="s">
        <v>180</v>
      </c>
      <c r="W115" s="3" t="s">
        <v>180</v>
      </c>
      <c r="X115" s="3" t="s">
        <v>180</v>
      </c>
      <c r="Y115" s="3" t="s">
        <v>180</v>
      </c>
      <c r="Z115" s="3" t="s">
        <v>180</v>
      </c>
      <c r="AA115" s="3" t="s">
        <v>180</v>
      </c>
      <c r="AB115" s="3" t="s">
        <v>180</v>
      </c>
      <c r="AC115" s="3" t="s">
        <v>180</v>
      </c>
      <c r="AD115" s="3" t="s">
        <v>180</v>
      </c>
    </row>
    <row r="116" spans="1:30" x14ac:dyDescent="0.4">
      <c r="A116" s="3">
        <f t="shared" si="2"/>
        <v>111</v>
      </c>
      <c r="B116" s="3">
        <f t="shared" si="3"/>
        <v>0</v>
      </c>
      <c r="C116" s="3" t="s">
        <v>3021</v>
      </c>
      <c r="D116" s="3" t="s">
        <v>293</v>
      </c>
      <c r="E116" s="3" t="s">
        <v>180</v>
      </c>
      <c r="F116" s="3" t="s">
        <v>179</v>
      </c>
      <c r="G116" s="3" t="s">
        <v>187</v>
      </c>
      <c r="H116" s="40">
        <v>44728.690983796296</v>
      </c>
      <c r="I116" s="3">
        <v>0</v>
      </c>
      <c r="J116" s="3" t="s">
        <v>194</v>
      </c>
      <c r="K116" s="3" t="s">
        <v>2568</v>
      </c>
      <c r="L116" s="3" t="s">
        <v>180</v>
      </c>
      <c r="M116" s="3" t="s">
        <v>2663</v>
      </c>
      <c r="N116" s="3" t="s">
        <v>181</v>
      </c>
      <c r="O116" s="3" t="s">
        <v>182</v>
      </c>
      <c r="P116" s="3" t="s">
        <v>271</v>
      </c>
      <c r="Q116" s="3" t="s">
        <v>216</v>
      </c>
      <c r="R116" s="3" t="s">
        <v>182</v>
      </c>
      <c r="S116" s="42">
        <v>4.1666666666666664E-2</v>
      </c>
      <c r="T116" s="3" t="s">
        <v>2664</v>
      </c>
      <c r="U116" s="3" t="s">
        <v>196</v>
      </c>
      <c r="V116" s="3" t="s">
        <v>180</v>
      </c>
      <c r="W116" s="3" t="s">
        <v>180</v>
      </c>
      <c r="X116" s="3" t="s">
        <v>180</v>
      </c>
      <c r="Y116" s="3" t="s">
        <v>180</v>
      </c>
      <c r="Z116" s="3" t="s">
        <v>180</v>
      </c>
      <c r="AA116" s="3" t="s">
        <v>180</v>
      </c>
      <c r="AB116" s="3" t="s">
        <v>180</v>
      </c>
      <c r="AC116" s="3" t="s">
        <v>180</v>
      </c>
      <c r="AD116" s="3" t="s">
        <v>180</v>
      </c>
    </row>
    <row r="117" spans="1:30" x14ac:dyDescent="0.4">
      <c r="A117" s="3">
        <f t="shared" si="2"/>
        <v>112</v>
      </c>
      <c r="B117" s="3">
        <f t="shared" si="3"/>
        <v>0</v>
      </c>
      <c r="C117" s="3" t="s">
        <v>3021</v>
      </c>
      <c r="D117" s="3" t="s">
        <v>293</v>
      </c>
      <c r="E117" s="3" t="s">
        <v>180</v>
      </c>
      <c r="F117" s="3" t="s">
        <v>179</v>
      </c>
      <c r="G117" s="3" t="s">
        <v>187</v>
      </c>
      <c r="H117" s="40">
        <v>44728.690983796296</v>
      </c>
      <c r="I117" s="3">
        <v>0</v>
      </c>
      <c r="J117" s="3" t="s">
        <v>194</v>
      </c>
      <c r="K117" s="3" t="s">
        <v>2568</v>
      </c>
      <c r="L117" s="3" t="s">
        <v>180</v>
      </c>
      <c r="M117" s="3" t="s">
        <v>2663</v>
      </c>
      <c r="N117" s="3" t="s">
        <v>181</v>
      </c>
      <c r="O117" s="3" t="s">
        <v>182</v>
      </c>
      <c r="P117" s="3" t="s">
        <v>271</v>
      </c>
      <c r="Q117" s="3" t="s">
        <v>216</v>
      </c>
      <c r="R117" s="3" t="s">
        <v>182</v>
      </c>
      <c r="S117" s="42">
        <v>4.1666666666666664E-2</v>
      </c>
      <c r="T117" s="3" t="s">
        <v>2664</v>
      </c>
      <c r="U117" s="3" t="s">
        <v>191</v>
      </c>
      <c r="V117" s="3" t="s">
        <v>180</v>
      </c>
      <c r="W117" s="3" t="s">
        <v>180</v>
      </c>
      <c r="X117" s="3" t="s">
        <v>180</v>
      </c>
      <c r="Y117" s="3" t="s">
        <v>180</v>
      </c>
      <c r="Z117" s="3" t="s">
        <v>180</v>
      </c>
      <c r="AA117" s="3" t="s">
        <v>180</v>
      </c>
      <c r="AB117" s="3" t="s">
        <v>180</v>
      </c>
      <c r="AC117" s="3" t="s">
        <v>180</v>
      </c>
      <c r="AD117" s="3" t="s">
        <v>180</v>
      </c>
    </row>
    <row r="118" spans="1:30" x14ac:dyDescent="0.4">
      <c r="A118" s="3">
        <f t="shared" si="2"/>
        <v>113</v>
      </c>
      <c r="B118" s="3">
        <f t="shared" si="3"/>
        <v>0</v>
      </c>
      <c r="C118" s="3" t="s">
        <v>3021</v>
      </c>
      <c r="D118" s="3" t="s">
        <v>294</v>
      </c>
      <c r="E118" s="3" t="s">
        <v>180</v>
      </c>
      <c r="F118" s="3" t="s">
        <v>182</v>
      </c>
      <c r="G118" s="3" t="s">
        <v>187</v>
      </c>
      <c r="H118" s="40">
        <v>44710.624131944445</v>
      </c>
      <c r="I118" s="3">
        <v>0</v>
      </c>
      <c r="J118" s="3" t="s">
        <v>194</v>
      </c>
      <c r="K118" s="3" t="s">
        <v>2568</v>
      </c>
      <c r="L118" s="3" t="s">
        <v>180</v>
      </c>
      <c r="M118" s="3" t="s">
        <v>2665</v>
      </c>
      <c r="N118" s="3" t="s">
        <v>182</v>
      </c>
      <c r="O118" s="3" t="s">
        <v>182</v>
      </c>
      <c r="P118" s="3" t="s">
        <v>2566</v>
      </c>
      <c r="Q118" s="3" t="s">
        <v>86</v>
      </c>
      <c r="R118" s="3" t="s">
        <v>182</v>
      </c>
      <c r="S118" s="42">
        <v>4.1666666666666664E-2</v>
      </c>
      <c r="T118" s="3" t="s">
        <v>2561</v>
      </c>
      <c r="U118" s="3" t="s">
        <v>188</v>
      </c>
      <c r="V118" s="3" t="s">
        <v>180</v>
      </c>
      <c r="W118" s="3" t="s">
        <v>180</v>
      </c>
      <c r="X118" s="3" t="s">
        <v>180</v>
      </c>
      <c r="Y118" s="3" t="s">
        <v>180</v>
      </c>
      <c r="Z118" s="3" t="s">
        <v>180</v>
      </c>
      <c r="AA118" s="3" t="s">
        <v>180</v>
      </c>
      <c r="AB118" s="3" t="s">
        <v>180</v>
      </c>
      <c r="AC118" s="3" t="s">
        <v>180</v>
      </c>
      <c r="AD118" s="3" t="s">
        <v>180</v>
      </c>
    </row>
    <row r="119" spans="1:30" x14ac:dyDescent="0.4">
      <c r="A119" s="3">
        <f t="shared" si="2"/>
        <v>114</v>
      </c>
      <c r="B119" s="3">
        <f t="shared" si="3"/>
        <v>0</v>
      </c>
      <c r="C119" s="3" t="s">
        <v>3021</v>
      </c>
      <c r="D119" s="3" t="s">
        <v>295</v>
      </c>
      <c r="E119" s="3" t="s">
        <v>180</v>
      </c>
      <c r="F119" s="3" t="s">
        <v>179</v>
      </c>
      <c r="G119" s="3" t="s">
        <v>187</v>
      </c>
      <c r="H119" s="40">
        <v>44728.690995370373</v>
      </c>
      <c r="I119" s="3">
        <v>0</v>
      </c>
      <c r="J119" s="3" t="s">
        <v>194</v>
      </c>
      <c r="K119" s="3" t="s">
        <v>2568</v>
      </c>
      <c r="L119" s="3" t="s">
        <v>180</v>
      </c>
      <c r="M119" s="3" t="s">
        <v>296</v>
      </c>
      <c r="N119" s="3" t="s">
        <v>181</v>
      </c>
      <c r="O119" s="3" t="s">
        <v>2666</v>
      </c>
      <c r="P119" s="3"/>
      <c r="Q119" s="3" t="s">
        <v>216</v>
      </c>
      <c r="R119" s="3" t="s">
        <v>182</v>
      </c>
      <c r="S119" s="41">
        <v>3</v>
      </c>
      <c r="T119" s="3" t="s">
        <v>2561</v>
      </c>
      <c r="U119" s="3" t="s">
        <v>188</v>
      </c>
      <c r="V119" s="3" t="s">
        <v>180</v>
      </c>
      <c r="W119" s="3" t="s">
        <v>180</v>
      </c>
      <c r="X119" s="3" t="s">
        <v>180</v>
      </c>
      <c r="Y119" s="3" t="s">
        <v>180</v>
      </c>
      <c r="Z119" s="3" t="s">
        <v>180</v>
      </c>
      <c r="AA119" s="3" t="s">
        <v>180</v>
      </c>
      <c r="AB119" s="3" t="s">
        <v>180</v>
      </c>
      <c r="AC119" s="3" t="s">
        <v>180</v>
      </c>
      <c r="AD119" s="3" t="s">
        <v>180</v>
      </c>
    </row>
    <row r="120" spans="1:30" x14ac:dyDescent="0.4">
      <c r="A120" s="3">
        <f t="shared" si="2"/>
        <v>115</v>
      </c>
      <c r="B120" s="3">
        <f t="shared" si="3"/>
        <v>0</v>
      </c>
      <c r="C120" s="3" t="s">
        <v>3021</v>
      </c>
      <c r="D120" s="3" t="s">
        <v>297</v>
      </c>
      <c r="E120" s="3" t="s">
        <v>180</v>
      </c>
      <c r="F120" s="3" t="s">
        <v>179</v>
      </c>
      <c r="G120" s="3" t="s">
        <v>187</v>
      </c>
      <c r="H120" s="40">
        <v>36494</v>
      </c>
      <c r="I120" s="3">
        <v>267011</v>
      </c>
      <c r="J120" s="3" t="s">
        <v>180</v>
      </c>
      <c r="K120" s="3" t="s">
        <v>298</v>
      </c>
      <c r="L120" s="3" t="s">
        <v>180</v>
      </c>
      <c r="M120" s="3" t="s">
        <v>299</v>
      </c>
      <c r="N120" s="3" t="s">
        <v>181</v>
      </c>
      <c r="O120" s="3" t="s">
        <v>182</v>
      </c>
      <c r="P120" s="3"/>
      <c r="Q120" s="3" t="s">
        <v>300</v>
      </c>
      <c r="R120" s="3" t="s">
        <v>182</v>
      </c>
      <c r="S120" s="3" t="s">
        <v>182</v>
      </c>
      <c r="T120" s="3" t="s">
        <v>2561</v>
      </c>
      <c r="U120" s="3" t="s">
        <v>201</v>
      </c>
      <c r="V120" s="3" t="s">
        <v>180</v>
      </c>
      <c r="W120" s="3" t="s">
        <v>180</v>
      </c>
      <c r="X120" s="3" t="s">
        <v>180</v>
      </c>
      <c r="Y120" s="3" t="s">
        <v>180</v>
      </c>
      <c r="Z120" s="3" t="s">
        <v>180</v>
      </c>
      <c r="AA120" s="3" t="s">
        <v>180</v>
      </c>
      <c r="AB120" s="3" t="s">
        <v>180</v>
      </c>
      <c r="AC120" s="3" t="s">
        <v>180</v>
      </c>
      <c r="AD120" s="3" t="s">
        <v>180</v>
      </c>
    </row>
    <row r="121" spans="1:30" x14ac:dyDescent="0.4">
      <c r="A121" s="3">
        <f t="shared" si="2"/>
        <v>116</v>
      </c>
      <c r="B121" s="3">
        <f t="shared" si="3"/>
        <v>0</v>
      </c>
      <c r="C121" s="3" t="s">
        <v>3021</v>
      </c>
      <c r="D121" s="3" t="s">
        <v>301</v>
      </c>
      <c r="E121" s="3" t="s">
        <v>180</v>
      </c>
      <c r="F121" s="3" t="s">
        <v>179</v>
      </c>
      <c r="G121" s="3" t="s">
        <v>187</v>
      </c>
      <c r="H121" s="40">
        <v>36494</v>
      </c>
      <c r="I121" s="3">
        <v>267011</v>
      </c>
      <c r="J121" s="3" t="s">
        <v>180</v>
      </c>
      <c r="K121" s="3" t="s">
        <v>302</v>
      </c>
      <c r="L121" s="3" t="s">
        <v>180</v>
      </c>
      <c r="M121" s="3" t="s">
        <v>299</v>
      </c>
      <c r="N121" s="3" t="s">
        <v>181</v>
      </c>
      <c r="O121" s="3" t="s">
        <v>182</v>
      </c>
      <c r="P121" s="3"/>
      <c r="Q121" s="3" t="s">
        <v>300</v>
      </c>
      <c r="R121" s="3" t="s">
        <v>182</v>
      </c>
      <c r="S121" s="3" t="s">
        <v>182</v>
      </c>
      <c r="T121" s="3" t="s">
        <v>2561</v>
      </c>
      <c r="U121" s="3" t="s">
        <v>201</v>
      </c>
      <c r="V121" s="3" t="s">
        <v>180</v>
      </c>
      <c r="W121" s="3" t="s">
        <v>180</v>
      </c>
      <c r="X121" s="3" t="s">
        <v>180</v>
      </c>
      <c r="Y121" s="3" t="s">
        <v>180</v>
      </c>
      <c r="Z121" s="3" t="s">
        <v>180</v>
      </c>
      <c r="AA121" s="3" t="s">
        <v>180</v>
      </c>
      <c r="AB121" s="3" t="s">
        <v>180</v>
      </c>
      <c r="AC121" s="3" t="s">
        <v>180</v>
      </c>
      <c r="AD121" s="3" t="s">
        <v>180</v>
      </c>
    </row>
    <row r="122" spans="1:30" x14ac:dyDescent="0.4">
      <c r="A122" s="3">
        <f t="shared" si="2"/>
        <v>117</v>
      </c>
      <c r="B122" s="3">
        <f t="shared" si="3"/>
        <v>0</v>
      </c>
      <c r="C122" s="3" t="s">
        <v>3021</v>
      </c>
      <c r="D122" s="3" t="s">
        <v>303</v>
      </c>
      <c r="E122" s="3" t="s">
        <v>180</v>
      </c>
      <c r="F122" s="3" t="s">
        <v>179</v>
      </c>
      <c r="G122" s="3" t="s">
        <v>187</v>
      </c>
      <c r="H122" s="40">
        <v>44728.693229166667</v>
      </c>
      <c r="I122" s="3">
        <v>0</v>
      </c>
      <c r="J122" s="3" t="s">
        <v>235</v>
      </c>
      <c r="K122" s="3" t="s">
        <v>2568</v>
      </c>
      <c r="L122" s="3" t="s">
        <v>180</v>
      </c>
      <c r="M122" s="3" t="s">
        <v>2667</v>
      </c>
      <c r="N122" s="3" t="s">
        <v>181</v>
      </c>
      <c r="O122" s="3" t="s">
        <v>182</v>
      </c>
      <c r="P122" s="3" t="s">
        <v>2566</v>
      </c>
      <c r="Q122" s="3" t="s">
        <v>304</v>
      </c>
      <c r="R122" s="3" t="s">
        <v>182</v>
      </c>
      <c r="S122" s="42">
        <v>2.0833333333333332E-2</v>
      </c>
      <c r="T122" s="3" t="s">
        <v>2561</v>
      </c>
      <c r="U122" s="3" t="s">
        <v>188</v>
      </c>
      <c r="V122" s="3" t="s">
        <v>180</v>
      </c>
      <c r="W122" s="3" t="s">
        <v>180</v>
      </c>
      <c r="X122" s="3" t="s">
        <v>180</v>
      </c>
      <c r="Y122" s="3" t="s">
        <v>180</v>
      </c>
      <c r="Z122" s="3" t="s">
        <v>180</v>
      </c>
      <c r="AA122" s="3" t="s">
        <v>180</v>
      </c>
      <c r="AB122" s="3" t="s">
        <v>180</v>
      </c>
      <c r="AC122" s="3" t="s">
        <v>180</v>
      </c>
      <c r="AD122" s="3" t="s">
        <v>180</v>
      </c>
    </row>
    <row r="123" spans="1:30" x14ac:dyDescent="0.4">
      <c r="A123" s="3">
        <f t="shared" si="2"/>
        <v>118</v>
      </c>
      <c r="B123" s="3">
        <f t="shared" si="3"/>
        <v>0</v>
      </c>
      <c r="C123" s="3" t="s">
        <v>3021</v>
      </c>
      <c r="D123" s="3" t="s">
        <v>305</v>
      </c>
      <c r="E123" s="3" t="s">
        <v>180</v>
      </c>
      <c r="F123" s="3" t="s">
        <v>182</v>
      </c>
      <c r="G123" s="3" t="s">
        <v>187</v>
      </c>
      <c r="H123" s="40">
        <v>36494</v>
      </c>
      <c r="I123" s="3">
        <v>267011</v>
      </c>
      <c r="J123" s="3" t="s">
        <v>194</v>
      </c>
      <c r="K123" s="3" t="s">
        <v>2568</v>
      </c>
      <c r="L123" s="3" t="s">
        <v>180</v>
      </c>
      <c r="M123" s="3" t="s">
        <v>306</v>
      </c>
      <c r="N123" s="3" t="s">
        <v>182</v>
      </c>
      <c r="O123" s="3" t="s">
        <v>182</v>
      </c>
      <c r="P123" s="3"/>
      <c r="Q123" s="3" t="s">
        <v>216</v>
      </c>
      <c r="R123" s="3" t="s">
        <v>182</v>
      </c>
      <c r="S123" s="42">
        <v>5.7870370370370366E-5</v>
      </c>
      <c r="T123" s="3" t="s">
        <v>2561</v>
      </c>
      <c r="U123" s="3" t="s">
        <v>188</v>
      </c>
      <c r="V123" s="3" t="s">
        <v>180</v>
      </c>
      <c r="W123" s="3" t="s">
        <v>180</v>
      </c>
      <c r="X123" s="3" t="s">
        <v>180</v>
      </c>
      <c r="Y123" s="3" t="s">
        <v>180</v>
      </c>
      <c r="Z123" s="3" t="s">
        <v>180</v>
      </c>
      <c r="AA123" s="3" t="s">
        <v>180</v>
      </c>
      <c r="AB123" s="3" t="s">
        <v>180</v>
      </c>
      <c r="AC123" s="3" t="s">
        <v>180</v>
      </c>
      <c r="AD123" s="3" t="s">
        <v>180</v>
      </c>
    </row>
    <row r="124" spans="1:30" x14ac:dyDescent="0.4">
      <c r="A124" s="3">
        <f t="shared" si="2"/>
        <v>119</v>
      </c>
      <c r="B124" s="3">
        <f t="shared" si="3"/>
        <v>0</v>
      </c>
      <c r="C124" s="3" t="s">
        <v>3021</v>
      </c>
      <c r="D124" s="3" t="s">
        <v>307</v>
      </c>
      <c r="E124" s="3" t="s">
        <v>180</v>
      </c>
      <c r="F124" s="3" t="s">
        <v>182</v>
      </c>
      <c r="G124" s="3" t="s">
        <v>187</v>
      </c>
      <c r="H124" s="40">
        <v>36494</v>
      </c>
      <c r="I124" s="3">
        <v>267011</v>
      </c>
      <c r="J124" s="3" t="s">
        <v>194</v>
      </c>
      <c r="K124" s="3" t="s">
        <v>2568</v>
      </c>
      <c r="L124" s="3" t="s">
        <v>180</v>
      </c>
      <c r="M124" s="3" t="s">
        <v>2668</v>
      </c>
      <c r="N124" s="3" t="s">
        <v>182</v>
      </c>
      <c r="O124" s="3" t="s">
        <v>182</v>
      </c>
      <c r="P124" s="3" t="s">
        <v>2566</v>
      </c>
      <c r="Q124" s="3" t="s">
        <v>308</v>
      </c>
      <c r="R124" s="3" t="s">
        <v>182</v>
      </c>
      <c r="S124" s="42">
        <v>4.6296296296296293E-4</v>
      </c>
      <c r="T124" s="3" t="s">
        <v>2561</v>
      </c>
      <c r="U124" s="3" t="s">
        <v>2669</v>
      </c>
      <c r="V124" s="42">
        <v>0</v>
      </c>
      <c r="W124" s="43">
        <v>41933</v>
      </c>
      <c r="X124" s="3" t="s">
        <v>180</v>
      </c>
      <c r="Y124" s="3" t="s">
        <v>180</v>
      </c>
      <c r="Z124" s="3" t="s">
        <v>180</v>
      </c>
      <c r="AA124" s="3" t="s">
        <v>210</v>
      </c>
      <c r="AB124" s="3" t="s">
        <v>211</v>
      </c>
      <c r="AC124" s="3" t="s">
        <v>182</v>
      </c>
      <c r="AD124" s="3" t="s">
        <v>182</v>
      </c>
    </row>
    <row r="125" spans="1:30" x14ac:dyDescent="0.4">
      <c r="A125" s="3">
        <f t="shared" si="2"/>
        <v>120</v>
      </c>
      <c r="B125" s="3">
        <f t="shared" si="3"/>
        <v>0</v>
      </c>
      <c r="C125" s="3" t="s">
        <v>3021</v>
      </c>
      <c r="D125" s="3" t="s">
        <v>309</v>
      </c>
      <c r="E125" s="3" t="s">
        <v>180</v>
      </c>
      <c r="F125" s="3" t="s">
        <v>182</v>
      </c>
      <c r="G125" s="3" t="s">
        <v>187</v>
      </c>
      <c r="H125" s="40">
        <v>36494</v>
      </c>
      <c r="I125" s="3">
        <v>267011</v>
      </c>
      <c r="J125" s="3" t="s">
        <v>194</v>
      </c>
      <c r="K125" s="3" t="s">
        <v>2568</v>
      </c>
      <c r="L125" s="3" t="s">
        <v>180</v>
      </c>
      <c r="M125" s="3" t="s">
        <v>2670</v>
      </c>
      <c r="N125" s="3" t="s">
        <v>182</v>
      </c>
      <c r="O125" s="3" t="s">
        <v>2666</v>
      </c>
      <c r="P125" s="3" t="s">
        <v>2566</v>
      </c>
      <c r="Q125" s="3" t="s">
        <v>304</v>
      </c>
      <c r="R125" s="3" t="s">
        <v>182</v>
      </c>
      <c r="S125" s="42">
        <v>8.3333333333333329E-2</v>
      </c>
      <c r="T125" s="3" t="s">
        <v>2664</v>
      </c>
      <c r="U125" s="3" t="s">
        <v>242</v>
      </c>
      <c r="V125" s="3" t="s">
        <v>180</v>
      </c>
      <c r="W125" s="3" t="s">
        <v>180</v>
      </c>
      <c r="X125" s="3" t="s">
        <v>180</v>
      </c>
      <c r="Y125" s="3" t="s">
        <v>180</v>
      </c>
      <c r="Z125" s="3" t="s">
        <v>180</v>
      </c>
      <c r="AA125" s="3" t="s">
        <v>180</v>
      </c>
      <c r="AB125" s="3" t="s">
        <v>180</v>
      </c>
      <c r="AC125" s="3" t="s">
        <v>180</v>
      </c>
      <c r="AD125" s="3" t="s">
        <v>180</v>
      </c>
    </row>
    <row r="126" spans="1:30" x14ac:dyDescent="0.4">
      <c r="A126" s="3">
        <f t="shared" si="2"/>
        <v>121</v>
      </c>
      <c r="B126" s="3">
        <f t="shared" si="3"/>
        <v>0</v>
      </c>
      <c r="C126" s="3" t="s">
        <v>3021</v>
      </c>
      <c r="D126" s="3" t="s">
        <v>309</v>
      </c>
      <c r="E126" s="3" t="s">
        <v>180</v>
      </c>
      <c r="F126" s="3" t="s">
        <v>182</v>
      </c>
      <c r="G126" s="3" t="s">
        <v>187</v>
      </c>
      <c r="H126" s="40">
        <v>36494</v>
      </c>
      <c r="I126" s="3">
        <v>267011</v>
      </c>
      <c r="J126" s="3" t="s">
        <v>194</v>
      </c>
      <c r="K126" s="3" t="s">
        <v>2568</v>
      </c>
      <c r="L126" s="3" t="s">
        <v>180</v>
      </c>
      <c r="M126" s="3" t="s">
        <v>2670</v>
      </c>
      <c r="N126" s="3" t="s">
        <v>182</v>
      </c>
      <c r="O126" s="3" t="s">
        <v>2666</v>
      </c>
      <c r="P126" s="3" t="s">
        <v>2566</v>
      </c>
      <c r="Q126" s="3" t="s">
        <v>304</v>
      </c>
      <c r="R126" s="3" t="s">
        <v>182</v>
      </c>
      <c r="S126" s="42">
        <v>8.3333333333333329E-2</v>
      </c>
      <c r="T126" s="3" t="s">
        <v>2664</v>
      </c>
      <c r="U126" s="3" t="s">
        <v>242</v>
      </c>
      <c r="V126" s="3" t="s">
        <v>180</v>
      </c>
      <c r="W126" s="3" t="s">
        <v>180</v>
      </c>
      <c r="X126" s="3" t="s">
        <v>180</v>
      </c>
      <c r="Y126" s="3" t="s">
        <v>180</v>
      </c>
      <c r="Z126" s="3" t="s">
        <v>180</v>
      </c>
      <c r="AA126" s="3" t="s">
        <v>180</v>
      </c>
      <c r="AB126" s="3" t="s">
        <v>180</v>
      </c>
      <c r="AC126" s="3" t="s">
        <v>180</v>
      </c>
      <c r="AD126" s="3" t="s">
        <v>180</v>
      </c>
    </row>
    <row r="127" spans="1:30" x14ac:dyDescent="0.4">
      <c r="A127" s="3">
        <f t="shared" si="2"/>
        <v>122</v>
      </c>
      <c r="B127" s="3">
        <f t="shared" si="3"/>
        <v>0</v>
      </c>
      <c r="C127" s="3" t="s">
        <v>3021</v>
      </c>
      <c r="D127" s="3" t="s">
        <v>309</v>
      </c>
      <c r="E127" s="3" t="s">
        <v>180</v>
      </c>
      <c r="F127" s="3" t="s">
        <v>182</v>
      </c>
      <c r="G127" s="3" t="s">
        <v>187</v>
      </c>
      <c r="H127" s="40">
        <v>36494</v>
      </c>
      <c r="I127" s="3">
        <v>267011</v>
      </c>
      <c r="J127" s="3" t="s">
        <v>194</v>
      </c>
      <c r="K127" s="3" t="s">
        <v>2568</v>
      </c>
      <c r="L127" s="3" t="s">
        <v>180</v>
      </c>
      <c r="M127" s="3" t="s">
        <v>2670</v>
      </c>
      <c r="N127" s="3" t="s">
        <v>182</v>
      </c>
      <c r="O127" s="3" t="s">
        <v>2666</v>
      </c>
      <c r="P127" s="3" t="s">
        <v>2566</v>
      </c>
      <c r="Q127" s="3" t="s">
        <v>304</v>
      </c>
      <c r="R127" s="3" t="s">
        <v>182</v>
      </c>
      <c r="S127" s="42">
        <v>8.3333333333333329E-2</v>
      </c>
      <c r="T127" s="3" t="s">
        <v>2664</v>
      </c>
      <c r="U127" s="3" t="s">
        <v>242</v>
      </c>
      <c r="V127" s="3" t="s">
        <v>180</v>
      </c>
      <c r="W127" s="3" t="s">
        <v>180</v>
      </c>
      <c r="X127" s="3" t="s">
        <v>180</v>
      </c>
      <c r="Y127" s="3" t="s">
        <v>180</v>
      </c>
      <c r="Z127" s="3" t="s">
        <v>180</v>
      </c>
      <c r="AA127" s="3" t="s">
        <v>180</v>
      </c>
      <c r="AB127" s="3" t="s">
        <v>180</v>
      </c>
      <c r="AC127" s="3" t="s">
        <v>180</v>
      </c>
      <c r="AD127" s="3" t="s">
        <v>180</v>
      </c>
    </row>
    <row r="128" spans="1:30" x14ac:dyDescent="0.4">
      <c r="A128" s="3">
        <f t="shared" si="2"/>
        <v>123</v>
      </c>
      <c r="B128" s="3">
        <f t="shared" si="3"/>
        <v>0</v>
      </c>
      <c r="C128" s="3" t="s">
        <v>3021</v>
      </c>
      <c r="D128" s="3" t="s">
        <v>309</v>
      </c>
      <c r="E128" s="3" t="s">
        <v>180</v>
      </c>
      <c r="F128" s="3" t="s">
        <v>182</v>
      </c>
      <c r="G128" s="3" t="s">
        <v>187</v>
      </c>
      <c r="H128" s="40">
        <v>36494</v>
      </c>
      <c r="I128" s="3">
        <v>267011</v>
      </c>
      <c r="J128" s="3" t="s">
        <v>194</v>
      </c>
      <c r="K128" s="3" t="s">
        <v>2568</v>
      </c>
      <c r="L128" s="3" t="s">
        <v>180</v>
      </c>
      <c r="M128" s="3" t="s">
        <v>2670</v>
      </c>
      <c r="N128" s="3" t="s">
        <v>182</v>
      </c>
      <c r="O128" s="3" t="s">
        <v>2666</v>
      </c>
      <c r="P128" s="3" t="s">
        <v>2566</v>
      </c>
      <c r="Q128" s="3" t="s">
        <v>304</v>
      </c>
      <c r="R128" s="3" t="s">
        <v>182</v>
      </c>
      <c r="S128" s="42">
        <v>8.3333333333333329E-2</v>
      </c>
      <c r="T128" s="3" t="s">
        <v>2664</v>
      </c>
      <c r="U128" s="3" t="s">
        <v>242</v>
      </c>
      <c r="V128" s="3" t="s">
        <v>180</v>
      </c>
      <c r="W128" s="3" t="s">
        <v>180</v>
      </c>
      <c r="X128" s="3" t="s">
        <v>180</v>
      </c>
      <c r="Y128" s="3" t="s">
        <v>180</v>
      </c>
      <c r="Z128" s="3" t="s">
        <v>180</v>
      </c>
      <c r="AA128" s="3" t="s">
        <v>180</v>
      </c>
      <c r="AB128" s="3" t="s">
        <v>180</v>
      </c>
      <c r="AC128" s="3" t="s">
        <v>180</v>
      </c>
      <c r="AD128" s="3" t="s">
        <v>180</v>
      </c>
    </row>
    <row r="129" spans="1:30" x14ac:dyDescent="0.4">
      <c r="A129" s="3">
        <f t="shared" si="2"/>
        <v>124</v>
      </c>
      <c r="B129" s="3">
        <f t="shared" si="3"/>
        <v>0</v>
      </c>
      <c r="C129" s="3" t="s">
        <v>3021</v>
      </c>
      <c r="D129" s="3" t="s">
        <v>310</v>
      </c>
      <c r="E129" s="3" t="s">
        <v>180</v>
      </c>
      <c r="F129" s="3" t="s">
        <v>182</v>
      </c>
      <c r="G129" s="3" t="s">
        <v>187</v>
      </c>
      <c r="H129" s="40">
        <v>36494</v>
      </c>
      <c r="I129" s="3">
        <v>267011</v>
      </c>
      <c r="J129" s="3" t="s">
        <v>194</v>
      </c>
      <c r="K129" s="3" t="s">
        <v>2568</v>
      </c>
      <c r="L129" s="3" t="s">
        <v>180</v>
      </c>
      <c r="M129" s="3" t="s">
        <v>311</v>
      </c>
      <c r="N129" s="3" t="s">
        <v>182</v>
      </c>
      <c r="O129" s="3" t="s">
        <v>267</v>
      </c>
      <c r="P129" s="3" t="s">
        <v>2566</v>
      </c>
      <c r="Q129" s="3" t="s">
        <v>304</v>
      </c>
      <c r="R129" s="3" t="s">
        <v>182</v>
      </c>
      <c r="S129" s="42">
        <v>8.3333333333333329E-2</v>
      </c>
      <c r="T129" s="3" t="s">
        <v>2671</v>
      </c>
      <c r="U129" s="3" t="s">
        <v>188</v>
      </c>
      <c r="V129" s="3" t="s">
        <v>180</v>
      </c>
      <c r="W129" s="3" t="s">
        <v>180</v>
      </c>
      <c r="X129" s="3" t="s">
        <v>180</v>
      </c>
      <c r="Y129" s="3" t="s">
        <v>180</v>
      </c>
      <c r="Z129" s="3" t="s">
        <v>180</v>
      </c>
      <c r="AA129" s="3" t="s">
        <v>180</v>
      </c>
      <c r="AB129" s="3" t="s">
        <v>180</v>
      </c>
      <c r="AC129" s="3" t="s">
        <v>180</v>
      </c>
      <c r="AD129" s="3" t="s">
        <v>180</v>
      </c>
    </row>
    <row r="130" spans="1:30" x14ac:dyDescent="0.4">
      <c r="A130" s="3">
        <f t="shared" si="2"/>
        <v>125</v>
      </c>
      <c r="B130" s="3">
        <f t="shared" si="3"/>
        <v>0</v>
      </c>
      <c r="C130" s="3" t="s">
        <v>3021</v>
      </c>
      <c r="D130" s="3" t="s">
        <v>312</v>
      </c>
      <c r="E130" s="3" t="s">
        <v>180</v>
      </c>
      <c r="F130" s="3" t="s">
        <v>179</v>
      </c>
      <c r="G130" s="3" t="s">
        <v>187</v>
      </c>
      <c r="H130" s="40">
        <v>44728.690995370373</v>
      </c>
      <c r="I130" s="3">
        <v>0</v>
      </c>
      <c r="J130" s="3" t="s">
        <v>194</v>
      </c>
      <c r="K130" s="3" t="s">
        <v>313</v>
      </c>
      <c r="L130" s="3" t="s">
        <v>180</v>
      </c>
      <c r="M130" s="3" t="s">
        <v>2672</v>
      </c>
      <c r="N130" s="3" t="s">
        <v>181</v>
      </c>
      <c r="O130" s="3" t="s">
        <v>182</v>
      </c>
      <c r="P130" s="3" t="s">
        <v>2566</v>
      </c>
      <c r="Q130" s="3" t="s">
        <v>86</v>
      </c>
      <c r="R130" s="3" t="s">
        <v>182</v>
      </c>
      <c r="S130" s="42">
        <v>0.375</v>
      </c>
      <c r="T130" s="3" t="s">
        <v>2561</v>
      </c>
      <c r="U130" s="3" t="s">
        <v>188</v>
      </c>
      <c r="V130" s="3" t="s">
        <v>180</v>
      </c>
      <c r="W130" s="3" t="s">
        <v>180</v>
      </c>
      <c r="X130" s="3" t="s">
        <v>180</v>
      </c>
      <c r="Y130" s="3" t="s">
        <v>180</v>
      </c>
      <c r="Z130" s="3" t="s">
        <v>180</v>
      </c>
      <c r="AA130" s="3" t="s">
        <v>180</v>
      </c>
      <c r="AB130" s="3" t="s">
        <v>180</v>
      </c>
      <c r="AC130" s="3" t="s">
        <v>180</v>
      </c>
      <c r="AD130" s="3" t="s">
        <v>180</v>
      </c>
    </row>
    <row r="131" spans="1:30" x14ac:dyDescent="0.4">
      <c r="A131" s="3">
        <f t="shared" si="2"/>
        <v>126</v>
      </c>
      <c r="B131" s="3">
        <f t="shared" si="3"/>
        <v>0</v>
      </c>
      <c r="C131" s="3" t="s">
        <v>3021</v>
      </c>
      <c r="D131" s="3" t="s">
        <v>314</v>
      </c>
      <c r="E131" s="3" t="s">
        <v>180</v>
      </c>
      <c r="F131" s="3" t="s">
        <v>182</v>
      </c>
      <c r="G131" s="3" t="s">
        <v>187</v>
      </c>
      <c r="H131" s="40">
        <v>36494</v>
      </c>
      <c r="I131" s="3">
        <v>267011</v>
      </c>
      <c r="J131" s="3" t="s">
        <v>180</v>
      </c>
      <c r="K131" s="3" t="s">
        <v>2568</v>
      </c>
      <c r="L131" s="3" t="s">
        <v>180</v>
      </c>
      <c r="M131" s="3" t="s">
        <v>2673</v>
      </c>
      <c r="N131" s="3" t="s">
        <v>182</v>
      </c>
      <c r="O131" s="3" t="s">
        <v>182</v>
      </c>
      <c r="P131" s="3"/>
      <c r="Q131" s="3" t="s">
        <v>268</v>
      </c>
      <c r="R131" s="3" t="s">
        <v>182</v>
      </c>
      <c r="S131" s="3" t="s">
        <v>182</v>
      </c>
      <c r="T131" s="3" t="s">
        <v>2561</v>
      </c>
      <c r="U131" s="3" t="s">
        <v>196</v>
      </c>
      <c r="V131" s="3" t="s">
        <v>180</v>
      </c>
      <c r="W131" s="3" t="s">
        <v>180</v>
      </c>
      <c r="X131" s="3" t="s">
        <v>180</v>
      </c>
      <c r="Y131" s="3" t="s">
        <v>180</v>
      </c>
      <c r="Z131" s="3" t="s">
        <v>180</v>
      </c>
      <c r="AA131" s="3" t="s">
        <v>180</v>
      </c>
      <c r="AB131" s="3" t="s">
        <v>180</v>
      </c>
      <c r="AC131" s="3" t="s">
        <v>180</v>
      </c>
      <c r="AD131" s="3" t="s">
        <v>180</v>
      </c>
    </row>
    <row r="132" spans="1:30" x14ac:dyDescent="0.4">
      <c r="A132" s="3">
        <f t="shared" si="2"/>
        <v>127</v>
      </c>
      <c r="B132" s="3">
        <f t="shared" si="3"/>
        <v>0</v>
      </c>
      <c r="C132" s="3" t="s">
        <v>3021</v>
      </c>
      <c r="D132" s="3" t="s">
        <v>315</v>
      </c>
      <c r="E132" s="3" t="s">
        <v>180</v>
      </c>
      <c r="F132" s="3" t="s">
        <v>179</v>
      </c>
      <c r="G132" s="3" t="s">
        <v>187</v>
      </c>
      <c r="H132" s="40">
        <v>36494</v>
      </c>
      <c r="I132" s="3">
        <v>267011</v>
      </c>
      <c r="J132" s="3" t="s">
        <v>235</v>
      </c>
      <c r="K132" s="3" t="s">
        <v>316</v>
      </c>
      <c r="L132" s="3" t="s">
        <v>317</v>
      </c>
      <c r="M132" s="3" t="s">
        <v>2674</v>
      </c>
      <c r="N132" s="3" t="s">
        <v>181</v>
      </c>
      <c r="O132" s="3" t="s">
        <v>182</v>
      </c>
      <c r="P132" s="3" t="s">
        <v>2556</v>
      </c>
      <c r="Q132" s="3" t="s">
        <v>268</v>
      </c>
      <c r="R132" s="3" t="s">
        <v>182</v>
      </c>
      <c r="S132" s="41">
        <v>3</v>
      </c>
      <c r="T132" s="3" t="s">
        <v>2561</v>
      </c>
      <c r="U132" s="3" t="s">
        <v>2675</v>
      </c>
      <c r="V132" s="3" t="s">
        <v>180</v>
      </c>
      <c r="W132" s="3" t="s">
        <v>180</v>
      </c>
      <c r="X132" s="3" t="s">
        <v>180</v>
      </c>
      <c r="Y132" s="3" t="s">
        <v>180</v>
      </c>
      <c r="Z132" s="3" t="s">
        <v>180</v>
      </c>
      <c r="AA132" s="3" t="s">
        <v>180</v>
      </c>
      <c r="AB132" s="3" t="s">
        <v>180</v>
      </c>
      <c r="AC132" s="3" t="s">
        <v>180</v>
      </c>
      <c r="AD132" s="3" t="s">
        <v>180</v>
      </c>
    </row>
    <row r="133" spans="1:30" x14ac:dyDescent="0.4">
      <c r="A133" s="3">
        <f t="shared" si="2"/>
        <v>128</v>
      </c>
      <c r="B133" s="3">
        <f t="shared" si="3"/>
        <v>0</v>
      </c>
      <c r="C133" s="3" t="s">
        <v>3021</v>
      </c>
      <c r="D133" s="3" t="s">
        <v>318</v>
      </c>
      <c r="E133" s="3" t="s">
        <v>180</v>
      </c>
      <c r="F133" s="3" t="s">
        <v>182</v>
      </c>
      <c r="G133" s="3" t="s">
        <v>187</v>
      </c>
      <c r="H133" s="40">
        <v>36494</v>
      </c>
      <c r="I133" s="3">
        <v>267011</v>
      </c>
      <c r="J133" s="3" t="s">
        <v>194</v>
      </c>
      <c r="K133" s="3" t="s">
        <v>319</v>
      </c>
      <c r="L133" s="3" t="s">
        <v>180</v>
      </c>
      <c r="M133" s="3" t="s">
        <v>2676</v>
      </c>
      <c r="N133" s="3" t="s">
        <v>182</v>
      </c>
      <c r="O133" s="3" t="s">
        <v>182</v>
      </c>
      <c r="P133" s="3" t="s">
        <v>2556</v>
      </c>
      <c r="Q133" s="3" t="s">
        <v>86</v>
      </c>
      <c r="R133" s="3" t="s">
        <v>182</v>
      </c>
      <c r="S133" s="42">
        <v>4.1666666666666664E-2</v>
      </c>
      <c r="T133" s="3" t="s">
        <v>2557</v>
      </c>
      <c r="U133" s="3" t="s">
        <v>320</v>
      </c>
      <c r="V133" s="42">
        <v>0</v>
      </c>
      <c r="W133" s="43">
        <v>42237</v>
      </c>
      <c r="X133" s="3" t="s">
        <v>180</v>
      </c>
      <c r="Y133" s="3" t="s">
        <v>180</v>
      </c>
      <c r="Z133" s="3" t="s">
        <v>180</v>
      </c>
      <c r="AA133" s="3" t="s">
        <v>321</v>
      </c>
      <c r="AB133" s="3" t="s">
        <v>211</v>
      </c>
      <c r="AC133" s="3" t="s">
        <v>182</v>
      </c>
      <c r="AD133" s="3" t="s">
        <v>182</v>
      </c>
    </row>
    <row r="134" spans="1:30" x14ac:dyDescent="0.4">
      <c r="A134" s="3">
        <f t="shared" si="2"/>
        <v>129</v>
      </c>
      <c r="B134" s="3">
        <f t="shared" si="3"/>
        <v>0</v>
      </c>
      <c r="C134" s="3" t="s">
        <v>3021</v>
      </c>
      <c r="D134" s="3" t="s">
        <v>318</v>
      </c>
      <c r="E134" s="3" t="s">
        <v>180</v>
      </c>
      <c r="F134" s="3" t="s">
        <v>182</v>
      </c>
      <c r="G134" s="3" t="s">
        <v>187</v>
      </c>
      <c r="H134" s="40">
        <v>36494</v>
      </c>
      <c r="I134" s="3">
        <v>267011</v>
      </c>
      <c r="J134" s="3" t="s">
        <v>194</v>
      </c>
      <c r="K134" s="3" t="s">
        <v>319</v>
      </c>
      <c r="L134" s="3" t="s">
        <v>180</v>
      </c>
      <c r="M134" s="3" t="s">
        <v>2676</v>
      </c>
      <c r="N134" s="3" t="s">
        <v>182</v>
      </c>
      <c r="O134" s="3" t="s">
        <v>182</v>
      </c>
      <c r="P134" s="3" t="s">
        <v>2556</v>
      </c>
      <c r="Q134" s="3" t="s">
        <v>86</v>
      </c>
      <c r="R134" s="3" t="s">
        <v>182</v>
      </c>
      <c r="S134" s="42">
        <v>4.1666666666666664E-2</v>
      </c>
      <c r="T134" s="3" t="s">
        <v>2557</v>
      </c>
      <c r="U134" s="3" t="s">
        <v>206</v>
      </c>
      <c r="V134" s="3" t="s">
        <v>180</v>
      </c>
      <c r="W134" s="3" t="s">
        <v>180</v>
      </c>
      <c r="X134" s="3" t="s">
        <v>180</v>
      </c>
      <c r="Y134" s="3" t="s">
        <v>180</v>
      </c>
      <c r="Z134" s="3" t="s">
        <v>180</v>
      </c>
      <c r="AA134" s="3" t="s">
        <v>180</v>
      </c>
      <c r="AB134" s="3" t="s">
        <v>180</v>
      </c>
      <c r="AC134" s="3" t="s">
        <v>180</v>
      </c>
      <c r="AD134" s="3" t="s">
        <v>180</v>
      </c>
    </row>
    <row r="135" spans="1:30" x14ac:dyDescent="0.4">
      <c r="A135" s="3">
        <f t="shared" si="2"/>
        <v>130</v>
      </c>
      <c r="B135" s="3">
        <f t="shared" si="3"/>
        <v>0</v>
      </c>
      <c r="C135" s="3" t="s">
        <v>3021</v>
      </c>
      <c r="D135" s="3" t="s">
        <v>322</v>
      </c>
      <c r="E135" s="3" t="s">
        <v>180</v>
      </c>
      <c r="F135" s="3" t="s">
        <v>182</v>
      </c>
      <c r="G135" s="3" t="s">
        <v>187</v>
      </c>
      <c r="H135" s="40">
        <v>36494</v>
      </c>
      <c r="I135" s="3">
        <v>267011</v>
      </c>
      <c r="J135" s="3" t="s">
        <v>194</v>
      </c>
      <c r="K135" s="3" t="s">
        <v>2568</v>
      </c>
      <c r="L135" s="3" t="s">
        <v>180</v>
      </c>
      <c r="M135" s="3" t="s">
        <v>2677</v>
      </c>
      <c r="N135" s="3" t="s">
        <v>182</v>
      </c>
      <c r="O135" s="3" t="s">
        <v>182</v>
      </c>
      <c r="P135" s="3"/>
      <c r="Q135" s="3" t="s">
        <v>300</v>
      </c>
      <c r="R135" s="3" t="s">
        <v>182</v>
      </c>
      <c r="S135" s="41">
        <v>1</v>
      </c>
      <c r="T135" s="3" t="s">
        <v>2561</v>
      </c>
      <c r="U135" s="3" t="s">
        <v>209</v>
      </c>
      <c r="V135" s="42">
        <v>0</v>
      </c>
      <c r="W135" s="43">
        <v>39448</v>
      </c>
      <c r="X135" s="3" t="s">
        <v>180</v>
      </c>
      <c r="Y135" s="3" t="s">
        <v>180</v>
      </c>
      <c r="Z135" s="3" t="s">
        <v>180</v>
      </c>
      <c r="AA135" s="3" t="s">
        <v>323</v>
      </c>
      <c r="AB135" s="3" t="s">
        <v>211</v>
      </c>
      <c r="AC135" s="3" t="s">
        <v>182</v>
      </c>
      <c r="AD135" s="3" t="s">
        <v>182</v>
      </c>
    </row>
    <row r="136" spans="1:30" x14ac:dyDescent="0.4">
      <c r="A136" s="3">
        <f t="shared" ref="A136:A199" si="4">A135+1</f>
        <v>131</v>
      </c>
      <c r="B136" s="3">
        <f t="shared" ref="B136:B199" si="5">$B$6</f>
        <v>0</v>
      </c>
      <c r="C136" s="3" t="s">
        <v>3021</v>
      </c>
      <c r="D136" s="3" t="s">
        <v>324</v>
      </c>
      <c r="E136" s="3" t="s">
        <v>180</v>
      </c>
      <c r="F136" s="3" t="s">
        <v>182</v>
      </c>
      <c r="G136" s="3" t="s">
        <v>187</v>
      </c>
      <c r="H136" s="40">
        <v>36494</v>
      </c>
      <c r="I136" s="3">
        <v>267011</v>
      </c>
      <c r="J136" s="3" t="s">
        <v>194</v>
      </c>
      <c r="K136" s="3" t="s">
        <v>2568</v>
      </c>
      <c r="L136" s="3" t="s">
        <v>180</v>
      </c>
      <c r="M136" s="3" t="s">
        <v>2678</v>
      </c>
      <c r="N136" s="3" t="s">
        <v>182</v>
      </c>
      <c r="O136" s="3" t="s">
        <v>182</v>
      </c>
      <c r="P136" s="3" t="s">
        <v>2566</v>
      </c>
      <c r="Q136" s="3" t="s">
        <v>300</v>
      </c>
      <c r="R136" s="3" t="s">
        <v>182</v>
      </c>
      <c r="S136" s="41">
        <v>1</v>
      </c>
      <c r="T136" s="3" t="s">
        <v>2561</v>
      </c>
      <c r="U136" s="3" t="s">
        <v>196</v>
      </c>
      <c r="V136" s="3" t="s">
        <v>180</v>
      </c>
      <c r="W136" s="3" t="s">
        <v>180</v>
      </c>
      <c r="X136" s="3" t="s">
        <v>180</v>
      </c>
      <c r="Y136" s="3" t="s">
        <v>180</v>
      </c>
      <c r="Z136" s="3" t="s">
        <v>180</v>
      </c>
      <c r="AA136" s="3" t="s">
        <v>180</v>
      </c>
      <c r="AB136" s="3" t="s">
        <v>180</v>
      </c>
      <c r="AC136" s="3" t="s">
        <v>180</v>
      </c>
      <c r="AD136" s="3" t="s">
        <v>180</v>
      </c>
    </row>
    <row r="137" spans="1:30" x14ac:dyDescent="0.4">
      <c r="A137" s="3">
        <f t="shared" si="4"/>
        <v>132</v>
      </c>
      <c r="B137" s="3">
        <f t="shared" si="5"/>
        <v>0</v>
      </c>
      <c r="C137" s="3" t="s">
        <v>3021</v>
      </c>
      <c r="D137" s="3" t="s">
        <v>325</v>
      </c>
      <c r="E137" s="3" t="s">
        <v>180</v>
      </c>
      <c r="F137" s="3" t="s">
        <v>179</v>
      </c>
      <c r="G137" s="3" t="s">
        <v>187</v>
      </c>
      <c r="H137" s="40">
        <v>44693.412789351853</v>
      </c>
      <c r="I137" s="3">
        <v>0</v>
      </c>
      <c r="J137" s="3" t="s">
        <v>194</v>
      </c>
      <c r="K137" s="3" t="s">
        <v>2568</v>
      </c>
      <c r="L137" s="3" t="s">
        <v>180</v>
      </c>
      <c r="M137" s="3" t="s">
        <v>2679</v>
      </c>
      <c r="N137" s="3" t="s">
        <v>181</v>
      </c>
      <c r="O137" s="3" t="s">
        <v>182</v>
      </c>
      <c r="P137" s="3"/>
      <c r="Q137" s="3" t="s">
        <v>86</v>
      </c>
      <c r="R137" s="3" t="s">
        <v>182</v>
      </c>
      <c r="S137" s="42">
        <v>4.1666666666666664E-2</v>
      </c>
      <c r="T137" s="3" t="s">
        <v>2561</v>
      </c>
      <c r="U137" s="3" t="s">
        <v>201</v>
      </c>
      <c r="V137" s="3" t="s">
        <v>180</v>
      </c>
      <c r="W137" s="3" t="s">
        <v>180</v>
      </c>
      <c r="X137" s="3" t="s">
        <v>180</v>
      </c>
      <c r="Y137" s="3" t="s">
        <v>180</v>
      </c>
      <c r="Z137" s="3" t="s">
        <v>180</v>
      </c>
      <c r="AA137" s="3" t="s">
        <v>180</v>
      </c>
      <c r="AB137" s="3" t="s">
        <v>180</v>
      </c>
      <c r="AC137" s="3" t="s">
        <v>180</v>
      </c>
      <c r="AD137" s="3" t="s">
        <v>180</v>
      </c>
    </row>
    <row r="138" spans="1:30" x14ac:dyDescent="0.4">
      <c r="A138" s="3">
        <f t="shared" si="4"/>
        <v>133</v>
      </c>
      <c r="B138" s="3">
        <f t="shared" si="5"/>
        <v>0</v>
      </c>
      <c r="C138" s="3" t="s">
        <v>3021</v>
      </c>
      <c r="D138" s="3" t="s">
        <v>326</v>
      </c>
      <c r="E138" s="3" t="s">
        <v>180</v>
      </c>
      <c r="F138" s="3" t="s">
        <v>179</v>
      </c>
      <c r="G138" s="3" t="s">
        <v>187</v>
      </c>
      <c r="H138" s="40">
        <v>44728.690995370373</v>
      </c>
      <c r="I138" s="3">
        <v>0</v>
      </c>
      <c r="J138" s="3" t="s">
        <v>194</v>
      </c>
      <c r="K138" s="3" t="s">
        <v>2568</v>
      </c>
      <c r="L138" s="3" t="s">
        <v>180</v>
      </c>
      <c r="M138" s="3" t="s">
        <v>2680</v>
      </c>
      <c r="N138" s="3" t="s">
        <v>181</v>
      </c>
      <c r="O138" s="3" t="s">
        <v>182</v>
      </c>
      <c r="P138" s="3" t="s">
        <v>271</v>
      </c>
      <c r="Q138" s="3" t="s">
        <v>86</v>
      </c>
      <c r="R138" s="3" t="s">
        <v>182</v>
      </c>
      <c r="S138" s="41">
        <v>3</v>
      </c>
      <c r="T138" s="3" t="s">
        <v>2561</v>
      </c>
      <c r="U138" s="3" t="s">
        <v>188</v>
      </c>
      <c r="V138" s="3" t="s">
        <v>180</v>
      </c>
      <c r="W138" s="3" t="s">
        <v>180</v>
      </c>
      <c r="X138" s="3" t="s">
        <v>180</v>
      </c>
      <c r="Y138" s="3" t="s">
        <v>180</v>
      </c>
      <c r="Z138" s="3" t="s">
        <v>180</v>
      </c>
      <c r="AA138" s="3" t="s">
        <v>180</v>
      </c>
      <c r="AB138" s="3" t="s">
        <v>180</v>
      </c>
      <c r="AC138" s="3" t="s">
        <v>180</v>
      </c>
      <c r="AD138" s="3" t="s">
        <v>180</v>
      </c>
    </row>
    <row r="139" spans="1:30" x14ac:dyDescent="0.4">
      <c r="A139" s="3">
        <f t="shared" si="4"/>
        <v>134</v>
      </c>
      <c r="B139" s="3">
        <f t="shared" si="5"/>
        <v>0</v>
      </c>
      <c r="C139" s="3" t="s">
        <v>3021</v>
      </c>
      <c r="D139" s="3" t="s">
        <v>327</v>
      </c>
      <c r="E139" s="3" t="s">
        <v>180</v>
      </c>
      <c r="F139" s="3" t="s">
        <v>182</v>
      </c>
      <c r="G139" s="3" t="s">
        <v>187</v>
      </c>
      <c r="H139" s="40">
        <v>36494</v>
      </c>
      <c r="I139" s="3">
        <v>267011</v>
      </c>
      <c r="J139" s="3" t="s">
        <v>194</v>
      </c>
      <c r="K139" s="3" t="s">
        <v>328</v>
      </c>
      <c r="L139" s="3" t="s">
        <v>180</v>
      </c>
      <c r="M139" s="3" t="s">
        <v>180</v>
      </c>
      <c r="N139" s="3" t="s">
        <v>182</v>
      </c>
      <c r="O139" s="3" t="s">
        <v>182</v>
      </c>
      <c r="P139" s="3"/>
      <c r="Q139" s="3" t="s">
        <v>86</v>
      </c>
      <c r="R139" s="3" t="s">
        <v>182</v>
      </c>
      <c r="S139" s="3" t="s">
        <v>182</v>
      </c>
      <c r="T139" s="3" t="s">
        <v>2561</v>
      </c>
      <c r="U139" s="3" t="s">
        <v>206</v>
      </c>
      <c r="V139" s="3" t="s">
        <v>180</v>
      </c>
      <c r="W139" s="3" t="s">
        <v>180</v>
      </c>
      <c r="X139" s="3" t="s">
        <v>180</v>
      </c>
      <c r="Y139" s="3" t="s">
        <v>180</v>
      </c>
      <c r="Z139" s="3" t="s">
        <v>180</v>
      </c>
      <c r="AA139" s="3" t="s">
        <v>180</v>
      </c>
      <c r="AB139" s="3" t="s">
        <v>180</v>
      </c>
      <c r="AC139" s="3" t="s">
        <v>180</v>
      </c>
      <c r="AD139" s="3" t="s">
        <v>180</v>
      </c>
    </row>
    <row r="140" spans="1:30" x14ac:dyDescent="0.4">
      <c r="A140" s="3">
        <f t="shared" si="4"/>
        <v>135</v>
      </c>
      <c r="B140" s="3">
        <f t="shared" si="5"/>
        <v>0</v>
      </c>
      <c r="C140" s="3" t="s">
        <v>3021</v>
      </c>
      <c r="D140" s="3" t="s">
        <v>329</v>
      </c>
      <c r="E140" s="3" t="s">
        <v>180</v>
      </c>
      <c r="F140" s="3" t="s">
        <v>179</v>
      </c>
      <c r="G140" s="3" t="s">
        <v>187</v>
      </c>
      <c r="H140" s="40">
        <v>44720.615555555552</v>
      </c>
      <c r="I140" s="3">
        <v>0</v>
      </c>
      <c r="J140" s="3" t="s">
        <v>194</v>
      </c>
      <c r="K140" s="3" t="s">
        <v>2568</v>
      </c>
      <c r="L140" s="3" t="s">
        <v>180</v>
      </c>
      <c r="M140" s="3" t="s">
        <v>2681</v>
      </c>
      <c r="N140" s="3" t="s">
        <v>181</v>
      </c>
      <c r="O140" s="3" t="s">
        <v>182</v>
      </c>
      <c r="P140" s="3"/>
      <c r="Q140" s="3" t="s">
        <v>86</v>
      </c>
      <c r="R140" s="3" t="s">
        <v>182</v>
      </c>
      <c r="S140" s="41">
        <v>1</v>
      </c>
      <c r="T140" s="3" t="s">
        <v>2561</v>
      </c>
      <c r="U140" s="3" t="s">
        <v>201</v>
      </c>
      <c r="V140" s="3" t="s">
        <v>180</v>
      </c>
      <c r="W140" s="3" t="s">
        <v>180</v>
      </c>
      <c r="X140" s="3" t="s">
        <v>180</v>
      </c>
      <c r="Y140" s="3" t="s">
        <v>180</v>
      </c>
      <c r="Z140" s="3" t="s">
        <v>180</v>
      </c>
      <c r="AA140" s="3" t="s">
        <v>180</v>
      </c>
      <c r="AB140" s="3" t="s">
        <v>180</v>
      </c>
      <c r="AC140" s="3" t="s">
        <v>180</v>
      </c>
      <c r="AD140" s="3" t="s">
        <v>180</v>
      </c>
    </row>
    <row r="141" spans="1:30" x14ac:dyDescent="0.4">
      <c r="A141" s="3">
        <f t="shared" si="4"/>
        <v>136</v>
      </c>
      <c r="B141" s="3">
        <f t="shared" si="5"/>
        <v>0</v>
      </c>
      <c r="C141" s="3" t="s">
        <v>3021</v>
      </c>
      <c r="D141" s="3" t="s">
        <v>330</v>
      </c>
      <c r="E141" s="3" t="s">
        <v>180</v>
      </c>
      <c r="F141" s="3" t="s">
        <v>179</v>
      </c>
      <c r="G141" s="3" t="s">
        <v>187</v>
      </c>
      <c r="H141" s="40">
        <v>44710.611041666663</v>
      </c>
      <c r="I141" s="3">
        <v>0</v>
      </c>
      <c r="J141" s="3" t="s">
        <v>194</v>
      </c>
      <c r="K141" s="3" t="s">
        <v>2568</v>
      </c>
      <c r="L141" s="3" t="s">
        <v>180</v>
      </c>
      <c r="M141" s="3" t="s">
        <v>2682</v>
      </c>
      <c r="N141" s="3" t="s">
        <v>181</v>
      </c>
      <c r="O141" s="3" t="s">
        <v>182</v>
      </c>
      <c r="P141" s="3"/>
      <c r="Q141" s="3" t="s">
        <v>216</v>
      </c>
      <c r="R141" s="3" t="s">
        <v>182</v>
      </c>
      <c r="S141" s="41">
        <v>3</v>
      </c>
      <c r="T141" s="3" t="s">
        <v>2603</v>
      </c>
      <c r="U141" s="3" t="s">
        <v>201</v>
      </c>
      <c r="V141" s="3" t="s">
        <v>180</v>
      </c>
      <c r="W141" s="3" t="s">
        <v>180</v>
      </c>
      <c r="X141" s="3" t="s">
        <v>180</v>
      </c>
      <c r="Y141" s="3" t="s">
        <v>180</v>
      </c>
      <c r="Z141" s="3" t="s">
        <v>180</v>
      </c>
      <c r="AA141" s="3" t="s">
        <v>180</v>
      </c>
      <c r="AB141" s="3" t="s">
        <v>180</v>
      </c>
      <c r="AC141" s="3" t="s">
        <v>180</v>
      </c>
      <c r="AD141" s="3" t="s">
        <v>180</v>
      </c>
    </row>
    <row r="142" spans="1:30" x14ac:dyDescent="0.4">
      <c r="A142" s="3">
        <f t="shared" si="4"/>
        <v>137</v>
      </c>
      <c r="B142" s="3">
        <f t="shared" si="5"/>
        <v>0</v>
      </c>
      <c r="C142" s="3" t="s">
        <v>3021</v>
      </c>
      <c r="D142" s="3" t="s">
        <v>330</v>
      </c>
      <c r="E142" s="3" t="s">
        <v>180</v>
      </c>
      <c r="F142" s="3" t="s">
        <v>179</v>
      </c>
      <c r="G142" s="3" t="s">
        <v>187</v>
      </c>
      <c r="H142" s="40">
        <v>44710.611041666663</v>
      </c>
      <c r="I142" s="3">
        <v>0</v>
      </c>
      <c r="J142" s="3" t="s">
        <v>194</v>
      </c>
      <c r="K142" s="3" t="s">
        <v>2568</v>
      </c>
      <c r="L142" s="3" t="s">
        <v>180</v>
      </c>
      <c r="M142" s="3" t="s">
        <v>2682</v>
      </c>
      <c r="N142" s="3" t="s">
        <v>181</v>
      </c>
      <c r="O142" s="3" t="s">
        <v>182</v>
      </c>
      <c r="P142" s="3"/>
      <c r="Q142" s="3" t="s">
        <v>216</v>
      </c>
      <c r="R142" s="3" t="s">
        <v>182</v>
      </c>
      <c r="S142" s="41">
        <v>3</v>
      </c>
      <c r="T142" s="3" t="s">
        <v>2603</v>
      </c>
      <c r="U142" s="3" t="s">
        <v>196</v>
      </c>
      <c r="V142" s="3" t="s">
        <v>180</v>
      </c>
      <c r="W142" s="3" t="s">
        <v>180</v>
      </c>
      <c r="X142" s="3" t="s">
        <v>180</v>
      </c>
      <c r="Y142" s="3" t="s">
        <v>180</v>
      </c>
      <c r="Z142" s="3" t="s">
        <v>180</v>
      </c>
      <c r="AA142" s="3" t="s">
        <v>180</v>
      </c>
      <c r="AB142" s="3" t="s">
        <v>180</v>
      </c>
      <c r="AC142" s="3" t="s">
        <v>180</v>
      </c>
      <c r="AD142" s="3" t="s">
        <v>180</v>
      </c>
    </row>
    <row r="143" spans="1:30" x14ac:dyDescent="0.4">
      <c r="A143" s="3">
        <f t="shared" si="4"/>
        <v>138</v>
      </c>
      <c r="B143" s="3">
        <f t="shared" si="5"/>
        <v>0</v>
      </c>
      <c r="C143" s="3" t="s">
        <v>3021</v>
      </c>
      <c r="D143" s="3" t="s">
        <v>331</v>
      </c>
      <c r="E143" s="3" t="s">
        <v>180</v>
      </c>
      <c r="F143" s="3" t="s">
        <v>179</v>
      </c>
      <c r="G143" s="3" t="s">
        <v>187</v>
      </c>
      <c r="H143" s="40">
        <v>36494</v>
      </c>
      <c r="I143" s="3">
        <v>267011</v>
      </c>
      <c r="J143" s="3" t="s">
        <v>194</v>
      </c>
      <c r="K143" s="3" t="s">
        <v>332</v>
      </c>
      <c r="L143" s="3" t="s">
        <v>180</v>
      </c>
      <c r="M143" s="3" t="s">
        <v>2683</v>
      </c>
      <c r="N143" s="3" t="s">
        <v>181</v>
      </c>
      <c r="O143" s="3" t="s">
        <v>182</v>
      </c>
      <c r="P143" s="3"/>
      <c r="Q143" s="3" t="s">
        <v>86</v>
      </c>
      <c r="R143" s="3" t="s">
        <v>182</v>
      </c>
      <c r="S143" s="41">
        <v>3</v>
      </c>
      <c r="T143" s="3" t="s">
        <v>2561</v>
      </c>
      <c r="U143" s="3" t="s">
        <v>188</v>
      </c>
      <c r="V143" s="3" t="s">
        <v>180</v>
      </c>
      <c r="W143" s="3" t="s">
        <v>180</v>
      </c>
      <c r="X143" s="3" t="s">
        <v>180</v>
      </c>
      <c r="Y143" s="3" t="s">
        <v>180</v>
      </c>
      <c r="Z143" s="3" t="s">
        <v>180</v>
      </c>
      <c r="AA143" s="3" t="s">
        <v>180</v>
      </c>
      <c r="AB143" s="3" t="s">
        <v>180</v>
      </c>
      <c r="AC143" s="3" t="s">
        <v>180</v>
      </c>
      <c r="AD143" s="3" t="s">
        <v>180</v>
      </c>
    </row>
    <row r="144" spans="1:30" x14ac:dyDescent="0.4">
      <c r="A144" s="3">
        <f t="shared" si="4"/>
        <v>139</v>
      </c>
      <c r="B144" s="3">
        <f t="shared" si="5"/>
        <v>0</v>
      </c>
      <c r="C144" s="3" t="s">
        <v>3021</v>
      </c>
      <c r="D144" s="3" t="s">
        <v>333</v>
      </c>
      <c r="E144" s="3" t="s">
        <v>180</v>
      </c>
      <c r="F144" s="3" t="s">
        <v>179</v>
      </c>
      <c r="G144" s="3" t="s">
        <v>187</v>
      </c>
      <c r="H144" s="40">
        <v>44728.693240740744</v>
      </c>
      <c r="I144" s="3">
        <v>0</v>
      </c>
      <c r="J144" s="3" t="s">
        <v>194</v>
      </c>
      <c r="K144" s="3" t="s">
        <v>2568</v>
      </c>
      <c r="L144" s="3" t="s">
        <v>180</v>
      </c>
      <c r="M144" s="3" t="s">
        <v>2684</v>
      </c>
      <c r="N144" s="3" t="s">
        <v>181</v>
      </c>
      <c r="O144" s="3" t="s">
        <v>182</v>
      </c>
      <c r="P144" s="3"/>
      <c r="Q144" s="3" t="s">
        <v>86</v>
      </c>
      <c r="R144" s="3" t="s">
        <v>182</v>
      </c>
      <c r="S144" s="42">
        <v>3.472222222222222E-3</v>
      </c>
      <c r="T144" s="3" t="s">
        <v>2561</v>
      </c>
      <c r="U144" s="3" t="s">
        <v>188</v>
      </c>
      <c r="V144" s="3" t="s">
        <v>180</v>
      </c>
      <c r="W144" s="3" t="s">
        <v>180</v>
      </c>
      <c r="X144" s="3" t="s">
        <v>180</v>
      </c>
      <c r="Y144" s="3" t="s">
        <v>180</v>
      </c>
      <c r="Z144" s="3" t="s">
        <v>180</v>
      </c>
      <c r="AA144" s="3" t="s">
        <v>180</v>
      </c>
      <c r="AB144" s="3" t="s">
        <v>180</v>
      </c>
      <c r="AC144" s="3" t="s">
        <v>180</v>
      </c>
      <c r="AD144" s="3" t="s">
        <v>180</v>
      </c>
    </row>
    <row r="145" spans="1:30" x14ac:dyDescent="0.4">
      <c r="A145" s="3">
        <f t="shared" si="4"/>
        <v>140</v>
      </c>
      <c r="B145" s="3">
        <f t="shared" si="5"/>
        <v>0</v>
      </c>
      <c r="C145" s="3" t="s">
        <v>3021</v>
      </c>
      <c r="D145" s="3" t="s">
        <v>334</v>
      </c>
      <c r="E145" s="3" t="s">
        <v>180</v>
      </c>
      <c r="F145" s="3" t="s">
        <v>182</v>
      </c>
      <c r="G145" s="3" t="s">
        <v>187</v>
      </c>
      <c r="H145" s="40">
        <v>36494</v>
      </c>
      <c r="I145" s="3">
        <v>267011</v>
      </c>
      <c r="J145" s="3" t="s">
        <v>180</v>
      </c>
      <c r="K145" s="3" t="s">
        <v>335</v>
      </c>
      <c r="L145" s="3" t="s">
        <v>180</v>
      </c>
      <c r="M145" s="3" t="s">
        <v>180</v>
      </c>
      <c r="N145" s="3" t="s">
        <v>182</v>
      </c>
      <c r="O145" s="3" t="s">
        <v>267</v>
      </c>
      <c r="P145" s="3"/>
      <c r="Q145" s="3" t="s">
        <v>86</v>
      </c>
      <c r="R145" s="3" t="s">
        <v>182</v>
      </c>
      <c r="S145" s="42">
        <v>4.1666666666666664E-2</v>
      </c>
      <c r="T145" s="3" t="s">
        <v>2561</v>
      </c>
      <c r="U145" s="3" t="s">
        <v>196</v>
      </c>
      <c r="V145" s="3" t="s">
        <v>180</v>
      </c>
      <c r="W145" s="3" t="s">
        <v>180</v>
      </c>
      <c r="X145" s="3" t="s">
        <v>180</v>
      </c>
      <c r="Y145" s="3" t="s">
        <v>180</v>
      </c>
      <c r="Z145" s="3" t="s">
        <v>180</v>
      </c>
      <c r="AA145" s="3" t="s">
        <v>180</v>
      </c>
      <c r="AB145" s="3" t="s">
        <v>180</v>
      </c>
      <c r="AC145" s="3" t="s">
        <v>180</v>
      </c>
      <c r="AD145" s="3" t="s">
        <v>180</v>
      </c>
    </row>
    <row r="146" spans="1:30" x14ac:dyDescent="0.4">
      <c r="A146" s="3">
        <f t="shared" si="4"/>
        <v>141</v>
      </c>
      <c r="B146" s="3">
        <f t="shared" si="5"/>
        <v>0</v>
      </c>
      <c r="C146" s="3" t="s">
        <v>3021</v>
      </c>
      <c r="D146" s="3" t="s">
        <v>336</v>
      </c>
      <c r="E146" s="3" t="s">
        <v>180</v>
      </c>
      <c r="F146" s="3" t="s">
        <v>182</v>
      </c>
      <c r="G146" s="3" t="s">
        <v>187</v>
      </c>
      <c r="H146" s="40">
        <v>36494</v>
      </c>
      <c r="I146" s="3">
        <v>267011</v>
      </c>
      <c r="J146" s="3" t="s">
        <v>180</v>
      </c>
      <c r="K146" s="3" t="s">
        <v>337</v>
      </c>
      <c r="L146" s="3" t="s">
        <v>180</v>
      </c>
      <c r="M146" s="3" t="s">
        <v>180</v>
      </c>
      <c r="N146" s="3" t="s">
        <v>182</v>
      </c>
      <c r="O146" s="3" t="s">
        <v>182</v>
      </c>
      <c r="P146" s="3"/>
      <c r="Q146" s="3" t="s">
        <v>86</v>
      </c>
      <c r="R146" s="3" t="s">
        <v>182</v>
      </c>
      <c r="S146" s="42">
        <v>4.1666666666666664E-2</v>
      </c>
      <c r="T146" s="3" t="s">
        <v>2561</v>
      </c>
      <c r="U146" s="3" t="s">
        <v>209</v>
      </c>
      <c r="V146" s="42">
        <v>0.375</v>
      </c>
      <c r="W146" s="43">
        <v>42736</v>
      </c>
      <c r="X146" s="3" t="s">
        <v>180</v>
      </c>
      <c r="Y146" s="3" t="s">
        <v>180</v>
      </c>
      <c r="Z146" s="3" t="s">
        <v>180</v>
      </c>
      <c r="AA146" s="3" t="s">
        <v>338</v>
      </c>
      <c r="AB146" s="3" t="s">
        <v>211</v>
      </c>
      <c r="AC146" s="3" t="s">
        <v>182</v>
      </c>
      <c r="AD146" s="3" t="s">
        <v>182</v>
      </c>
    </row>
    <row r="147" spans="1:30" x14ac:dyDescent="0.4">
      <c r="A147" s="3">
        <f t="shared" si="4"/>
        <v>142</v>
      </c>
      <c r="B147" s="3">
        <f t="shared" si="5"/>
        <v>0</v>
      </c>
      <c r="C147" s="3" t="s">
        <v>3021</v>
      </c>
      <c r="D147" s="3" t="s">
        <v>336</v>
      </c>
      <c r="E147" s="3" t="s">
        <v>180</v>
      </c>
      <c r="F147" s="3" t="s">
        <v>182</v>
      </c>
      <c r="G147" s="3" t="s">
        <v>187</v>
      </c>
      <c r="H147" s="40">
        <v>36494</v>
      </c>
      <c r="I147" s="3">
        <v>267011</v>
      </c>
      <c r="J147" s="3" t="s">
        <v>180</v>
      </c>
      <c r="K147" s="3" t="s">
        <v>337</v>
      </c>
      <c r="L147" s="3" t="s">
        <v>180</v>
      </c>
      <c r="M147" s="3" t="s">
        <v>180</v>
      </c>
      <c r="N147" s="3" t="s">
        <v>182</v>
      </c>
      <c r="O147" s="3" t="s">
        <v>182</v>
      </c>
      <c r="P147" s="3"/>
      <c r="Q147" s="3" t="s">
        <v>86</v>
      </c>
      <c r="R147" s="3" t="s">
        <v>182</v>
      </c>
      <c r="S147" s="42">
        <v>4.1666666666666664E-2</v>
      </c>
      <c r="T147" s="3" t="s">
        <v>2561</v>
      </c>
      <c r="U147" s="3" t="s">
        <v>201</v>
      </c>
      <c r="V147" s="3" t="s">
        <v>180</v>
      </c>
      <c r="W147" s="3" t="s">
        <v>180</v>
      </c>
      <c r="X147" s="3" t="s">
        <v>180</v>
      </c>
      <c r="Y147" s="3" t="s">
        <v>180</v>
      </c>
      <c r="Z147" s="3" t="s">
        <v>180</v>
      </c>
      <c r="AA147" s="3" t="s">
        <v>180</v>
      </c>
      <c r="AB147" s="3" t="s">
        <v>180</v>
      </c>
      <c r="AC147" s="3" t="s">
        <v>180</v>
      </c>
      <c r="AD147" s="3" t="s">
        <v>180</v>
      </c>
    </row>
    <row r="148" spans="1:30" x14ac:dyDescent="0.4">
      <c r="A148" s="3">
        <f t="shared" si="4"/>
        <v>143</v>
      </c>
      <c r="B148" s="3">
        <f t="shared" si="5"/>
        <v>0</v>
      </c>
      <c r="C148" s="3" t="s">
        <v>3021</v>
      </c>
      <c r="D148" s="3" t="s">
        <v>339</v>
      </c>
      <c r="E148" s="3" t="s">
        <v>180</v>
      </c>
      <c r="F148" s="3" t="s">
        <v>179</v>
      </c>
      <c r="G148" s="3" t="s">
        <v>187</v>
      </c>
      <c r="H148" s="40">
        <v>36494</v>
      </c>
      <c r="I148" s="3">
        <v>267011</v>
      </c>
      <c r="J148" s="3" t="s">
        <v>194</v>
      </c>
      <c r="K148" s="3" t="s">
        <v>2568</v>
      </c>
      <c r="L148" s="3" t="s">
        <v>180</v>
      </c>
      <c r="M148" s="3" t="s">
        <v>2685</v>
      </c>
      <c r="N148" s="3" t="s">
        <v>181</v>
      </c>
      <c r="O148" s="3" t="s">
        <v>182</v>
      </c>
      <c r="P148" s="3"/>
      <c r="Q148" s="3" t="s">
        <v>200</v>
      </c>
      <c r="R148" s="3" t="s">
        <v>182</v>
      </c>
      <c r="S148" s="41">
        <v>3</v>
      </c>
      <c r="T148" s="3" t="s">
        <v>2561</v>
      </c>
      <c r="U148" s="3" t="s">
        <v>242</v>
      </c>
      <c r="V148" s="3" t="s">
        <v>180</v>
      </c>
      <c r="W148" s="3" t="s">
        <v>180</v>
      </c>
      <c r="X148" s="3" t="s">
        <v>180</v>
      </c>
      <c r="Y148" s="3" t="s">
        <v>180</v>
      </c>
      <c r="Z148" s="3" t="s">
        <v>180</v>
      </c>
      <c r="AA148" s="3" t="s">
        <v>180</v>
      </c>
      <c r="AB148" s="3" t="s">
        <v>180</v>
      </c>
      <c r="AC148" s="3" t="s">
        <v>180</v>
      </c>
      <c r="AD148" s="3" t="s">
        <v>180</v>
      </c>
    </row>
    <row r="149" spans="1:30" x14ac:dyDescent="0.4">
      <c r="A149" s="3">
        <f t="shared" si="4"/>
        <v>144</v>
      </c>
      <c r="B149" s="3">
        <f t="shared" si="5"/>
        <v>0</v>
      </c>
      <c r="C149" s="3" t="s">
        <v>3021</v>
      </c>
      <c r="D149" s="3" t="s">
        <v>340</v>
      </c>
      <c r="E149" s="3" t="s">
        <v>180</v>
      </c>
      <c r="F149" s="3" t="s">
        <v>182</v>
      </c>
      <c r="G149" s="3" t="s">
        <v>187</v>
      </c>
      <c r="H149" s="40">
        <v>44710.624131944445</v>
      </c>
      <c r="I149" s="3">
        <v>0</v>
      </c>
      <c r="J149" s="3" t="s">
        <v>194</v>
      </c>
      <c r="K149" s="3" t="s">
        <v>2568</v>
      </c>
      <c r="L149" s="3" t="s">
        <v>180</v>
      </c>
      <c r="M149" s="3" t="s">
        <v>341</v>
      </c>
      <c r="N149" s="3" t="s">
        <v>182</v>
      </c>
      <c r="O149" s="3" t="s">
        <v>342</v>
      </c>
      <c r="P149" s="3" t="s">
        <v>271</v>
      </c>
      <c r="Q149" s="3" t="s">
        <v>304</v>
      </c>
      <c r="R149" s="3" t="s">
        <v>182</v>
      </c>
      <c r="S149" s="42">
        <v>4.1666666666666664E-2</v>
      </c>
      <c r="T149" s="3" t="s">
        <v>2657</v>
      </c>
      <c r="U149" s="3" t="s">
        <v>188</v>
      </c>
      <c r="V149" s="3" t="s">
        <v>180</v>
      </c>
      <c r="W149" s="3" t="s">
        <v>180</v>
      </c>
      <c r="X149" s="3" t="s">
        <v>180</v>
      </c>
      <c r="Y149" s="3" t="s">
        <v>180</v>
      </c>
      <c r="Z149" s="3" t="s">
        <v>180</v>
      </c>
      <c r="AA149" s="3" t="s">
        <v>180</v>
      </c>
      <c r="AB149" s="3" t="s">
        <v>180</v>
      </c>
      <c r="AC149" s="3" t="s">
        <v>180</v>
      </c>
      <c r="AD149" s="3" t="s">
        <v>180</v>
      </c>
    </row>
    <row r="150" spans="1:30" x14ac:dyDescent="0.4">
      <c r="A150" s="3">
        <f t="shared" si="4"/>
        <v>145</v>
      </c>
      <c r="B150" s="3">
        <f t="shared" si="5"/>
        <v>0</v>
      </c>
      <c r="C150" s="3" t="s">
        <v>3021</v>
      </c>
      <c r="D150" s="3" t="s">
        <v>343</v>
      </c>
      <c r="E150" s="3" t="s">
        <v>180</v>
      </c>
      <c r="F150" s="3" t="s">
        <v>179</v>
      </c>
      <c r="G150" s="3" t="s">
        <v>187</v>
      </c>
      <c r="H150" s="40">
        <v>44720.571759259263</v>
      </c>
      <c r="I150" s="3">
        <v>0</v>
      </c>
      <c r="J150" s="3" t="s">
        <v>194</v>
      </c>
      <c r="K150" s="3" t="s">
        <v>2568</v>
      </c>
      <c r="L150" s="3" t="s">
        <v>180</v>
      </c>
      <c r="M150" s="3" t="s">
        <v>344</v>
      </c>
      <c r="N150" s="3" t="s">
        <v>181</v>
      </c>
      <c r="O150" s="3" t="s">
        <v>182</v>
      </c>
      <c r="P150" s="3" t="s">
        <v>271</v>
      </c>
      <c r="Q150" s="3" t="s">
        <v>86</v>
      </c>
      <c r="R150" s="3" t="s">
        <v>182</v>
      </c>
      <c r="S150" s="3" t="s">
        <v>182</v>
      </c>
      <c r="T150" s="3" t="s">
        <v>2561</v>
      </c>
      <c r="U150" s="3" t="s">
        <v>188</v>
      </c>
      <c r="V150" s="3" t="s">
        <v>180</v>
      </c>
      <c r="W150" s="3" t="s">
        <v>180</v>
      </c>
      <c r="X150" s="3" t="s">
        <v>180</v>
      </c>
      <c r="Y150" s="3" t="s">
        <v>180</v>
      </c>
      <c r="Z150" s="3" t="s">
        <v>180</v>
      </c>
      <c r="AA150" s="3" t="s">
        <v>180</v>
      </c>
      <c r="AB150" s="3" t="s">
        <v>180</v>
      </c>
      <c r="AC150" s="3" t="s">
        <v>180</v>
      </c>
      <c r="AD150" s="3" t="s">
        <v>180</v>
      </c>
    </row>
    <row r="151" spans="1:30" x14ac:dyDescent="0.4">
      <c r="A151" s="3">
        <f t="shared" si="4"/>
        <v>146</v>
      </c>
      <c r="B151" s="3">
        <f t="shared" si="5"/>
        <v>0</v>
      </c>
      <c r="C151" s="3" t="s">
        <v>3021</v>
      </c>
      <c r="D151" s="3" t="s">
        <v>345</v>
      </c>
      <c r="E151" s="3" t="s">
        <v>180</v>
      </c>
      <c r="F151" s="3" t="s">
        <v>179</v>
      </c>
      <c r="G151" s="3" t="s">
        <v>187</v>
      </c>
      <c r="H151" s="40">
        <v>36494</v>
      </c>
      <c r="I151" s="3">
        <v>267011</v>
      </c>
      <c r="J151" s="3" t="s">
        <v>194</v>
      </c>
      <c r="K151" s="3" t="s">
        <v>346</v>
      </c>
      <c r="L151" s="3" t="s">
        <v>180</v>
      </c>
      <c r="M151" s="3" t="s">
        <v>180</v>
      </c>
      <c r="N151" s="3" t="s">
        <v>181</v>
      </c>
      <c r="O151" s="3" t="s">
        <v>182</v>
      </c>
      <c r="P151" s="3" t="s">
        <v>2566</v>
      </c>
      <c r="Q151" s="3" t="s">
        <v>86</v>
      </c>
      <c r="R151" s="3" t="s">
        <v>182</v>
      </c>
      <c r="S151" s="42">
        <v>1.3888888888888889E-3</v>
      </c>
      <c r="T151" s="3" t="s">
        <v>2561</v>
      </c>
      <c r="U151" s="3" t="s">
        <v>188</v>
      </c>
      <c r="V151" s="3" t="s">
        <v>180</v>
      </c>
      <c r="W151" s="3" t="s">
        <v>180</v>
      </c>
      <c r="X151" s="3" t="s">
        <v>180</v>
      </c>
      <c r="Y151" s="3" t="s">
        <v>180</v>
      </c>
      <c r="Z151" s="3" t="s">
        <v>180</v>
      </c>
      <c r="AA151" s="3" t="s">
        <v>180</v>
      </c>
      <c r="AB151" s="3" t="s">
        <v>180</v>
      </c>
      <c r="AC151" s="3" t="s">
        <v>180</v>
      </c>
      <c r="AD151" s="3" t="s">
        <v>180</v>
      </c>
    </row>
    <row r="152" spans="1:30" x14ac:dyDescent="0.4">
      <c r="A152" s="3">
        <f t="shared" si="4"/>
        <v>147</v>
      </c>
      <c r="B152" s="3">
        <f t="shared" si="5"/>
        <v>0</v>
      </c>
      <c r="C152" s="3" t="s">
        <v>3021</v>
      </c>
      <c r="D152" s="3" t="s">
        <v>347</v>
      </c>
      <c r="E152" s="3" t="s">
        <v>180</v>
      </c>
      <c r="F152" s="3" t="s">
        <v>179</v>
      </c>
      <c r="G152" s="3" t="s">
        <v>187</v>
      </c>
      <c r="H152" s="40">
        <v>44710.611041666663</v>
      </c>
      <c r="I152" s="3">
        <v>0</v>
      </c>
      <c r="J152" s="3" t="s">
        <v>194</v>
      </c>
      <c r="K152" s="3" t="s">
        <v>348</v>
      </c>
      <c r="L152" s="3" t="s">
        <v>180</v>
      </c>
      <c r="M152" s="3" t="s">
        <v>2686</v>
      </c>
      <c r="N152" s="3" t="s">
        <v>181</v>
      </c>
      <c r="O152" s="3" t="s">
        <v>182</v>
      </c>
      <c r="P152" s="3" t="s">
        <v>2556</v>
      </c>
      <c r="Q152" s="3" t="s">
        <v>304</v>
      </c>
      <c r="R152" s="3" t="s">
        <v>182</v>
      </c>
      <c r="S152" s="3" t="s">
        <v>182</v>
      </c>
      <c r="T152" s="3" t="s">
        <v>2561</v>
      </c>
      <c r="U152" s="3" t="s">
        <v>196</v>
      </c>
      <c r="V152" s="3" t="s">
        <v>180</v>
      </c>
      <c r="W152" s="3" t="s">
        <v>180</v>
      </c>
      <c r="X152" s="3" t="s">
        <v>180</v>
      </c>
      <c r="Y152" s="3" t="s">
        <v>180</v>
      </c>
      <c r="Z152" s="3" t="s">
        <v>180</v>
      </c>
      <c r="AA152" s="3" t="s">
        <v>180</v>
      </c>
      <c r="AB152" s="3" t="s">
        <v>180</v>
      </c>
      <c r="AC152" s="3" t="s">
        <v>180</v>
      </c>
      <c r="AD152" s="3" t="s">
        <v>180</v>
      </c>
    </row>
    <row r="153" spans="1:30" x14ac:dyDescent="0.4">
      <c r="A153" s="3">
        <f t="shared" si="4"/>
        <v>148</v>
      </c>
      <c r="B153" s="3">
        <f t="shared" si="5"/>
        <v>0</v>
      </c>
      <c r="C153" s="3" t="s">
        <v>3021</v>
      </c>
      <c r="D153" s="3" t="s">
        <v>349</v>
      </c>
      <c r="E153" s="3" t="s">
        <v>180</v>
      </c>
      <c r="F153" s="3" t="s">
        <v>179</v>
      </c>
      <c r="G153" s="3" t="s">
        <v>187</v>
      </c>
      <c r="H153" s="40">
        <v>44728.690995370373</v>
      </c>
      <c r="I153" s="3">
        <v>0</v>
      </c>
      <c r="J153" s="3" t="s">
        <v>180</v>
      </c>
      <c r="K153" s="3" t="s">
        <v>2568</v>
      </c>
      <c r="L153" s="3" t="s">
        <v>180</v>
      </c>
      <c r="M153" s="3" t="s">
        <v>180</v>
      </c>
      <c r="N153" s="3" t="s">
        <v>181</v>
      </c>
      <c r="O153" s="3" t="s">
        <v>182</v>
      </c>
      <c r="P153" s="3" t="s">
        <v>2566</v>
      </c>
      <c r="Q153" s="3" t="s">
        <v>86</v>
      </c>
      <c r="R153" s="3" t="s">
        <v>182</v>
      </c>
      <c r="S153" s="42">
        <v>4.1666666666666664E-2</v>
      </c>
      <c r="T153" s="3" t="s">
        <v>2561</v>
      </c>
      <c r="U153" s="3" t="s">
        <v>188</v>
      </c>
      <c r="V153" s="3" t="s">
        <v>180</v>
      </c>
      <c r="W153" s="3" t="s">
        <v>180</v>
      </c>
      <c r="X153" s="3" t="s">
        <v>180</v>
      </c>
      <c r="Y153" s="3" t="s">
        <v>180</v>
      </c>
      <c r="Z153" s="3" t="s">
        <v>180</v>
      </c>
      <c r="AA153" s="3" t="s">
        <v>180</v>
      </c>
      <c r="AB153" s="3" t="s">
        <v>180</v>
      </c>
      <c r="AC153" s="3" t="s">
        <v>180</v>
      </c>
      <c r="AD153" s="3" t="s">
        <v>180</v>
      </c>
    </row>
    <row r="154" spans="1:30" x14ac:dyDescent="0.4">
      <c r="A154" s="3">
        <f t="shared" si="4"/>
        <v>149</v>
      </c>
      <c r="B154" s="3">
        <f t="shared" si="5"/>
        <v>0</v>
      </c>
      <c r="C154" s="3" t="s">
        <v>3021</v>
      </c>
      <c r="D154" s="3" t="s">
        <v>350</v>
      </c>
      <c r="E154" s="3" t="s">
        <v>180</v>
      </c>
      <c r="F154" s="3" t="s">
        <v>182</v>
      </c>
      <c r="G154" s="3" t="s">
        <v>187</v>
      </c>
      <c r="H154" s="40">
        <v>36494</v>
      </c>
      <c r="I154" s="3">
        <v>267011</v>
      </c>
      <c r="J154" s="3" t="s">
        <v>180</v>
      </c>
      <c r="K154" s="3" t="s">
        <v>351</v>
      </c>
      <c r="L154" s="3" t="s">
        <v>180</v>
      </c>
      <c r="M154" s="3" t="s">
        <v>180</v>
      </c>
      <c r="N154" s="3" t="s">
        <v>182</v>
      </c>
      <c r="O154" s="3" t="s">
        <v>267</v>
      </c>
      <c r="P154" s="3" t="s">
        <v>2566</v>
      </c>
      <c r="Q154" s="3" t="s">
        <v>86</v>
      </c>
      <c r="R154" s="3" t="s">
        <v>182</v>
      </c>
      <c r="S154" s="42">
        <v>2.0833333333333332E-2</v>
      </c>
      <c r="T154" s="3" t="s">
        <v>2561</v>
      </c>
      <c r="U154" s="3" t="s">
        <v>188</v>
      </c>
      <c r="V154" s="3" t="s">
        <v>180</v>
      </c>
      <c r="W154" s="3" t="s">
        <v>180</v>
      </c>
      <c r="X154" s="3" t="s">
        <v>180</v>
      </c>
      <c r="Y154" s="3" t="s">
        <v>180</v>
      </c>
      <c r="Z154" s="3" t="s">
        <v>180</v>
      </c>
      <c r="AA154" s="3" t="s">
        <v>180</v>
      </c>
      <c r="AB154" s="3" t="s">
        <v>180</v>
      </c>
      <c r="AC154" s="3" t="s">
        <v>180</v>
      </c>
      <c r="AD154" s="3" t="s">
        <v>180</v>
      </c>
    </row>
    <row r="155" spans="1:30" x14ac:dyDescent="0.4">
      <c r="A155" s="3">
        <f t="shared" si="4"/>
        <v>150</v>
      </c>
      <c r="B155" s="3">
        <f t="shared" si="5"/>
        <v>0</v>
      </c>
      <c r="C155" s="3" t="s">
        <v>3021</v>
      </c>
      <c r="D155" s="3" t="s">
        <v>352</v>
      </c>
      <c r="E155" s="3" t="s">
        <v>180</v>
      </c>
      <c r="F155" s="3" t="s">
        <v>179</v>
      </c>
      <c r="G155" s="3" t="s">
        <v>187</v>
      </c>
      <c r="H155" s="40">
        <v>44693.420717592591</v>
      </c>
      <c r="I155" s="3">
        <v>0</v>
      </c>
      <c r="J155" s="3" t="s">
        <v>194</v>
      </c>
      <c r="K155" s="3" t="s">
        <v>2568</v>
      </c>
      <c r="L155" s="3" t="s">
        <v>180</v>
      </c>
      <c r="M155" s="3" t="s">
        <v>2687</v>
      </c>
      <c r="N155" s="3" t="s">
        <v>181</v>
      </c>
      <c r="O155" s="3" t="s">
        <v>182</v>
      </c>
      <c r="P155" s="3"/>
      <c r="Q155" s="3" t="s">
        <v>86</v>
      </c>
      <c r="R155" s="3" t="s">
        <v>182</v>
      </c>
      <c r="S155" s="42">
        <v>3.4722222222222224E-4</v>
      </c>
      <c r="T155" s="3" t="s">
        <v>2561</v>
      </c>
      <c r="U155" s="3" t="s">
        <v>188</v>
      </c>
      <c r="V155" s="3" t="s">
        <v>180</v>
      </c>
      <c r="W155" s="3" t="s">
        <v>180</v>
      </c>
      <c r="X155" s="3" t="s">
        <v>180</v>
      </c>
      <c r="Y155" s="3" t="s">
        <v>180</v>
      </c>
      <c r="Z155" s="3" t="s">
        <v>180</v>
      </c>
      <c r="AA155" s="3" t="s">
        <v>180</v>
      </c>
      <c r="AB155" s="3" t="s">
        <v>180</v>
      </c>
      <c r="AC155" s="3" t="s">
        <v>180</v>
      </c>
      <c r="AD155" s="3" t="s">
        <v>180</v>
      </c>
    </row>
    <row r="156" spans="1:30" x14ac:dyDescent="0.4">
      <c r="A156" s="3">
        <f t="shared" si="4"/>
        <v>151</v>
      </c>
      <c r="B156" s="3">
        <f t="shared" si="5"/>
        <v>0</v>
      </c>
      <c r="C156" s="3" t="s">
        <v>3021</v>
      </c>
      <c r="D156" s="3" t="s">
        <v>353</v>
      </c>
      <c r="E156" s="3" t="s">
        <v>180</v>
      </c>
      <c r="F156" s="3" t="s">
        <v>179</v>
      </c>
      <c r="G156" s="3" t="s">
        <v>187</v>
      </c>
      <c r="H156" s="40">
        <v>44728.690995370373</v>
      </c>
      <c r="I156" s="3">
        <v>1</v>
      </c>
      <c r="J156" s="3" t="s">
        <v>194</v>
      </c>
      <c r="K156" s="3" t="s">
        <v>2568</v>
      </c>
      <c r="L156" s="3" t="s">
        <v>180</v>
      </c>
      <c r="M156" s="3" t="s">
        <v>354</v>
      </c>
      <c r="N156" s="3" t="s">
        <v>181</v>
      </c>
      <c r="O156" s="3" t="s">
        <v>182</v>
      </c>
      <c r="P156" s="3" t="s">
        <v>2566</v>
      </c>
      <c r="Q156" s="3" t="s">
        <v>200</v>
      </c>
      <c r="R156" s="3" t="s">
        <v>182</v>
      </c>
      <c r="S156" s="41">
        <v>3</v>
      </c>
      <c r="T156" s="3" t="s">
        <v>2688</v>
      </c>
      <c r="U156" s="3" t="s">
        <v>188</v>
      </c>
      <c r="V156" s="3" t="s">
        <v>180</v>
      </c>
      <c r="W156" s="3" t="s">
        <v>180</v>
      </c>
      <c r="X156" s="3" t="s">
        <v>180</v>
      </c>
      <c r="Y156" s="3" t="s">
        <v>180</v>
      </c>
      <c r="Z156" s="3" t="s">
        <v>180</v>
      </c>
      <c r="AA156" s="3" t="s">
        <v>180</v>
      </c>
      <c r="AB156" s="3" t="s">
        <v>180</v>
      </c>
      <c r="AC156" s="3" t="s">
        <v>180</v>
      </c>
      <c r="AD156" s="3" t="s">
        <v>180</v>
      </c>
    </row>
    <row r="157" spans="1:30" x14ac:dyDescent="0.4">
      <c r="A157" s="3">
        <f t="shared" si="4"/>
        <v>152</v>
      </c>
      <c r="B157" s="3">
        <f t="shared" si="5"/>
        <v>0</v>
      </c>
      <c r="C157" s="3" t="s">
        <v>3021</v>
      </c>
      <c r="D157" s="3" t="s">
        <v>2689</v>
      </c>
      <c r="E157" s="3" t="s">
        <v>180</v>
      </c>
      <c r="F157" s="3" t="s">
        <v>179</v>
      </c>
      <c r="G157" s="3" t="s">
        <v>187</v>
      </c>
      <c r="H157" s="40">
        <v>36494</v>
      </c>
      <c r="I157" s="3">
        <v>267011</v>
      </c>
      <c r="J157" s="3" t="s">
        <v>180</v>
      </c>
      <c r="K157" s="3" t="s">
        <v>2568</v>
      </c>
      <c r="L157" s="3" t="s">
        <v>180</v>
      </c>
      <c r="M157" s="3" t="s">
        <v>180</v>
      </c>
      <c r="N157" s="3" t="s">
        <v>181</v>
      </c>
      <c r="O157" s="3" t="s">
        <v>182</v>
      </c>
      <c r="P157" s="3"/>
      <c r="Q157" s="3" t="s">
        <v>216</v>
      </c>
      <c r="R157" s="3" t="s">
        <v>182</v>
      </c>
      <c r="S157" s="41">
        <v>3</v>
      </c>
      <c r="T157" s="3" t="s">
        <v>2657</v>
      </c>
      <c r="U157" s="3" t="s">
        <v>201</v>
      </c>
      <c r="V157" s="3" t="s">
        <v>180</v>
      </c>
      <c r="W157" s="3" t="s">
        <v>180</v>
      </c>
      <c r="X157" s="3" t="s">
        <v>180</v>
      </c>
      <c r="Y157" s="3" t="s">
        <v>180</v>
      </c>
      <c r="Z157" s="3" t="s">
        <v>180</v>
      </c>
      <c r="AA157" s="3" t="s">
        <v>180</v>
      </c>
      <c r="AB157" s="3" t="s">
        <v>180</v>
      </c>
      <c r="AC157" s="3" t="s">
        <v>180</v>
      </c>
      <c r="AD157" s="3" t="s">
        <v>180</v>
      </c>
    </row>
    <row r="158" spans="1:30" x14ac:dyDescent="0.4">
      <c r="A158" s="3">
        <f t="shared" si="4"/>
        <v>153</v>
      </c>
      <c r="B158" s="3">
        <f t="shared" si="5"/>
        <v>0</v>
      </c>
      <c r="C158" s="3" t="s">
        <v>3021</v>
      </c>
      <c r="D158" s="3" t="s">
        <v>355</v>
      </c>
      <c r="E158" s="3" t="s">
        <v>180</v>
      </c>
      <c r="F158" s="3" t="s">
        <v>182</v>
      </c>
      <c r="G158" s="3" t="s">
        <v>187</v>
      </c>
      <c r="H158" s="40">
        <v>36494</v>
      </c>
      <c r="I158" s="3">
        <v>267011</v>
      </c>
      <c r="J158" s="3" t="s">
        <v>180</v>
      </c>
      <c r="K158" s="3" t="s">
        <v>356</v>
      </c>
      <c r="L158" s="3" t="s">
        <v>180</v>
      </c>
      <c r="M158" s="3" t="s">
        <v>180</v>
      </c>
      <c r="N158" s="3" t="s">
        <v>182</v>
      </c>
      <c r="O158" s="3" t="s">
        <v>182</v>
      </c>
      <c r="P158" s="3" t="s">
        <v>2566</v>
      </c>
      <c r="Q158" s="3" t="s">
        <v>86</v>
      </c>
      <c r="R158" s="3" t="s">
        <v>182</v>
      </c>
      <c r="S158" s="42">
        <v>6.9444444444444441E-3</v>
      </c>
      <c r="T158" s="3" t="s">
        <v>2603</v>
      </c>
      <c r="U158" s="3" t="s">
        <v>209</v>
      </c>
      <c r="V158" s="42">
        <v>0.125</v>
      </c>
      <c r="W158" s="43">
        <v>36526</v>
      </c>
      <c r="X158" s="3" t="s">
        <v>180</v>
      </c>
      <c r="Y158" s="3" t="s">
        <v>180</v>
      </c>
      <c r="Z158" s="3" t="s">
        <v>180</v>
      </c>
      <c r="AA158" s="3" t="s">
        <v>357</v>
      </c>
      <c r="AB158" s="3" t="s">
        <v>211</v>
      </c>
      <c r="AC158" s="3" t="s">
        <v>182</v>
      </c>
      <c r="AD158" s="3" t="s">
        <v>182</v>
      </c>
    </row>
    <row r="159" spans="1:30" x14ac:dyDescent="0.4">
      <c r="A159" s="3">
        <f t="shared" si="4"/>
        <v>154</v>
      </c>
      <c r="B159" s="3">
        <f t="shared" si="5"/>
        <v>0</v>
      </c>
      <c r="C159" s="3" t="s">
        <v>3021</v>
      </c>
      <c r="D159" s="3" t="s">
        <v>358</v>
      </c>
      <c r="E159" s="3" t="s">
        <v>180</v>
      </c>
      <c r="F159" s="3" t="s">
        <v>179</v>
      </c>
      <c r="G159" s="3" t="s">
        <v>187</v>
      </c>
      <c r="H159" s="40">
        <v>44710.610925925925</v>
      </c>
      <c r="I159" s="3">
        <v>0</v>
      </c>
      <c r="J159" s="3" t="s">
        <v>180</v>
      </c>
      <c r="K159" s="3" t="s">
        <v>359</v>
      </c>
      <c r="L159" s="3" t="s">
        <v>180</v>
      </c>
      <c r="M159" s="3" t="s">
        <v>180</v>
      </c>
      <c r="N159" s="3" t="s">
        <v>181</v>
      </c>
      <c r="O159" s="3" t="s">
        <v>182</v>
      </c>
      <c r="P159" s="3" t="s">
        <v>2566</v>
      </c>
      <c r="Q159" s="3" t="s">
        <v>86</v>
      </c>
      <c r="R159" s="3" t="s">
        <v>182</v>
      </c>
      <c r="S159" s="42">
        <v>1.3888888888888889E-3</v>
      </c>
      <c r="T159" s="3" t="s">
        <v>2561</v>
      </c>
      <c r="U159" s="3" t="s">
        <v>206</v>
      </c>
      <c r="V159" s="3" t="s">
        <v>180</v>
      </c>
      <c r="W159" s="3" t="s">
        <v>180</v>
      </c>
      <c r="X159" s="3" t="s">
        <v>180</v>
      </c>
      <c r="Y159" s="3" t="s">
        <v>180</v>
      </c>
      <c r="Z159" s="3" t="s">
        <v>180</v>
      </c>
      <c r="AA159" s="3" t="s">
        <v>180</v>
      </c>
      <c r="AB159" s="3" t="s">
        <v>180</v>
      </c>
      <c r="AC159" s="3" t="s">
        <v>180</v>
      </c>
      <c r="AD159" s="3" t="s">
        <v>180</v>
      </c>
    </row>
    <row r="160" spans="1:30" x14ac:dyDescent="0.4">
      <c r="A160" s="3">
        <f t="shared" si="4"/>
        <v>155</v>
      </c>
      <c r="B160" s="3">
        <f t="shared" si="5"/>
        <v>0</v>
      </c>
      <c r="C160" s="3" t="s">
        <v>3021</v>
      </c>
      <c r="D160" s="3" t="s">
        <v>360</v>
      </c>
      <c r="E160" s="40">
        <v>44843.414583333331</v>
      </c>
      <c r="F160" s="3" t="s">
        <v>179</v>
      </c>
      <c r="G160" s="3" t="s">
        <v>187</v>
      </c>
      <c r="H160" s="40">
        <v>36494</v>
      </c>
      <c r="I160" s="3">
        <v>267011</v>
      </c>
      <c r="J160" s="3" t="s">
        <v>194</v>
      </c>
      <c r="K160" s="3" t="s">
        <v>2568</v>
      </c>
      <c r="L160" s="3" t="s">
        <v>180</v>
      </c>
      <c r="M160" s="3" t="s">
        <v>2690</v>
      </c>
      <c r="N160" s="3" t="s">
        <v>181</v>
      </c>
      <c r="O160" s="3" t="s">
        <v>182</v>
      </c>
      <c r="P160" s="3" t="s">
        <v>2566</v>
      </c>
      <c r="Q160" s="3" t="s">
        <v>308</v>
      </c>
      <c r="R160" s="3" t="s">
        <v>182</v>
      </c>
      <c r="S160" s="3" t="s">
        <v>182</v>
      </c>
      <c r="T160" s="3" t="s">
        <v>2561</v>
      </c>
      <c r="U160" s="3" t="s">
        <v>184</v>
      </c>
      <c r="V160" s="42">
        <v>0.4145833333333333</v>
      </c>
      <c r="W160" s="43">
        <v>44843</v>
      </c>
      <c r="X160" s="3" t="s">
        <v>180</v>
      </c>
      <c r="Y160" s="3" t="s">
        <v>185</v>
      </c>
      <c r="Z160" s="3" t="s">
        <v>180</v>
      </c>
      <c r="AA160" s="3" t="s">
        <v>182</v>
      </c>
      <c r="AB160" s="3" t="s">
        <v>182</v>
      </c>
      <c r="AC160" s="3" t="s">
        <v>182</v>
      </c>
      <c r="AD160" s="3" t="s">
        <v>182</v>
      </c>
    </row>
    <row r="161" spans="1:30" x14ac:dyDescent="0.4">
      <c r="A161" s="3">
        <f t="shared" si="4"/>
        <v>156</v>
      </c>
      <c r="B161" s="3">
        <f t="shared" si="5"/>
        <v>0</v>
      </c>
      <c r="C161" s="3" t="s">
        <v>3021</v>
      </c>
      <c r="D161" s="3" t="s">
        <v>361</v>
      </c>
      <c r="E161" s="3" t="s">
        <v>180</v>
      </c>
      <c r="F161" s="3" t="s">
        <v>182</v>
      </c>
      <c r="G161" s="3" t="s">
        <v>187</v>
      </c>
      <c r="H161" s="40">
        <v>36494</v>
      </c>
      <c r="I161" s="3">
        <v>267011</v>
      </c>
      <c r="J161" s="3" t="s">
        <v>194</v>
      </c>
      <c r="K161" s="3" t="s">
        <v>2568</v>
      </c>
      <c r="L161" s="3" t="s">
        <v>180</v>
      </c>
      <c r="M161" s="3" t="s">
        <v>2691</v>
      </c>
      <c r="N161" s="3" t="s">
        <v>182</v>
      </c>
      <c r="O161" s="3" t="s">
        <v>182</v>
      </c>
      <c r="P161" s="3"/>
      <c r="Q161" s="3" t="s">
        <v>216</v>
      </c>
      <c r="R161" s="3" t="s">
        <v>182</v>
      </c>
      <c r="S161" s="3" t="s">
        <v>182</v>
      </c>
      <c r="T161" s="3" t="s">
        <v>2657</v>
      </c>
      <c r="U161" s="3" t="s">
        <v>196</v>
      </c>
      <c r="V161" s="3" t="s">
        <v>180</v>
      </c>
      <c r="W161" s="3" t="s">
        <v>180</v>
      </c>
      <c r="X161" s="3" t="s">
        <v>180</v>
      </c>
      <c r="Y161" s="3" t="s">
        <v>180</v>
      </c>
      <c r="Z161" s="3" t="s">
        <v>180</v>
      </c>
      <c r="AA161" s="3" t="s">
        <v>180</v>
      </c>
      <c r="AB161" s="3" t="s">
        <v>180</v>
      </c>
      <c r="AC161" s="3" t="s">
        <v>180</v>
      </c>
      <c r="AD161" s="3" t="s">
        <v>180</v>
      </c>
    </row>
    <row r="162" spans="1:30" x14ac:dyDescent="0.4">
      <c r="A162" s="3">
        <f t="shared" si="4"/>
        <v>157</v>
      </c>
      <c r="B162" s="3">
        <f t="shared" si="5"/>
        <v>0</v>
      </c>
      <c r="C162" s="3" t="s">
        <v>3021</v>
      </c>
      <c r="D162" s="3" t="s">
        <v>362</v>
      </c>
      <c r="E162" s="3" t="s">
        <v>180</v>
      </c>
      <c r="F162" s="3" t="s">
        <v>182</v>
      </c>
      <c r="G162" s="3" t="s">
        <v>187</v>
      </c>
      <c r="H162" s="40">
        <v>36494</v>
      </c>
      <c r="I162" s="3">
        <v>267011</v>
      </c>
      <c r="J162" s="3" t="s">
        <v>194</v>
      </c>
      <c r="K162" s="3" t="s">
        <v>2568</v>
      </c>
      <c r="L162" s="3" t="s">
        <v>180</v>
      </c>
      <c r="M162" s="3" t="s">
        <v>2692</v>
      </c>
      <c r="N162" s="3" t="s">
        <v>182</v>
      </c>
      <c r="O162" s="3" t="s">
        <v>182</v>
      </c>
      <c r="P162" s="3" t="s">
        <v>2566</v>
      </c>
      <c r="Q162" s="3" t="s">
        <v>308</v>
      </c>
      <c r="R162" s="3" t="s">
        <v>182</v>
      </c>
      <c r="S162" s="3" t="s">
        <v>182</v>
      </c>
      <c r="T162" s="3" t="s">
        <v>2561</v>
      </c>
      <c r="U162" s="3" t="s">
        <v>242</v>
      </c>
      <c r="V162" s="3" t="s">
        <v>180</v>
      </c>
      <c r="W162" s="3" t="s">
        <v>180</v>
      </c>
      <c r="X162" s="3" t="s">
        <v>180</v>
      </c>
      <c r="Y162" s="3" t="s">
        <v>180</v>
      </c>
      <c r="Z162" s="3" t="s">
        <v>180</v>
      </c>
      <c r="AA162" s="3" t="s">
        <v>180</v>
      </c>
      <c r="AB162" s="3" t="s">
        <v>180</v>
      </c>
      <c r="AC162" s="3" t="s">
        <v>180</v>
      </c>
      <c r="AD162" s="3" t="s">
        <v>180</v>
      </c>
    </row>
    <row r="163" spans="1:30" x14ac:dyDescent="0.4">
      <c r="A163" s="3">
        <f t="shared" si="4"/>
        <v>158</v>
      </c>
      <c r="B163" s="3">
        <f t="shared" si="5"/>
        <v>0</v>
      </c>
      <c r="C163" s="3" t="s">
        <v>3021</v>
      </c>
      <c r="D163" s="3" t="s">
        <v>363</v>
      </c>
      <c r="E163" s="3" t="s">
        <v>180</v>
      </c>
      <c r="F163" s="3" t="s">
        <v>179</v>
      </c>
      <c r="G163" s="3" t="s">
        <v>187</v>
      </c>
      <c r="H163" s="40">
        <v>36494</v>
      </c>
      <c r="I163" s="3">
        <v>267011</v>
      </c>
      <c r="J163" s="3" t="s">
        <v>194</v>
      </c>
      <c r="K163" s="3" t="s">
        <v>364</v>
      </c>
      <c r="L163" s="3" t="s">
        <v>180</v>
      </c>
      <c r="M163" s="3" t="s">
        <v>2693</v>
      </c>
      <c r="N163" s="3" t="s">
        <v>181</v>
      </c>
      <c r="O163" s="3" t="s">
        <v>182</v>
      </c>
      <c r="P163" s="3"/>
      <c r="Q163" s="3" t="s">
        <v>86</v>
      </c>
      <c r="R163" s="3" t="s">
        <v>182</v>
      </c>
      <c r="S163" s="42">
        <v>0.25</v>
      </c>
      <c r="T163" s="3" t="s">
        <v>2561</v>
      </c>
      <c r="U163" s="3" t="s">
        <v>206</v>
      </c>
      <c r="V163" s="3" t="s">
        <v>180</v>
      </c>
      <c r="W163" s="3" t="s">
        <v>180</v>
      </c>
      <c r="X163" s="3" t="s">
        <v>180</v>
      </c>
      <c r="Y163" s="3" t="s">
        <v>180</v>
      </c>
      <c r="Z163" s="3" t="s">
        <v>180</v>
      </c>
      <c r="AA163" s="3" t="s">
        <v>180</v>
      </c>
      <c r="AB163" s="3" t="s">
        <v>180</v>
      </c>
      <c r="AC163" s="3" t="s">
        <v>180</v>
      </c>
      <c r="AD163" s="3" t="s">
        <v>180</v>
      </c>
    </row>
    <row r="164" spans="1:30" x14ac:dyDescent="0.4">
      <c r="A164" s="3">
        <f t="shared" si="4"/>
        <v>159</v>
      </c>
      <c r="B164" s="3">
        <f t="shared" si="5"/>
        <v>0</v>
      </c>
      <c r="C164" s="3" t="s">
        <v>3021</v>
      </c>
      <c r="D164" s="3" t="s">
        <v>363</v>
      </c>
      <c r="E164" s="3" t="s">
        <v>180</v>
      </c>
      <c r="F164" s="3" t="s">
        <v>179</v>
      </c>
      <c r="G164" s="3" t="s">
        <v>187</v>
      </c>
      <c r="H164" s="40">
        <v>36494</v>
      </c>
      <c r="I164" s="3">
        <v>267011</v>
      </c>
      <c r="J164" s="3" t="s">
        <v>194</v>
      </c>
      <c r="K164" s="3" t="s">
        <v>364</v>
      </c>
      <c r="L164" s="3" t="s">
        <v>180</v>
      </c>
      <c r="M164" s="3" t="s">
        <v>2693</v>
      </c>
      <c r="N164" s="3" t="s">
        <v>181</v>
      </c>
      <c r="O164" s="3" t="s">
        <v>182</v>
      </c>
      <c r="P164" s="3"/>
      <c r="Q164" s="3" t="s">
        <v>86</v>
      </c>
      <c r="R164" s="3" t="s">
        <v>182</v>
      </c>
      <c r="S164" s="42">
        <v>0.25</v>
      </c>
      <c r="T164" s="3" t="s">
        <v>2561</v>
      </c>
      <c r="U164" s="3" t="s">
        <v>201</v>
      </c>
      <c r="V164" s="3" t="s">
        <v>180</v>
      </c>
      <c r="W164" s="3" t="s">
        <v>180</v>
      </c>
      <c r="X164" s="3" t="s">
        <v>180</v>
      </c>
      <c r="Y164" s="3" t="s">
        <v>180</v>
      </c>
      <c r="Z164" s="3" t="s">
        <v>180</v>
      </c>
      <c r="AA164" s="3" t="s">
        <v>180</v>
      </c>
      <c r="AB164" s="3" t="s">
        <v>180</v>
      </c>
      <c r="AC164" s="3" t="s">
        <v>180</v>
      </c>
      <c r="AD164" s="3" t="s">
        <v>180</v>
      </c>
    </row>
    <row r="165" spans="1:30" x14ac:dyDescent="0.4">
      <c r="A165" s="3">
        <f t="shared" si="4"/>
        <v>160</v>
      </c>
      <c r="B165" s="3">
        <f t="shared" si="5"/>
        <v>0</v>
      </c>
      <c r="C165" s="3" t="s">
        <v>3021</v>
      </c>
      <c r="D165" s="3" t="s">
        <v>365</v>
      </c>
      <c r="E165" s="3" t="s">
        <v>180</v>
      </c>
      <c r="F165" s="3" t="s">
        <v>179</v>
      </c>
      <c r="G165" s="3" t="s">
        <v>187</v>
      </c>
      <c r="H165" s="40">
        <v>36494</v>
      </c>
      <c r="I165" s="3">
        <v>267011</v>
      </c>
      <c r="J165" s="3" t="s">
        <v>366</v>
      </c>
      <c r="K165" s="3" t="s">
        <v>367</v>
      </c>
      <c r="L165" s="3" t="s">
        <v>180</v>
      </c>
      <c r="M165" s="3" t="s">
        <v>368</v>
      </c>
      <c r="N165" s="3" t="s">
        <v>181</v>
      </c>
      <c r="O165" s="3" t="s">
        <v>182</v>
      </c>
      <c r="P165" s="3"/>
      <c r="Q165" s="3" t="s">
        <v>86</v>
      </c>
      <c r="R165" s="3" t="s">
        <v>182</v>
      </c>
      <c r="S165" s="3" t="s">
        <v>182</v>
      </c>
      <c r="T165" s="3" t="s">
        <v>2627</v>
      </c>
      <c r="U165" s="3" t="s">
        <v>206</v>
      </c>
      <c r="V165" s="3" t="s">
        <v>180</v>
      </c>
      <c r="W165" s="3" t="s">
        <v>180</v>
      </c>
      <c r="X165" s="3" t="s">
        <v>180</v>
      </c>
      <c r="Y165" s="3" t="s">
        <v>180</v>
      </c>
      <c r="Z165" s="3" t="s">
        <v>180</v>
      </c>
      <c r="AA165" s="3" t="s">
        <v>180</v>
      </c>
      <c r="AB165" s="3" t="s">
        <v>180</v>
      </c>
      <c r="AC165" s="3" t="s">
        <v>180</v>
      </c>
      <c r="AD165" s="3" t="s">
        <v>180</v>
      </c>
    </row>
    <row r="166" spans="1:30" x14ac:dyDescent="0.4">
      <c r="A166" s="3">
        <f t="shared" si="4"/>
        <v>161</v>
      </c>
      <c r="B166" s="3">
        <f t="shared" si="5"/>
        <v>0</v>
      </c>
      <c r="C166" s="3" t="s">
        <v>3021</v>
      </c>
      <c r="D166" s="3" t="s">
        <v>365</v>
      </c>
      <c r="E166" s="3" t="s">
        <v>180</v>
      </c>
      <c r="F166" s="3" t="s">
        <v>179</v>
      </c>
      <c r="G166" s="3" t="s">
        <v>187</v>
      </c>
      <c r="H166" s="40">
        <v>36494</v>
      </c>
      <c r="I166" s="3">
        <v>267011</v>
      </c>
      <c r="J166" s="3" t="s">
        <v>366</v>
      </c>
      <c r="K166" s="3" t="s">
        <v>367</v>
      </c>
      <c r="L166" s="3" t="s">
        <v>180</v>
      </c>
      <c r="M166" s="3" t="s">
        <v>368</v>
      </c>
      <c r="N166" s="3" t="s">
        <v>181</v>
      </c>
      <c r="O166" s="3" t="s">
        <v>182</v>
      </c>
      <c r="P166" s="3"/>
      <c r="Q166" s="3" t="s">
        <v>86</v>
      </c>
      <c r="R166" s="3" t="s">
        <v>182</v>
      </c>
      <c r="S166" s="3" t="s">
        <v>182</v>
      </c>
      <c r="T166" s="3" t="s">
        <v>2627</v>
      </c>
      <c r="U166" s="3" t="s">
        <v>201</v>
      </c>
      <c r="V166" s="3" t="s">
        <v>180</v>
      </c>
      <c r="W166" s="3" t="s">
        <v>180</v>
      </c>
      <c r="X166" s="3" t="s">
        <v>180</v>
      </c>
      <c r="Y166" s="3" t="s">
        <v>180</v>
      </c>
      <c r="Z166" s="3" t="s">
        <v>180</v>
      </c>
      <c r="AA166" s="3" t="s">
        <v>180</v>
      </c>
      <c r="AB166" s="3" t="s">
        <v>180</v>
      </c>
      <c r="AC166" s="3" t="s">
        <v>180</v>
      </c>
      <c r="AD166" s="3" t="s">
        <v>180</v>
      </c>
    </row>
    <row r="167" spans="1:30" x14ac:dyDescent="0.4">
      <c r="A167" s="3">
        <f t="shared" si="4"/>
        <v>162</v>
      </c>
      <c r="B167" s="3">
        <f t="shared" si="5"/>
        <v>0</v>
      </c>
      <c r="C167" s="3" t="s">
        <v>3021</v>
      </c>
      <c r="D167" s="3" t="s">
        <v>369</v>
      </c>
      <c r="E167" s="40">
        <v>44729.039652777778</v>
      </c>
      <c r="F167" s="3" t="s">
        <v>179</v>
      </c>
      <c r="G167" s="3" t="s">
        <v>2567</v>
      </c>
      <c r="H167" s="40">
        <v>44728.692511574074</v>
      </c>
      <c r="I167" s="3">
        <v>0</v>
      </c>
      <c r="J167" s="3" t="s">
        <v>180</v>
      </c>
      <c r="K167" s="3" t="s">
        <v>370</v>
      </c>
      <c r="L167" s="3" t="s">
        <v>180</v>
      </c>
      <c r="M167" s="3" t="s">
        <v>180</v>
      </c>
      <c r="N167" s="3" t="s">
        <v>181</v>
      </c>
      <c r="O167" s="3" t="s">
        <v>371</v>
      </c>
      <c r="P167" s="3" t="s">
        <v>2566</v>
      </c>
      <c r="Q167" s="3" t="s">
        <v>308</v>
      </c>
      <c r="R167" s="3" t="s">
        <v>182</v>
      </c>
      <c r="S167" s="42">
        <v>6.9444444444444441E-3</v>
      </c>
      <c r="T167" s="3" t="s">
        <v>2561</v>
      </c>
      <c r="U167" s="3" t="s">
        <v>209</v>
      </c>
      <c r="V167" s="42">
        <v>0</v>
      </c>
      <c r="W167" s="43">
        <v>37987</v>
      </c>
      <c r="X167" s="3" t="s">
        <v>180</v>
      </c>
      <c r="Y167" s="3" t="s">
        <v>180</v>
      </c>
      <c r="Z167" s="3" t="s">
        <v>180</v>
      </c>
      <c r="AA167" s="3" t="s">
        <v>210</v>
      </c>
      <c r="AB167" s="3" t="s">
        <v>211</v>
      </c>
      <c r="AC167" s="3" t="s">
        <v>182</v>
      </c>
      <c r="AD167" s="3" t="s">
        <v>182</v>
      </c>
    </row>
    <row r="168" spans="1:30" x14ac:dyDescent="0.4">
      <c r="A168" s="3">
        <f t="shared" si="4"/>
        <v>163</v>
      </c>
      <c r="B168" s="3">
        <f t="shared" si="5"/>
        <v>0</v>
      </c>
      <c r="C168" s="3" t="s">
        <v>3021</v>
      </c>
      <c r="D168" s="3" t="s">
        <v>2694</v>
      </c>
      <c r="E168" s="3" t="s">
        <v>180</v>
      </c>
      <c r="F168" s="3" t="s">
        <v>179</v>
      </c>
      <c r="G168" s="3" t="s">
        <v>187</v>
      </c>
      <c r="H168" s="40">
        <v>44728.690995370373</v>
      </c>
      <c r="I168" s="3">
        <v>0</v>
      </c>
      <c r="J168" s="3" t="s">
        <v>2695</v>
      </c>
      <c r="K168" s="3" t="s">
        <v>2696</v>
      </c>
      <c r="L168" s="3" t="s">
        <v>180</v>
      </c>
      <c r="M168" s="3" t="s">
        <v>2697</v>
      </c>
      <c r="N168" s="3" t="s">
        <v>181</v>
      </c>
      <c r="O168" s="3" t="s">
        <v>182</v>
      </c>
      <c r="P168" s="3"/>
      <c r="Q168" s="3" t="s">
        <v>86</v>
      </c>
      <c r="R168" s="3" t="s">
        <v>182</v>
      </c>
      <c r="S168" s="41">
        <v>3</v>
      </c>
      <c r="T168" s="3" t="s">
        <v>2688</v>
      </c>
      <c r="U168" s="3" t="s">
        <v>188</v>
      </c>
      <c r="V168" s="3" t="s">
        <v>180</v>
      </c>
      <c r="W168" s="3" t="s">
        <v>180</v>
      </c>
      <c r="X168" s="3" t="s">
        <v>180</v>
      </c>
      <c r="Y168" s="3" t="s">
        <v>180</v>
      </c>
      <c r="Z168" s="3" t="s">
        <v>180</v>
      </c>
      <c r="AA168" s="3" t="s">
        <v>180</v>
      </c>
      <c r="AB168" s="3" t="s">
        <v>180</v>
      </c>
      <c r="AC168" s="3" t="s">
        <v>180</v>
      </c>
      <c r="AD168" s="3" t="s">
        <v>180</v>
      </c>
    </row>
    <row r="169" spans="1:30" x14ac:dyDescent="0.4">
      <c r="A169" s="3">
        <f t="shared" si="4"/>
        <v>164</v>
      </c>
      <c r="B169" s="3">
        <f t="shared" si="5"/>
        <v>0</v>
      </c>
      <c r="C169" s="3" t="s">
        <v>3021</v>
      </c>
      <c r="D169" s="3" t="s">
        <v>372</v>
      </c>
      <c r="E169" s="3" t="s">
        <v>180</v>
      </c>
      <c r="F169" s="3" t="s">
        <v>179</v>
      </c>
      <c r="G169" s="3" t="s">
        <v>2698</v>
      </c>
      <c r="H169" s="40">
        <v>36494</v>
      </c>
      <c r="I169" s="3">
        <v>267011</v>
      </c>
      <c r="J169" s="3" t="s">
        <v>194</v>
      </c>
      <c r="K169" s="3" t="s">
        <v>2568</v>
      </c>
      <c r="L169" s="3" t="s">
        <v>180</v>
      </c>
      <c r="M169" s="3" t="s">
        <v>2699</v>
      </c>
      <c r="N169" s="3" t="s">
        <v>181</v>
      </c>
      <c r="O169" s="3" t="s">
        <v>182</v>
      </c>
      <c r="P169" s="3"/>
      <c r="Q169" s="3" t="s">
        <v>86</v>
      </c>
      <c r="R169" s="3" t="s">
        <v>182</v>
      </c>
      <c r="S169" s="3" t="s">
        <v>182</v>
      </c>
      <c r="T169" s="3" t="s">
        <v>2561</v>
      </c>
      <c r="U169" s="3" t="s">
        <v>201</v>
      </c>
      <c r="V169" s="3" t="s">
        <v>180</v>
      </c>
      <c r="W169" s="3" t="s">
        <v>180</v>
      </c>
      <c r="X169" s="3" t="s">
        <v>180</v>
      </c>
      <c r="Y169" s="3" t="s">
        <v>180</v>
      </c>
      <c r="Z169" s="3" t="s">
        <v>180</v>
      </c>
      <c r="AA169" s="3" t="s">
        <v>180</v>
      </c>
      <c r="AB169" s="3" t="s">
        <v>180</v>
      </c>
      <c r="AC169" s="3" t="s">
        <v>180</v>
      </c>
      <c r="AD169" s="3" t="s">
        <v>180</v>
      </c>
    </row>
    <row r="170" spans="1:30" x14ac:dyDescent="0.4">
      <c r="A170" s="3">
        <f t="shared" si="4"/>
        <v>165</v>
      </c>
      <c r="B170" s="3">
        <f t="shared" si="5"/>
        <v>0</v>
      </c>
      <c r="C170" s="3" t="s">
        <v>3021</v>
      </c>
      <c r="D170" s="3" t="s">
        <v>373</v>
      </c>
      <c r="E170" s="3" t="s">
        <v>180</v>
      </c>
      <c r="F170" s="3" t="s">
        <v>182</v>
      </c>
      <c r="G170" s="3" t="s">
        <v>2615</v>
      </c>
      <c r="H170" s="40">
        <v>36494</v>
      </c>
      <c r="I170" s="3">
        <v>267011</v>
      </c>
      <c r="J170" s="3" t="s">
        <v>194</v>
      </c>
      <c r="K170" s="3" t="s">
        <v>374</v>
      </c>
      <c r="L170" s="3" t="s">
        <v>180</v>
      </c>
      <c r="M170" s="3" t="s">
        <v>2299</v>
      </c>
      <c r="N170" s="3" t="s">
        <v>182</v>
      </c>
      <c r="O170" s="3" t="s">
        <v>182</v>
      </c>
      <c r="P170" s="3"/>
      <c r="Q170" s="3" t="s">
        <v>86</v>
      </c>
      <c r="R170" s="3" t="s">
        <v>182</v>
      </c>
      <c r="S170" s="41">
        <v>3</v>
      </c>
      <c r="T170" s="3" t="s">
        <v>2561</v>
      </c>
      <c r="U170" s="3" t="s">
        <v>209</v>
      </c>
      <c r="V170" s="42">
        <v>4.1666666666666664E-2</v>
      </c>
      <c r="W170" s="43">
        <v>41275</v>
      </c>
      <c r="X170" s="3" t="s">
        <v>180</v>
      </c>
      <c r="Y170" s="3" t="s">
        <v>180</v>
      </c>
      <c r="Z170" s="3" t="s">
        <v>180</v>
      </c>
      <c r="AA170" s="3" t="s">
        <v>375</v>
      </c>
      <c r="AB170" s="3" t="s">
        <v>211</v>
      </c>
      <c r="AC170" s="3" t="s">
        <v>182</v>
      </c>
      <c r="AD170" s="3" t="s">
        <v>182</v>
      </c>
    </row>
    <row r="171" spans="1:30" x14ac:dyDescent="0.4">
      <c r="A171" s="3">
        <f t="shared" si="4"/>
        <v>166</v>
      </c>
      <c r="B171" s="3">
        <f t="shared" si="5"/>
        <v>0</v>
      </c>
      <c r="C171" s="3" t="s">
        <v>3021</v>
      </c>
      <c r="D171" s="3" t="s">
        <v>376</v>
      </c>
      <c r="E171" s="3" t="s">
        <v>180</v>
      </c>
      <c r="F171" s="3" t="s">
        <v>179</v>
      </c>
      <c r="G171" s="3" t="s">
        <v>187</v>
      </c>
      <c r="H171" s="40">
        <v>36494</v>
      </c>
      <c r="I171" s="3">
        <v>267011</v>
      </c>
      <c r="J171" s="3" t="s">
        <v>194</v>
      </c>
      <c r="K171" s="3" t="s">
        <v>2568</v>
      </c>
      <c r="L171" s="3" t="s">
        <v>180</v>
      </c>
      <c r="M171" s="3" t="s">
        <v>2700</v>
      </c>
      <c r="N171" s="3" t="s">
        <v>181</v>
      </c>
      <c r="O171" s="3" t="s">
        <v>182</v>
      </c>
      <c r="P171" s="3"/>
      <c r="Q171" s="3" t="s">
        <v>216</v>
      </c>
      <c r="R171" s="3" t="s">
        <v>182</v>
      </c>
      <c r="S171" s="3" t="s">
        <v>182</v>
      </c>
      <c r="T171" s="3" t="s">
        <v>2561</v>
      </c>
      <c r="U171" s="3" t="s">
        <v>188</v>
      </c>
      <c r="V171" s="3" t="s">
        <v>180</v>
      </c>
      <c r="W171" s="3" t="s">
        <v>180</v>
      </c>
      <c r="X171" s="3" t="s">
        <v>180</v>
      </c>
      <c r="Y171" s="3" t="s">
        <v>180</v>
      </c>
      <c r="Z171" s="3" t="s">
        <v>180</v>
      </c>
      <c r="AA171" s="3" t="s">
        <v>180</v>
      </c>
      <c r="AB171" s="3" t="s">
        <v>180</v>
      </c>
      <c r="AC171" s="3" t="s">
        <v>180</v>
      </c>
      <c r="AD171" s="3" t="s">
        <v>180</v>
      </c>
    </row>
    <row r="172" spans="1:30" x14ac:dyDescent="0.4">
      <c r="A172" s="3">
        <f t="shared" si="4"/>
        <v>167</v>
      </c>
      <c r="B172" s="3">
        <f t="shared" si="5"/>
        <v>0</v>
      </c>
      <c r="C172" s="3" t="s">
        <v>3021</v>
      </c>
      <c r="D172" s="3" t="s">
        <v>377</v>
      </c>
      <c r="E172" s="3" t="s">
        <v>180</v>
      </c>
      <c r="F172" s="3" t="s">
        <v>179</v>
      </c>
      <c r="G172" s="3" t="s">
        <v>187</v>
      </c>
      <c r="H172" s="40">
        <v>44710.611041666663</v>
      </c>
      <c r="I172" s="3">
        <v>0</v>
      </c>
      <c r="J172" s="3" t="s">
        <v>180</v>
      </c>
      <c r="K172" s="3" t="s">
        <v>2568</v>
      </c>
      <c r="L172" s="3" t="s">
        <v>180</v>
      </c>
      <c r="M172" s="3" t="s">
        <v>378</v>
      </c>
      <c r="N172" s="3" t="s">
        <v>181</v>
      </c>
      <c r="O172" s="3" t="s">
        <v>182</v>
      </c>
      <c r="P172" s="3"/>
      <c r="Q172" s="3" t="s">
        <v>268</v>
      </c>
      <c r="R172" s="3" t="s">
        <v>182</v>
      </c>
      <c r="S172" s="3" t="s">
        <v>2645</v>
      </c>
      <c r="T172" s="3" t="s">
        <v>2561</v>
      </c>
      <c r="U172" s="3" t="s">
        <v>196</v>
      </c>
      <c r="V172" s="3" t="s">
        <v>180</v>
      </c>
      <c r="W172" s="3" t="s">
        <v>180</v>
      </c>
      <c r="X172" s="3" t="s">
        <v>180</v>
      </c>
      <c r="Y172" s="3" t="s">
        <v>180</v>
      </c>
      <c r="Z172" s="3" t="s">
        <v>180</v>
      </c>
      <c r="AA172" s="3" t="s">
        <v>180</v>
      </c>
      <c r="AB172" s="3" t="s">
        <v>180</v>
      </c>
      <c r="AC172" s="3" t="s">
        <v>180</v>
      </c>
      <c r="AD172" s="3" t="s">
        <v>180</v>
      </c>
    </row>
    <row r="173" spans="1:30" x14ac:dyDescent="0.4">
      <c r="A173" s="3">
        <f t="shared" si="4"/>
        <v>168</v>
      </c>
      <c r="B173" s="3">
        <f t="shared" si="5"/>
        <v>0</v>
      </c>
      <c r="C173" s="3" t="s">
        <v>3021</v>
      </c>
      <c r="D173" s="3" t="s">
        <v>379</v>
      </c>
      <c r="E173" s="3" t="s">
        <v>180</v>
      </c>
      <c r="F173" s="3" t="s">
        <v>179</v>
      </c>
      <c r="G173" s="3" t="s">
        <v>187</v>
      </c>
      <c r="H173" s="40">
        <v>44710.610254629632</v>
      </c>
      <c r="I173" s="3">
        <v>0</v>
      </c>
      <c r="J173" s="3" t="s">
        <v>194</v>
      </c>
      <c r="K173" s="3" t="s">
        <v>2568</v>
      </c>
      <c r="L173" s="3" t="s">
        <v>180</v>
      </c>
      <c r="M173" s="3" t="s">
        <v>380</v>
      </c>
      <c r="N173" s="3" t="s">
        <v>181</v>
      </c>
      <c r="O173" s="3" t="s">
        <v>2619</v>
      </c>
      <c r="P173" s="3"/>
      <c r="Q173" s="3" t="s">
        <v>200</v>
      </c>
      <c r="R173" s="3" t="s">
        <v>182</v>
      </c>
      <c r="S173" s="41">
        <v>3</v>
      </c>
      <c r="T173" s="3" t="s">
        <v>2561</v>
      </c>
      <c r="U173" s="3" t="s">
        <v>201</v>
      </c>
      <c r="V173" s="3" t="s">
        <v>180</v>
      </c>
      <c r="W173" s="3" t="s">
        <v>180</v>
      </c>
      <c r="X173" s="3" t="s">
        <v>180</v>
      </c>
      <c r="Y173" s="3" t="s">
        <v>180</v>
      </c>
      <c r="Z173" s="3" t="s">
        <v>180</v>
      </c>
      <c r="AA173" s="3" t="s">
        <v>180</v>
      </c>
      <c r="AB173" s="3" t="s">
        <v>180</v>
      </c>
      <c r="AC173" s="3" t="s">
        <v>180</v>
      </c>
      <c r="AD173" s="3" t="s">
        <v>180</v>
      </c>
    </row>
    <row r="174" spans="1:30" x14ac:dyDescent="0.4">
      <c r="A174" s="3">
        <f t="shared" si="4"/>
        <v>169</v>
      </c>
      <c r="B174" s="3">
        <f t="shared" si="5"/>
        <v>0</v>
      </c>
      <c r="C174" s="3" t="s">
        <v>3021</v>
      </c>
      <c r="D174" s="3" t="s">
        <v>379</v>
      </c>
      <c r="E174" s="3" t="s">
        <v>180</v>
      </c>
      <c r="F174" s="3" t="s">
        <v>179</v>
      </c>
      <c r="G174" s="3" t="s">
        <v>187</v>
      </c>
      <c r="H174" s="40">
        <v>44710.610254629632</v>
      </c>
      <c r="I174" s="3">
        <v>0</v>
      </c>
      <c r="J174" s="3" t="s">
        <v>194</v>
      </c>
      <c r="K174" s="3" t="s">
        <v>2568</v>
      </c>
      <c r="L174" s="3" t="s">
        <v>180</v>
      </c>
      <c r="M174" s="3" t="s">
        <v>380</v>
      </c>
      <c r="N174" s="3" t="s">
        <v>181</v>
      </c>
      <c r="O174" s="3" t="s">
        <v>2619</v>
      </c>
      <c r="P174" s="3"/>
      <c r="Q174" s="3" t="s">
        <v>200</v>
      </c>
      <c r="R174" s="3" t="s">
        <v>182</v>
      </c>
      <c r="S174" s="41">
        <v>3</v>
      </c>
      <c r="T174" s="3" t="s">
        <v>2561</v>
      </c>
      <c r="U174" s="3" t="s">
        <v>201</v>
      </c>
      <c r="V174" s="3" t="s">
        <v>180</v>
      </c>
      <c r="W174" s="3" t="s">
        <v>180</v>
      </c>
      <c r="X174" s="3" t="s">
        <v>180</v>
      </c>
      <c r="Y174" s="3" t="s">
        <v>180</v>
      </c>
      <c r="Z174" s="3" t="s">
        <v>180</v>
      </c>
      <c r="AA174" s="3" t="s">
        <v>180</v>
      </c>
      <c r="AB174" s="3" t="s">
        <v>180</v>
      </c>
      <c r="AC174" s="3" t="s">
        <v>180</v>
      </c>
      <c r="AD174" s="3" t="s">
        <v>180</v>
      </c>
    </row>
    <row r="175" spans="1:30" x14ac:dyDescent="0.4">
      <c r="A175" s="3">
        <f t="shared" si="4"/>
        <v>170</v>
      </c>
      <c r="B175" s="3">
        <f t="shared" si="5"/>
        <v>0</v>
      </c>
      <c r="C175" s="3" t="s">
        <v>3021</v>
      </c>
      <c r="D175" s="3" t="s">
        <v>381</v>
      </c>
      <c r="E175" s="3" t="s">
        <v>180</v>
      </c>
      <c r="F175" s="3" t="s">
        <v>179</v>
      </c>
      <c r="G175" s="3" t="s">
        <v>187</v>
      </c>
      <c r="H175" s="40">
        <v>44728.690995370373</v>
      </c>
      <c r="I175" s="3">
        <v>1056</v>
      </c>
      <c r="J175" s="3" t="s">
        <v>194</v>
      </c>
      <c r="K175" s="3" t="s">
        <v>382</v>
      </c>
      <c r="L175" s="3" t="s">
        <v>180</v>
      </c>
      <c r="M175" s="3" t="s">
        <v>2354</v>
      </c>
      <c r="N175" s="3" t="s">
        <v>181</v>
      </c>
      <c r="O175" s="3" t="s">
        <v>182</v>
      </c>
      <c r="P175" s="3" t="s">
        <v>2566</v>
      </c>
      <c r="Q175" s="3" t="s">
        <v>200</v>
      </c>
      <c r="R175" s="3" t="s">
        <v>182</v>
      </c>
      <c r="S175" s="41">
        <v>3</v>
      </c>
      <c r="T175" s="3" t="s">
        <v>2561</v>
      </c>
      <c r="U175" s="3" t="s">
        <v>2675</v>
      </c>
      <c r="V175" s="3" t="s">
        <v>180</v>
      </c>
      <c r="W175" s="3" t="s">
        <v>180</v>
      </c>
      <c r="X175" s="3" t="s">
        <v>180</v>
      </c>
      <c r="Y175" s="3" t="s">
        <v>180</v>
      </c>
      <c r="Z175" s="3" t="s">
        <v>180</v>
      </c>
      <c r="AA175" s="3" t="s">
        <v>180</v>
      </c>
      <c r="AB175" s="3" t="s">
        <v>180</v>
      </c>
      <c r="AC175" s="3" t="s">
        <v>180</v>
      </c>
      <c r="AD175" s="3" t="s">
        <v>180</v>
      </c>
    </row>
    <row r="176" spans="1:30" x14ac:dyDescent="0.4">
      <c r="A176" s="3">
        <f t="shared" si="4"/>
        <v>171</v>
      </c>
      <c r="B176" s="3">
        <f t="shared" si="5"/>
        <v>0</v>
      </c>
      <c r="C176" s="3" t="s">
        <v>3021</v>
      </c>
      <c r="D176" s="3" t="s">
        <v>383</v>
      </c>
      <c r="E176" s="3" t="s">
        <v>180</v>
      </c>
      <c r="F176" s="3" t="s">
        <v>179</v>
      </c>
      <c r="G176" s="3" t="s">
        <v>187</v>
      </c>
      <c r="H176" s="40">
        <v>44728.690995370373</v>
      </c>
      <c r="I176" s="3">
        <v>0</v>
      </c>
      <c r="J176" s="3" t="s">
        <v>194</v>
      </c>
      <c r="K176" s="3" t="s">
        <v>384</v>
      </c>
      <c r="L176" s="3" t="s">
        <v>180</v>
      </c>
      <c r="M176" s="3" t="s">
        <v>2701</v>
      </c>
      <c r="N176" s="3" t="s">
        <v>181</v>
      </c>
      <c r="O176" s="3" t="s">
        <v>182</v>
      </c>
      <c r="P176" s="3" t="s">
        <v>2556</v>
      </c>
      <c r="Q176" s="3" t="s">
        <v>86</v>
      </c>
      <c r="R176" s="3" t="s">
        <v>182</v>
      </c>
      <c r="S176" s="42">
        <v>4.1666666666666664E-2</v>
      </c>
      <c r="T176" s="3" t="s">
        <v>2561</v>
      </c>
      <c r="U176" s="3" t="s">
        <v>188</v>
      </c>
      <c r="V176" s="3" t="s">
        <v>180</v>
      </c>
      <c r="W176" s="3" t="s">
        <v>180</v>
      </c>
      <c r="X176" s="3" t="s">
        <v>180</v>
      </c>
      <c r="Y176" s="3" t="s">
        <v>180</v>
      </c>
      <c r="Z176" s="3" t="s">
        <v>180</v>
      </c>
      <c r="AA176" s="3" t="s">
        <v>180</v>
      </c>
      <c r="AB176" s="3" t="s">
        <v>180</v>
      </c>
      <c r="AC176" s="3" t="s">
        <v>180</v>
      </c>
      <c r="AD176" s="3" t="s">
        <v>180</v>
      </c>
    </row>
    <row r="177" spans="1:30" x14ac:dyDescent="0.4">
      <c r="A177" s="3">
        <f t="shared" si="4"/>
        <v>172</v>
      </c>
      <c r="B177" s="3">
        <f t="shared" si="5"/>
        <v>0</v>
      </c>
      <c r="C177" s="3" t="s">
        <v>3021</v>
      </c>
      <c r="D177" s="3" t="s">
        <v>385</v>
      </c>
      <c r="E177" s="3" t="s">
        <v>180</v>
      </c>
      <c r="F177" s="3" t="s">
        <v>179</v>
      </c>
      <c r="G177" s="3" t="s">
        <v>187</v>
      </c>
      <c r="H177" s="40">
        <v>36494</v>
      </c>
      <c r="I177" s="3">
        <v>267011</v>
      </c>
      <c r="J177" s="3" t="s">
        <v>194</v>
      </c>
      <c r="K177" s="3" t="s">
        <v>2568</v>
      </c>
      <c r="L177" s="3" t="s">
        <v>180</v>
      </c>
      <c r="M177" s="3" t="s">
        <v>386</v>
      </c>
      <c r="N177" s="3" t="s">
        <v>181</v>
      </c>
      <c r="O177" s="3" t="s">
        <v>182</v>
      </c>
      <c r="P177" s="3"/>
      <c r="Q177" s="3" t="s">
        <v>86</v>
      </c>
      <c r="R177" s="3" t="s">
        <v>182</v>
      </c>
      <c r="S177" s="41">
        <v>3</v>
      </c>
      <c r="T177" s="3" t="s">
        <v>2561</v>
      </c>
      <c r="U177" s="3" t="s">
        <v>201</v>
      </c>
      <c r="V177" s="3" t="s">
        <v>180</v>
      </c>
      <c r="W177" s="3" t="s">
        <v>180</v>
      </c>
      <c r="X177" s="3" t="s">
        <v>180</v>
      </c>
      <c r="Y177" s="3" t="s">
        <v>180</v>
      </c>
      <c r="Z177" s="3" t="s">
        <v>180</v>
      </c>
      <c r="AA177" s="3" t="s">
        <v>180</v>
      </c>
      <c r="AB177" s="3" t="s">
        <v>180</v>
      </c>
      <c r="AC177" s="3" t="s">
        <v>180</v>
      </c>
      <c r="AD177" s="3" t="s">
        <v>180</v>
      </c>
    </row>
    <row r="178" spans="1:30" x14ac:dyDescent="0.4">
      <c r="A178" s="3">
        <f t="shared" si="4"/>
        <v>173</v>
      </c>
      <c r="B178" s="3">
        <f t="shared" si="5"/>
        <v>0</v>
      </c>
      <c r="C178" s="3" t="s">
        <v>3021</v>
      </c>
      <c r="D178" s="3" t="s">
        <v>387</v>
      </c>
      <c r="E178" s="3" t="s">
        <v>180</v>
      </c>
      <c r="F178" s="3" t="s">
        <v>179</v>
      </c>
      <c r="G178" s="3" t="s">
        <v>187</v>
      </c>
      <c r="H178" s="40">
        <v>44693.411898148152</v>
      </c>
      <c r="I178" s="3">
        <v>-2147020577</v>
      </c>
      <c r="J178" s="3" t="s">
        <v>194</v>
      </c>
      <c r="K178" s="3" t="s">
        <v>2568</v>
      </c>
      <c r="L178" s="3" t="s">
        <v>180</v>
      </c>
      <c r="M178" s="3" t="s">
        <v>2702</v>
      </c>
      <c r="N178" s="3" t="s">
        <v>181</v>
      </c>
      <c r="O178" s="3" t="s">
        <v>182</v>
      </c>
      <c r="P178" s="3"/>
      <c r="Q178" s="3" t="s">
        <v>86</v>
      </c>
      <c r="R178" s="3" t="s">
        <v>182</v>
      </c>
      <c r="S178" s="41">
        <v>3</v>
      </c>
      <c r="T178" s="3" t="s">
        <v>2561</v>
      </c>
      <c r="U178" s="3" t="s">
        <v>201</v>
      </c>
      <c r="V178" s="3" t="s">
        <v>180</v>
      </c>
      <c r="W178" s="3" t="s">
        <v>180</v>
      </c>
      <c r="X178" s="3" t="s">
        <v>180</v>
      </c>
      <c r="Y178" s="3" t="s">
        <v>180</v>
      </c>
      <c r="Z178" s="3" t="s">
        <v>180</v>
      </c>
      <c r="AA178" s="3" t="s">
        <v>180</v>
      </c>
      <c r="AB178" s="3" t="s">
        <v>180</v>
      </c>
      <c r="AC178" s="3" t="s">
        <v>180</v>
      </c>
      <c r="AD178" s="3" t="s">
        <v>180</v>
      </c>
    </row>
    <row r="179" spans="1:30" x14ac:dyDescent="0.4">
      <c r="A179" s="3">
        <f t="shared" si="4"/>
        <v>174</v>
      </c>
      <c r="B179" s="3">
        <f t="shared" si="5"/>
        <v>0</v>
      </c>
      <c r="C179" s="3" t="s">
        <v>3021</v>
      </c>
      <c r="D179" s="3" t="s">
        <v>387</v>
      </c>
      <c r="E179" s="3" t="s">
        <v>180</v>
      </c>
      <c r="F179" s="3" t="s">
        <v>179</v>
      </c>
      <c r="G179" s="3" t="s">
        <v>187</v>
      </c>
      <c r="H179" s="40">
        <v>44693.411898148152</v>
      </c>
      <c r="I179" s="3">
        <v>-2147020577</v>
      </c>
      <c r="J179" s="3" t="s">
        <v>194</v>
      </c>
      <c r="K179" s="3" t="s">
        <v>2568</v>
      </c>
      <c r="L179" s="3" t="s">
        <v>180</v>
      </c>
      <c r="M179" s="3" t="s">
        <v>2702</v>
      </c>
      <c r="N179" s="3" t="s">
        <v>181</v>
      </c>
      <c r="O179" s="3" t="s">
        <v>182</v>
      </c>
      <c r="P179" s="3"/>
      <c r="Q179" s="3" t="s">
        <v>86</v>
      </c>
      <c r="R179" s="3" t="s">
        <v>182</v>
      </c>
      <c r="S179" s="41">
        <v>3</v>
      </c>
      <c r="T179" s="3" t="s">
        <v>2561</v>
      </c>
      <c r="U179" s="3" t="s">
        <v>201</v>
      </c>
      <c r="V179" s="3" t="s">
        <v>180</v>
      </c>
      <c r="W179" s="3" t="s">
        <v>180</v>
      </c>
      <c r="X179" s="3" t="s">
        <v>180</v>
      </c>
      <c r="Y179" s="3" t="s">
        <v>180</v>
      </c>
      <c r="Z179" s="3" t="s">
        <v>180</v>
      </c>
      <c r="AA179" s="3" t="s">
        <v>180</v>
      </c>
      <c r="AB179" s="3" t="s">
        <v>180</v>
      </c>
      <c r="AC179" s="3" t="s">
        <v>180</v>
      </c>
      <c r="AD179" s="3" t="s">
        <v>180</v>
      </c>
    </row>
    <row r="180" spans="1:30" x14ac:dyDescent="0.4">
      <c r="A180" s="3">
        <f t="shared" si="4"/>
        <v>175</v>
      </c>
      <c r="B180" s="3">
        <f t="shared" si="5"/>
        <v>0</v>
      </c>
      <c r="C180" s="3" t="s">
        <v>3021</v>
      </c>
      <c r="D180" s="3" t="s">
        <v>387</v>
      </c>
      <c r="E180" s="3" t="s">
        <v>180</v>
      </c>
      <c r="F180" s="3" t="s">
        <v>179</v>
      </c>
      <c r="G180" s="3" t="s">
        <v>187</v>
      </c>
      <c r="H180" s="40">
        <v>44693.411898148152</v>
      </c>
      <c r="I180" s="3">
        <v>-2147020577</v>
      </c>
      <c r="J180" s="3" t="s">
        <v>194</v>
      </c>
      <c r="K180" s="3" t="s">
        <v>2568</v>
      </c>
      <c r="L180" s="3" t="s">
        <v>180</v>
      </c>
      <c r="M180" s="3" t="s">
        <v>2702</v>
      </c>
      <c r="N180" s="3" t="s">
        <v>181</v>
      </c>
      <c r="O180" s="3" t="s">
        <v>182</v>
      </c>
      <c r="P180" s="3"/>
      <c r="Q180" s="3" t="s">
        <v>86</v>
      </c>
      <c r="R180" s="3" t="s">
        <v>182</v>
      </c>
      <c r="S180" s="41">
        <v>3</v>
      </c>
      <c r="T180" s="3" t="s">
        <v>2561</v>
      </c>
      <c r="U180" s="3" t="s">
        <v>201</v>
      </c>
      <c r="V180" s="3" t="s">
        <v>180</v>
      </c>
      <c r="W180" s="3" t="s">
        <v>180</v>
      </c>
      <c r="X180" s="3" t="s">
        <v>180</v>
      </c>
      <c r="Y180" s="3" t="s">
        <v>180</v>
      </c>
      <c r="Z180" s="3" t="s">
        <v>180</v>
      </c>
      <c r="AA180" s="3" t="s">
        <v>180</v>
      </c>
      <c r="AB180" s="3" t="s">
        <v>180</v>
      </c>
      <c r="AC180" s="3" t="s">
        <v>180</v>
      </c>
      <c r="AD180" s="3" t="s">
        <v>180</v>
      </c>
    </row>
    <row r="181" spans="1:30" x14ac:dyDescent="0.4">
      <c r="A181" s="3">
        <f t="shared" si="4"/>
        <v>176</v>
      </c>
      <c r="B181" s="3">
        <f t="shared" si="5"/>
        <v>0</v>
      </c>
      <c r="C181" s="3" t="s">
        <v>3021</v>
      </c>
      <c r="D181" s="3" t="s">
        <v>387</v>
      </c>
      <c r="E181" s="3" t="s">
        <v>180</v>
      </c>
      <c r="F181" s="3" t="s">
        <v>179</v>
      </c>
      <c r="G181" s="3" t="s">
        <v>187</v>
      </c>
      <c r="H181" s="40">
        <v>44693.411898148152</v>
      </c>
      <c r="I181" s="3">
        <v>-2147020577</v>
      </c>
      <c r="J181" s="3" t="s">
        <v>194</v>
      </c>
      <c r="K181" s="3" t="s">
        <v>2568</v>
      </c>
      <c r="L181" s="3" t="s">
        <v>180</v>
      </c>
      <c r="M181" s="3" t="s">
        <v>2702</v>
      </c>
      <c r="N181" s="3" t="s">
        <v>181</v>
      </c>
      <c r="O181" s="3" t="s">
        <v>182</v>
      </c>
      <c r="P181" s="3"/>
      <c r="Q181" s="3" t="s">
        <v>86</v>
      </c>
      <c r="R181" s="3" t="s">
        <v>182</v>
      </c>
      <c r="S181" s="41">
        <v>3</v>
      </c>
      <c r="T181" s="3" t="s">
        <v>2561</v>
      </c>
      <c r="U181" s="3" t="s">
        <v>201</v>
      </c>
      <c r="V181" s="3" t="s">
        <v>180</v>
      </c>
      <c r="W181" s="3" t="s">
        <v>180</v>
      </c>
      <c r="X181" s="3" t="s">
        <v>180</v>
      </c>
      <c r="Y181" s="3" t="s">
        <v>180</v>
      </c>
      <c r="Z181" s="3" t="s">
        <v>180</v>
      </c>
      <c r="AA181" s="3" t="s">
        <v>180</v>
      </c>
      <c r="AB181" s="3" t="s">
        <v>180</v>
      </c>
      <c r="AC181" s="3" t="s">
        <v>180</v>
      </c>
      <c r="AD181" s="3" t="s">
        <v>180</v>
      </c>
    </row>
    <row r="182" spans="1:30" x14ac:dyDescent="0.4">
      <c r="A182" s="3">
        <f t="shared" si="4"/>
        <v>177</v>
      </c>
      <c r="B182" s="3">
        <f t="shared" si="5"/>
        <v>0</v>
      </c>
      <c r="C182" s="3" t="s">
        <v>3021</v>
      </c>
      <c r="D182" s="3" t="s">
        <v>2703</v>
      </c>
      <c r="E182" s="3" t="s">
        <v>180</v>
      </c>
      <c r="F182" s="3" t="s">
        <v>182</v>
      </c>
      <c r="G182" s="3" t="s">
        <v>187</v>
      </c>
      <c r="H182" s="40">
        <v>36494</v>
      </c>
      <c r="I182" s="3">
        <v>267011</v>
      </c>
      <c r="J182" s="3" t="s">
        <v>180</v>
      </c>
      <c r="K182" s="3" t="s">
        <v>389</v>
      </c>
      <c r="L182" s="3" t="s">
        <v>180</v>
      </c>
      <c r="M182" s="3" t="s">
        <v>180</v>
      </c>
      <c r="N182" s="3" t="s">
        <v>182</v>
      </c>
      <c r="O182" s="3" t="s">
        <v>182</v>
      </c>
      <c r="P182" s="3" t="s">
        <v>2566</v>
      </c>
      <c r="Q182" s="3" t="s">
        <v>86</v>
      </c>
      <c r="R182" s="3" t="s">
        <v>182</v>
      </c>
      <c r="S182" s="41">
        <v>3</v>
      </c>
      <c r="T182" s="3" t="s">
        <v>2561</v>
      </c>
      <c r="U182" s="3" t="s">
        <v>288</v>
      </c>
      <c r="V182" s="42">
        <v>0.81653935185185189</v>
      </c>
      <c r="W182" s="43">
        <v>44729</v>
      </c>
      <c r="X182" s="3" t="s">
        <v>180</v>
      </c>
      <c r="Y182" s="3" t="s">
        <v>180</v>
      </c>
      <c r="Z182" s="3" t="s">
        <v>180</v>
      </c>
      <c r="AA182" s="3" t="s">
        <v>182</v>
      </c>
      <c r="AB182" s="3" t="s">
        <v>182</v>
      </c>
      <c r="AC182" s="3" t="s">
        <v>182</v>
      </c>
      <c r="AD182" s="3" t="s">
        <v>182</v>
      </c>
    </row>
    <row r="183" spans="1:30" x14ac:dyDescent="0.4">
      <c r="A183" s="3">
        <f t="shared" si="4"/>
        <v>178</v>
      </c>
      <c r="B183" s="3">
        <f t="shared" si="5"/>
        <v>0</v>
      </c>
      <c r="C183" s="3" t="s">
        <v>3021</v>
      </c>
      <c r="D183" s="3" t="s">
        <v>2704</v>
      </c>
      <c r="E183" s="3" t="s">
        <v>180</v>
      </c>
      <c r="F183" s="3" t="s">
        <v>182</v>
      </c>
      <c r="G183" s="3" t="s">
        <v>187</v>
      </c>
      <c r="H183" s="40">
        <v>36494</v>
      </c>
      <c r="I183" s="3">
        <v>267011</v>
      </c>
      <c r="J183" s="3" t="s">
        <v>180</v>
      </c>
      <c r="K183" s="3" t="s">
        <v>2705</v>
      </c>
      <c r="L183" s="3" t="s">
        <v>180</v>
      </c>
      <c r="M183" s="3" t="s">
        <v>180</v>
      </c>
      <c r="N183" s="3" t="s">
        <v>182</v>
      </c>
      <c r="O183" s="3" t="s">
        <v>182</v>
      </c>
      <c r="P183" s="3" t="s">
        <v>2556</v>
      </c>
      <c r="Q183" s="3" t="s">
        <v>86</v>
      </c>
      <c r="R183" s="3" t="s">
        <v>182</v>
      </c>
      <c r="S183" s="41">
        <v>3</v>
      </c>
      <c r="T183" s="3" t="s">
        <v>2561</v>
      </c>
      <c r="U183" s="3" t="s">
        <v>288</v>
      </c>
      <c r="V183" s="42">
        <v>2.2754629629629628E-2</v>
      </c>
      <c r="W183" s="43">
        <v>44694</v>
      </c>
      <c r="X183" s="3" t="s">
        <v>180</v>
      </c>
      <c r="Y183" s="3" t="s">
        <v>180</v>
      </c>
      <c r="Z183" s="3" t="s">
        <v>180</v>
      </c>
      <c r="AA183" s="3" t="s">
        <v>182</v>
      </c>
      <c r="AB183" s="3" t="s">
        <v>182</v>
      </c>
      <c r="AC183" s="3" t="s">
        <v>182</v>
      </c>
      <c r="AD183" s="3" t="s">
        <v>182</v>
      </c>
    </row>
    <row r="184" spans="1:30" x14ac:dyDescent="0.4">
      <c r="A184" s="3">
        <f t="shared" si="4"/>
        <v>179</v>
      </c>
      <c r="B184" s="3">
        <f t="shared" si="5"/>
        <v>0</v>
      </c>
      <c r="C184" s="3" t="s">
        <v>3021</v>
      </c>
      <c r="D184" s="3" t="s">
        <v>2706</v>
      </c>
      <c r="E184" s="3" t="s">
        <v>180</v>
      </c>
      <c r="F184" s="3" t="s">
        <v>179</v>
      </c>
      <c r="G184" s="3" t="s">
        <v>187</v>
      </c>
      <c r="H184" s="40">
        <v>44728.690995370373</v>
      </c>
      <c r="I184" s="3">
        <v>0</v>
      </c>
      <c r="J184" s="3" t="s">
        <v>194</v>
      </c>
      <c r="K184" s="3" t="s">
        <v>2707</v>
      </c>
      <c r="L184" s="3" t="s">
        <v>180</v>
      </c>
      <c r="M184" s="3" t="s">
        <v>180</v>
      </c>
      <c r="N184" s="3" t="s">
        <v>181</v>
      </c>
      <c r="O184" s="3" t="s">
        <v>182</v>
      </c>
      <c r="P184" s="3"/>
      <c r="Q184" s="3" t="s">
        <v>86</v>
      </c>
      <c r="R184" s="3" t="s">
        <v>182</v>
      </c>
      <c r="S184" s="41">
        <v>3</v>
      </c>
      <c r="T184" s="3" t="s">
        <v>2561</v>
      </c>
      <c r="U184" s="3" t="s">
        <v>201</v>
      </c>
      <c r="V184" s="3" t="s">
        <v>180</v>
      </c>
      <c r="W184" s="3" t="s">
        <v>180</v>
      </c>
      <c r="X184" s="3" t="s">
        <v>180</v>
      </c>
      <c r="Y184" s="3" t="s">
        <v>180</v>
      </c>
      <c r="Z184" s="3" t="s">
        <v>180</v>
      </c>
      <c r="AA184" s="3" t="s">
        <v>180</v>
      </c>
      <c r="AB184" s="3" t="s">
        <v>180</v>
      </c>
      <c r="AC184" s="3" t="s">
        <v>180</v>
      </c>
      <c r="AD184" s="3" t="s">
        <v>180</v>
      </c>
    </row>
    <row r="185" spans="1:30" x14ac:dyDescent="0.4">
      <c r="A185" s="3">
        <f t="shared" si="4"/>
        <v>180</v>
      </c>
      <c r="B185" s="3">
        <f t="shared" si="5"/>
        <v>0</v>
      </c>
      <c r="C185" s="3" t="s">
        <v>3021</v>
      </c>
      <c r="D185" s="3" t="s">
        <v>2706</v>
      </c>
      <c r="E185" s="3" t="s">
        <v>180</v>
      </c>
      <c r="F185" s="3" t="s">
        <v>179</v>
      </c>
      <c r="G185" s="3" t="s">
        <v>187</v>
      </c>
      <c r="H185" s="40">
        <v>44728.690995370373</v>
      </c>
      <c r="I185" s="3">
        <v>0</v>
      </c>
      <c r="J185" s="3" t="s">
        <v>194</v>
      </c>
      <c r="K185" s="3" t="s">
        <v>2707</v>
      </c>
      <c r="L185" s="3" t="s">
        <v>180</v>
      </c>
      <c r="M185" s="3" t="s">
        <v>180</v>
      </c>
      <c r="N185" s="3" t="s">
        <v>181</v>
      </c>
      <c r="O185" s="3" t="s">
        <v>182</v>
      </c>
      <c r="P185" s="3"/>
      <c r="Q185" s="3" t="s">
        <v>86</v>
      </c>
      <c r="R185" s="3" t="s">
        <v>182</v>
      </c>
      <c r="S185" s="41">
        <v>3</v>
      </c>
      <c r="T185" s="3" t="s">
        <v>2561</v>
      </c>
      <c r="U185" s="3" t="s">
        <v>201</v>
      </c>
      <c r="V185" s="3" t="s">
        <v>180</v>
      </c>
      <c r="W185" s="3" t="s">
        <v>180</v>
      </c>
      <c r="X185" s="3" t="s">
        <v>180</v>
      </c>
      <c r="Y185" s="3" t="s">
        <v>180</v>
      </c>
      <c r="Z185" s="3" t="s">
        <v>180</v>
      </c>
      <c r="AA185" s="3" t="s">
        <v>180</v>
      </c>
      <c r="AB185" s="3" t="s">
        <v>180</v>
      </c>
      <c r="AC185" s="3" t="s">
        <v>180</v>
      </c>
      <c r="AD185" s="3" t="s">
        <v>180</v>
      </c>
    </row>
    <row r="186" spans="1:30" x14ac:dyDescent="0.4">
      <c r="A186" s="3">
        <f t="shared" si="4"/>
        <v>181</v>
      </c>
      <c r="B186" s="3">
        <f t="shared" si="5"/>
        <v>0</v>
      </c>
      <c r="C186" s="3" t="s">
        <v>3021</v>
      </c>
      <c r="D186" s="3" t="s">
        <v>2708</v>
      </c>
      <c r="E186" s="3" t="s">
        <v>180</v>
      </c>
      <c r="F186" s="3" t="s">
        <v>182</v>
      </c>
      <c r="G186" s="3" t="s">
        <v>187</v>
      </c>
      <c r="H186" s="40">
        <v>36494</v>
      </c>
      <c r="I186" s="3">
        <v>267011</v>
      </c>
      <c r="J186" s="3" t="s">
        <v>180</v>
      </c>
      <c r="K186" s="3" t="s">
        <v>2709</v>
      </c>
      <c r="L186" s="3" t="s">
        <v>180</v>
      </c>
      <c r="M186" s="3" t="s">
        <v>180</v>
      </c>
      <c r="N186" s="3" t="s">
        <v>182</v>
      </c>
      <c r="O186" s="3" t="s">
        <v>182</v>
      </c>
      <c r="P186" s="3" t="s">
        <v>2566</v>
      </c>
      <c r="Q186" s="3" t="s">
        <v>86</v>
      </c>
      <c r="R186" s="3" t="s">
        <v>182</v>
      </c>
      <c r="S186" s="41">
        <v>3</v>
      </c>
      <c r="T186" s="3" t="s">
        <v>2561</v>
      </c>
      <c r="U186" s="3" t="s">
        <v>188</v>
      </c>
      <c r="V186" s="3" t="s">
        <v>180</v>
      </c>
      <c r="W186" s="3" t="s">
        <v>180</v>
      </c>
      <c r="X186" s="3" t="s">
        <v>180</v>
      </c>
      <c r="Y186" s="3" t="s">
        <v>180</v>
      </c>
      <c r="Z186" s="3" t="s">
        <v>180</v>
      </c>
      <c r="AA186" s="3" t="s">
        <v>180</v>
      </c>
      <c r="AB186" s="3" t="s">
        <v>180</v>
      </c>
      <c r="AC186" s="3" t="s">
        <v>180</v>
      </c>
      <c r="AD186" s="3" t="s">
        <v>180</v>
      </c>
    </row>
    <row r="187" spans="1:30" x14ac:dyDescent="0.4">
      <c r="A187" s="3">
        <f t="shared" si="4"/>
        <v>182</v>
      </c>
      <c r="B187" s="3">
        <f t="shared" si="5"/>
        <v>0</v>
      </c>
      <c r="C187" s="3" t="s">
        <v>3021</v>
      </c>
      <c r="D187" s="3" t="s">
        <v>390</v>
      </c>
      <c r="E187" s="40">
        <v>44729.181932870371</v>
      </c>
      <c r="F187" s="3" t="s">
        <v>179</v>
      </c>
      <c r="G187" s="3" t="s">
        <v>2615</v>
      </c>
      <c r="H187" s="40">
        <v>44728.953969907408</v>
      </c>
      <c r="I187" s="3">
        <v>0</v>
      </c>
      <c r="J187" s="3" t="s">
        <v>180</v>
      </c>
      <c r="K187" s="3" t="s">
        <v>388</v>
      </c>
      <c r="L187" s="3" t="s">
        <v>180</v>
      </c>
      <c r="M187" s="3" t="s">
        <v>180</v>
      </c>
      <c r="N187" s="3" t="s">
        <v>181</v>
      </c>
      <c r="O187" s="3" t="s">
        <v>182</v>
      </c>
      <c r="P187" s="3" t="s">
        <v>2710</v>
      </c>
      <c r="Q187" s="3" t="s">
        <v>86</v>
      </c>
      <c r="R187" s="3" t="s">
        <v>182</v>
      </c>
      <c r="S187" s="41">
        <v>3</v>
      </c>
      <c r="T187" s="3" t="s">
        <v>2561</v>
      </c>
      <c r="U187" s="3" t="s">
        <v>209</v>
      </c>
      <c r="V187" s="42">
        <v>0.5</v>
      </c>
      <c r="W187" s="43">
        <v>43466</v>
      </c>
      <c r="X187" s="3" t="s">
        <v>180</v>
      </c>
      <c r="Y187" s="3" t="s">
        <v>180</v>
      </c>
      <c r="Z187" s="3" t="s">
        <v>180</v>
      </c>
      <c r="AA187" s="3" t="s">
        <v>2711</v>
      </c>
      <c r="AB187" s="3" t="s">
        <v>211</v>
      </c>
      <c r="AC187" s="3" t="s">
        <v>182</v>
      </c>
      <c r="AD187" s="3" t="s">
        <v>182</v>
      </c>
    </row>
    <row r="188" spans="1:30" x14ac:dyDescent="0.4">
      <c r="A188" s="3">
        <f t="shared" si="4"/>
        <v>183</v>
      </c>
      <c r="B188" s="3">
        <f t="shared" si="5"/>
        <v>0</v>
      </c>
      <c r="C188" s="3" t="s">
        <v>3021</v>
      </c>
      <c r="D188" s="3" t="s">
        <v>391</v>
      </c>
      <c r="E188" s="3" t="s">
        <v>180</v>
      </c>
      <c r="F188" s="3" t="s">
        <v>179</v>
      </c>
      <c r="G188" s="3" t="s">
        <v>187</v>
      </c>
      <c r="H188" s="40">
        <v>44711.616331018522</v>
      </c>
      <c r="I188" s="3">
        <v>0</v>
      </c>
      <c r="J188" s="3" t="s">
        <v>194</v>
      </c>
      <c r="K188" s="3" t="s">
        <v>388</v>
      </c>
      <c r="L188" s="3" t="s">
        <v>180</v>
      </c>
      <c r="M188" s="3" t="s">
        <v>2712</v>
      </c>
      <c r="N188" s="3" t="s">
        <v>181</v>
      </c>
      <c r="O188" s="3" t="s">
        <v>182</v>
      </c>
      <c r="P188" s="3"/>
      <c r="Q188" s="3" t="s">
        <v>86</v>
      </c>
      <c r="R188" s="3" t="s">
        <v>182</v>
      </c>
      <c r="S188" s="41">
        <v>3</v>
      </c>
      <c r="T188" s="3" t="s">
        <v>2561</v>
      </c>
      <c r="U188" s="3" t="s">
        <v>201</v>
      </c>
      <c r="V188" s="3" t="s">
        <v>180</v>
      </c>
      <c r="W188" s="3" t="s">
        <v>180</v>
      </c>
      <c r="X188" s="3" t="s">
        <v>180</v>
      </c>
      <c r="Y188" s="3" t="s">
        <v>180</v>
      </c>
      <c r="Z188" s="3" t="s">
        <v>180</v>
      </c>
      <c r="AA188" s="3" t="s">
        <v>180</v>
      </c>
      <c r="AB188" s="3" t="s">
        <v>180</v>
      </c>
      <c r="AC188" s="3" t="s">
        <v>180</v>
      </c>
      <c r="AD188" s="3" t="s">
        <v>180</v>
      </c>
    </row>
    <row r="189" spans="1:30" x14ac:dyDescent="0.4">
      <c r="A189" s="3">
        <f t="shared" si="4"/>
        <v>184</v>
      </c>
      <c r="B189" s="3">
        <f t="shared" si="5"/>
        <v>0</v>
      </c>
      <c r="C189" s="3" t="s">
        <v>3021</v>
      </c>
      <c r="D189" s="3" t="s">
        <v>391</v>
      </c>
      <c r="E189" s="3" t="s">
        <v>180</v>
      </c>
      <c r="F189" s="3" t="s">
        <v>179</v>
      </c>
      <c r="G189" s="3" t="s">
        <v>187</v>
      </c>
      <c r="H189" s="40">
        <v>44711.616331018522</v>
      </c>
      <c r="I189" s="3">
        <v>0</v>
      </c>
      <c r="J189" s="3" t="s">
        <v>194</v>
      </c>
      <c r="K189" s="3" t="s">
        <v>388</v>
      </c>
      <c r="L189" s="3" t="s">
        <v>180</v>
      </c>
      <c r="M189" s="3" t="s">
        <v>2712</v>
      </c>
      <c r="N189" s="3" t="s">
        <v>181</v>
      </c>
      <c r="O189" s="3" t="s">
        <v>182</v>
      </c>
      <c r="P189" s="3"/>
      <c r="Q189" s="3" t="s">
        <v>86</v>
      </c>
      <c r="R189" s="3" t="s">
        <v>182</v>
      </c>
      <c r="S189" s="41">
        <v>3</v>
      </c>
      <c r="T189" s="3" t="s">
        <v>2561</v>
      </c>
      <c r="U189" s="3" t="s">
        <v>201</v>
      </c>
      <c r="V189" s="3" t="s">
        <v>180</v>
      </c>
      <c r="W189" s="3" t="s">
        <v>180</v>
      </c>
      <c r="X189" s="3" t="s">
        <v>180</v>
      </c>
      <c r="Y189" s="3" t="s">
        <v>180</v>
      </c>
      <c r="Z189" s="3" t="s">
        <v>180</v>
      </c>
      <c r="AA189" s="3" t="s">
        <v>180</v>
      </c>
      <c r="AB189" s="3" t="s">
        <v>180</v>
      </c>
      <c r="AC189" s="3" t="s">
        <v>180</v>
      </c>
      <c r="AD189" s="3" t="s">
        <v>180</v>
      </c>
    </row>
    <row r="190" spans="1:30" x14ac:dyDescent="0.4">
      <c r="A190" s="3">
        <f t="shared" si="4"/>
        <v>185</v>
      </c>
      <c r="B190" s="3">
        <f t="shared" si="5"/>
        <v>0</v>
      </c>
      <c r="C190" s="3" t="s">
        <v>3021</v>
      </c>
      <c r="D190" s="3" t="s">
        <v>391</v>
      </c>
      <c r="E190" s="3" t="s">
        <v>180</v>
      </c>
      <c r="F190" s="3" t="s">
        <v>179</v>
      </c>
      <c r="G190" s="3" t="s">
        <v>187</v>
      </c>
      <c r="H190" s="40">
        <v>44711.616331018522</v>
      </c>
      <c r="I190" s="3">
        <v>0</v>
      </c>
      <c r="J190" s="3" t="s">
        <v>194</v>
      </c>
      <c r="K190" s="3" t="s">
        <v>388</v>
      </c>
      <c r="L190" s="3" t="s">
        <v>180</v>
      </c>
      <c r="M190" s="3" t="s">
        <v>2712</v>
      </c>
      <c r="N190" s="3" t="s">
        <v>181</v>
      </c>
      <c r="O190" s="3" t="s">
        <v>182</v>
      </c>
      <c r="P190" s="3"/>
      <c r="Q190" s="3" t="s">
        <v>86</v>
      </c>
      <c r="R190" s="3" t="s">
        <v>182</v>
      </c>
      <c r="S190" s="41">
        <v>3</v>
      </c>
      <c r="T190" s="3" t="s">
        <v>2561</v>
      </c>
      <c r="U190" s="3" t="s">
        <v>201</v>
      </c>
      <c r="V190" s="3" t="s">
        <v>180</v>
      </c>
      <c r="W190" s="3" t="s">
        <v>180</v>
      </c>
      <c r="X190" s="3" t="s">
        <v>180</v>
      </c>
      <c r="Y190" s="3" t="s">
        <v>180</v>
      </c>
      <c r="Z190" s="3" t="s">
        <v>180</v>
      </c>
      <c r="AA190" s="3" t="s">
        <v>180</v>
      </c>
      <c r="AB190" s="3" t="s">
        <v>180</v>
      </c>
      <c r="AC190" s="3" t="s">
        <v>180</v>
      </c>
      <c r="AD190" s="3" t="s">
        <v>180</v>
      </c>
    </row>
    <row r="191" spans="1:30" x14ac:dyDescent="0.4">
      <c r="A191" s="3">
        <f t="shared" si="4"/>
        <v>186</v>
      </c>
      <c r="B191" s="3">
        <f t="shared" si="5"/>
        <v>0</v>
      </c>
      <c r="C191" s="3" t="s">
        <v>3021</v>
      </c>
      <c r="D191" s="3" t="s">
        <v>391</v>
      </c>
      <c r="E191" s="3" t="s">
        <v>180</v>
      </c>
      <c r="F191" s="3" t="s">
        <v>179</v>
      </c>
      <c r="G191" s="3" t="s">
        <v>187</v>
      </c>
      <c r="H191" s="40">
        <v>44711.616331018522</v>
      </c>
      <c r="I191" s="3">
        <v>0</v>
      </c>
      <c r="J191" s="3" t="s">
        <v>194</v>
      </c>
      <c r="K191" s="3" t="s">
        <v>388</v>
      </c>
      <c r="L191" s="3" t="s">
        <v>180</v>
      </c>
      <c r="M191" s="3" t="s">
        <v>2712</v>
      </c>
      <c r="N191" s="3" t="s">
        <v>181</v>
      </c>
      <c r="O191" s="3" t="s">
        <v>182</v>
      </c>
      <c r="P191" s="3"/>
      <c r="Q191" s="3" t="s">
        <v>86</v>
      </c>
      <c r="R191" s="3" t="s">
        <v>182</v>
      </c>
      <c r="S191" s="41">
        <v>3</v>
      </c>
      <c r="T191" s="3" t="s">
        <v>2561</v>
      </c>
      <c r="U191" s="3" t="s">
        <v>201</v>
      </c>
      <c r="V191" s="3" t="s">
        <v>180</v>
      </c>
      <c r="W191" s="3" t="s">
        <v>180</v>
      </c>
      <c r="X191" s="3" t="s">
        <v>180</v>
      </c>
      <c r="Y191" s="3" t="s">
        <v>180</v>
      </c>
      <c r="Z191" s="3" t="s">
        <v>180</v>
      </c>
      <c r="AA191" s="3" t="s">
        <v>180</v>
      </c>
      <c r="AB191" s="3" t="s">
        <v>180</v>
      </c>
      <c r="AC191" s="3" t="s">
        <v>180</v>
      </c>
      <c r="AD191" s="3" t="s">
        <v>180</v>
      </c>
    </row>
    <row r="192" spans="1:30" x14ac:dyDescent="0.4">
      <c r="A192" s="3">
        <f t="shared" si="4"/>
        <v>187</v>
      </c>
      <c r="B192" s="3">
        <f t="shared" si="5"/>
        <v>0</v>
      </c>
      <c r="C192" s="3" t="s">
        <v>3021</v>
      </c>
      <c r="D192" s="3" t="s">
        <v>391</v>
      </c>
      <c r="E192" s="3" t="s">
        <v>180</v>
      </c>
      <c r="F192" s="3" t="s">
        <v>179</v>
      </c>
      <c r="G192" s="3" t="s">
        <v>187</v>
      </c>
      <c r="H192" s="40">
        <v>44711.616331018522</v>
      </c>
      <c r="I192" s="3">
        <v>0</v>
      </c>
      <c r="J192" s="3" t="s">
        <v>194</v>
      </c>
      <c r="K192" s="3" t="s">
        <v>388</v>
      </c>
      <c r="L192" s="3" t="s">
        <v>180</v>
      </c>
      <c r="M192" s="3" t="s">
        <v>2712</v>
      </c>
      <c r="N192" s="3" t="s">
        <v>181</v>
      </c>
      <c r="O192" s="3" t="s">
        <v>182</v>
      </c>
      <c r="P192" s="3"/>
      <c r="Q192" s="3" t="s">
        <v>86</v>
      </c>
      <c r="R192" s="3" t="s">
        <v>182</v>
      </c>
      <c r="S192" s="41">
        <v>3</v>
      </c>
      <c r="T192" s="3" t="s">
        <v>2561</v>
      </c>
      <c r="U192" s="3" t="s">
        <v>242</v>
      </c>
      <c r="V192" s="3" t="s">
        <v>180</v>
      </c>
      <c r="W192" s="3" t="s">
        <v>180</v>
      </c>
      <c r="X192" s="3" t="s">
        <v>180</v>
      </c>
      <c r="Y192" s="3" t="s">
        <v>180</v>
      </c>
      <c r="Z192" s="3" t="s">
        <v>180</v>
      </c>
      <c r="AA192" s="3" t="s">
        <v>180</v>
      </c>
      <c r="AB192" s="3" t="s">
        <v>180</v>
      </c>
      <c r="AC192" s="3" t="s">
        <v>180</v>
      </c>
      <c r="AD192" s="3" t="s">
        <v>180</v>
      </c>
    </row>
    <row r="193" spans="1:30" x14ac:dyDescent="0.4">
      <c r="A193" s="3">
        <f t="shared" si="4"/>
        <v>188</v>
      </c>
      <c r="B193" s="3">
        <f t="shared" si="5"/>
        <v>0</v>
      </c>
      <c r="C193" s="3" t="s">
        <v>3021</v>
      </c>
      <c r="D193" s="3" t="s">
        <v>2713</v>
      </c>
      <c r="E193" s="3" t="s">
        <v>180</v>
      </c>
      <c r="F193" s="3" t="s">
        <v>182</v>
      </c>
      <c r="G193" s="3" t="s">
        <v>187</v>
      </c>
      <c r="H193" s="40">
        <v>36494</v>
      </c>
      <c r="I193" s="3">
        <v>267011</v>
      </c>
      <c r="J193" s="3" t="s">
        <v>180</v>
      </c>
      <c r="K193" s="3" t="s">
        <v>2714</v>
      </c>
      <c r="L193" s="3" t="s">
        <v>180</v>
      </c>
      <c r="M193" s="3" t="s">
        <v>180</v>
      </c>
      <c r="N193" s="3" t="s">
        <v>182</v>
      </c>
      <c r="O193" s="3" t="s">
        <v>182</v>
      </c>
      <c r="P193" s="3" t="s">
        <v>2566</v>
      </c>
      <c r="Q193" s="3" t="s">
        <v>86</v>
      </c>
      <c r="R193" s="3" t="s">
        <v>182</v>
      </c>
      <c r="S193" s="41">
        <v>3</v>
      </c>
      <c r="T193" s="3" t="s">
        <v>2561</v>
      </c>
      <c r="U193" s="3" t="s">
        <v>188</v>
      </c>
      <c r="V193" s="3" t="s">
        <v>180</v>
      </c>
      <c r="W193" s="3" t="s">
        <v>180</v>
      </c>
      <c r="X193" s="3" t="s">
        <v>180</v>
      </c>
      <c r="Y193" s="3" t="s">
        <v>180</v>
      </c>
      <c r="Z193" s="3" t="s">
        <v>180</v>
      </c>
      <c r="AA193" s="3" t="s">
        <v>180</v>
      </c>
      <c r="AB193" s="3" t="s">
        <v>180</v>
      </c>
      <c r="AC193" s="3" t="s">
        <v>180</v>
      </c>
      <c r="AD193" s="3" t="s">
        <v>180</v>
      </c>
    </row>
    <row r="194" spans="1:30" x14ac:dyDescent="0.4">
      <c r="A194" s="3">
        <f t="shared" si="4"/>
        <v>189</v>
      </c>
      <c r="B194" s="3">
        <f t="shared" si="5"/>
        <v>0</v>
      </c>
      <c r="C194" s="3" t="s">
        <v>3021</v>
      </c>
      <c r="D194" s="3" t="s">
        <v>2715</v>
      </c>
      <c r="E194" s="3" t="s">
        <v>180</v>
      </c>
      <c r="F194" s="3" t="s">
        <v>182</v>
      </c>
      <c r="G194" s="3" t="s">
        <v>187</v>
      </c>
      <c r="H194" s="40">
        <v>36494</v>
      </c>
      <c r="I194" s="3">
        <v>267011</v>
      </c>
      <c r="J194" s="3" t="s">
        <v>180</v>
      </c>
      <c r="K194" s="3" t="s">
        <v>2714</v>
      </c>
      <c r="L194" s="3" t="s">
        <v>180</v>
      </c>
      <c r="M194" s="3" t="s">
        <v>180</v>
      </c>
      <c r="N194" s="3" t="s">
        <v>182</v>
      </c>
      <c r="O194" s="3" t="s">
        <v>182</v>
      </c>
      <c r="P194" s="3" t="s">
        <v>2566</v>
      </c>
      <c r="Q194" s="3" t="s">
        <v>86</v>
      </c>
      <c r="R194" s="3" t="s">
        <v>182</v>
      </c>
      <c r="S194" s="41">
        <v>3</v>
      </c>
      <c r="T194" s="3" t="s">
        <v>2561</v>
      </c>
      <c r="U194" s="3" t="s">
        <v>188</v>
      </c>
      <c r="V194" s="3" t="s">
        <v>180</v>
      </c>
      <c r="W194" s="3" t="s">
        <v>180</v>
      </c>
      <c r="X194" s="3" t="s">
        <v>180</v>
      </c>
      <c r="Y194" s="3" t="s">
        <v>180</v>
      </c>
      <c r="Z194" s="3" t="s">
        <v>180</v>
      </c>
      <c r="AA194" s="3" t="s">
        <v>180</v>
      </c>
      <c r="AB194" s="3" t="s">
        <v>180</v>
      </c>
      <c r="AC194" s="3" t="s">
        <v>180</v>
      </c>
      <c r="AD194" s="3" t="s">
        <v>180</v>
      </c>
    </row>
    <row r="195" spans="1:30" x14ac:dyDescent="0.4">
      <c r="A195" s="3">
        <f t="shared" si="4"/>
        <v>190</v>
      </c>
      <c r="B195" s="3">
        <f t="shared" si="5"/>
        <v>0</v>
      </c>
      <c r="C195" s="3" t="s">
        <v>3021</v>
      </c>
      <c r="D195" s="3" t="s">
        <v>392</v>
      </c>
      <c r="E195" s="40">
        <v>44729.563796296294</v>
      </c>
      <c r="F195" s="3" t="s">
        <v>179</v>
      </c>
      <c r="G195" s="3" t="s">
        <v>2615</v>
      </c>
      <c r="H195" s="40">
        <v>44728.693229166667</v>
      </c>
      <c r="I195" s="3">
        <v>0</v>
      </c>
      <c r="J195" s="3" t="s">
        <v>194</v>
      </c>
      <c r="K195" s="3" t="s">
        <v>393</v>
      </c>
      <c r="L195" s="3" t="s">
        <v>180</v>
      </c>
      <c r="M195" s="3" t="s">
        <v>2716</v>
      </c>
      <c r="N195" s="3" t="s">
        <v>181</v>
      </c>
      <c r="O195" s="3" t="s">
        <v>182</v>
      </c>
      <c r="P195" s="3"/>
      <c r="Q195" s="3" t="s">
        <v>86</v>
      </c>
      <c r="R195" s="3" t="s">
        <v>182</v>
      </c>
      <c r="S195" s="41">
        <v>3</v>
      </c>
      <c r="T195" s="3" t="s">
        <v>2717</v>
      </c>
      <c r="U195" s="3" t="s">
        <v>201</v>
      </c>
      <c r="V195" s="3" t="s">
        <v>180</v>
      </c>
      <c r="W195" s="3" t="s">
        <v>180</v>
      </c>
      <c r="X195" s="3" t="s">
        <v>180</v>
      </c>
      <c r="Y195" s="3" t="s">
        <v>180</v>
      </c>
      <c r="Z195" s="3" t="s">
        <v>180</v>
      </c>
      <c r="AA195" s="3" t="s">
        <v>180</v>
      </c>
      <c r="AB195" s="3" t="s">
        <v>180</v>
      </c>
      <c r="AC195" s="3" t="s">
        <v>180</v>
      </c>
      <c r="AD195" s="3" t="s">
        <v>180</v>
      </c>
    </row>
    <row r="196" spans="1:30" x14ac:dyDescent="0.4">
      <c r="A196" s="3">
        <f t="shared" si="4"/>
        <v>191</v>
      </c>
      <c r="B196" s="3">
        <f t="shared" si="5"/>
        <v>0</v>
      </c>
      <c r="C196" s="3" t="s">
        <v>3021</v>
      </c>
      <c r="D196" s="3" t="s">
        <v>392</v>
      </c>
      <c r="E196" s="40">
        <v>44729.773321759261</v>
      </c>
      <c r="F196" s="3" t="s">
        <v>179</v>
      </c>
      <c r="G196" s="3" t="s">
        <v>2615</v>
      </c>
      <c r="H196" s="40">
        <v>44728.693229166667</v>
      </c>
      <c r="I196" s="3">
        <v>0</v>
      </c>
      <c r="J196" s="3" t="s">
        <v>194</v>
      </c>
      <c r="K196" s="3" t="s">
        <v>393</v>
      </c>
      <c r="L196" s="3" t="s">
        <v>180</v>
      </c>
      <c r="M196" s="3" t="s">
        <v>2716</v>
      </c>
      <c r="N196" s="3" t="s">
        <v>181</v>
      </c>
      <c r="O196" s="3" t="s">
        <v>182</v>
      </c>
      <c r="P196" s="3"/>
      <c r="Q196" s="3" t="s">
        <v>86</v>
      </c>
      <c r="R196" s="3" t="s">
        <v>182</v>
      </c>
      <c r="S196" s="41">
        <v>3</v>
      </c>
      <c r="T196" s="3" t="s">
        <v>2717</v>
      </c>
      <c r="U196" s="3" t="s">
        <v>184</v>
      </c>
      <c r="V196" s="42">
        <v>0.125</v>
      </c>
      <c r="W196" s="43">
        <v>36526</v>
      </c>
      <c r="X196" s="3" t="s">
        <v>180</v>
      </c>
      <c r="Y196" s="3" t="s">
        <v>185</v>
      </c>
      <c r="Z196" s="3" t="s">
        <v>180</v>
      </c>
      <c r="AA196" s="3" t="s">
        <v>182</v>
      </c>
      <c r="AB196" s="3" t="s">
        <v>182</v>
      </c>
      <c r="AC196" s="3" t="s">
        <v>182</v>
      </c>
      <c r="AD196" s="3" t="s">
        <v>182</v>
      </c>
    </row>
    <row r="197" spans="1:30" x14ac:dyDescent="0.4">
      <c r="A197" s="3">
        <f t="shared" si="4"/>
        <v>192</v>
      </c>
      <c r="B197" s="3">
        <f t="shared" si="5"/>
        <v>0</v>
      </c>
      <c r="C197" s="3" t="s">
        <v>3021</v>
      </c>
      <c r="D197" s="3" t="s">
        <v>2718</v>
      </c>
      <c r="E197" s="3" t="s">
        <v>180</v>
      </c>
      <c r="F197" s="3" t="s">
        <v>179</v>
      </c>
      <c r="G197" s="3" t="s">
        <v>187</v>
      </c>
      <c r="H197" s="40">
        <v>36494</v>
      </c>
      <c r="I197" s="3">
        <v>267011</v>
      </c>
      <c r="J197" s="3" t="s">
        <v>2719</v>
      </c>
      <c r="K197" s="3" t="s">
        <v>2720</v>
      </c>
      <c r="L197" s="3" t="s">
        <v>180</v>
      </c>
      <c r="M197" s="3" t="s">
        <v>2721</v>
      </c>
      <c r="N197" s="3" t="s">
        <v>181</v>
      </c>
      <c r="O197" s="3" t="s">
        <v>182</v>
      </c>
      <c r="P197" s="3"/>
      <c r="Q197" s="3" t="s">
        <v>86</v>
      </c>
      <c r="R197" s="3" t="s">
        <v>182</v>
      </c>
      <c r="S197" s="41">
        <v>3</v>
      </c>
      <c r="T197" s="3" t="s">
        <v>2561</v>
      </c>
      <c r="U197" s="3" t="s">
        <v>201</v>
      </c>
      <c r="V197" s="3" t="s">
        <v>180</v>
      </c>
      <c r="W197" s="3" t="s">
        <v>180</v>
      </c>
      <c r="X197" s="3" t="s">
        <v>180</v>
      </c>
      <c r="Y197" s="3" t="s">
        <v>180</v>
      </c>
      <c r="Z197" s="3" t="s">
        <v>180</v>
      </c>
      <c r="AA197" s="3" t="s">
        <v>180</v>
      </c>
      <c r="AB197" s="3" t="s">
        <v>180</v>
      </c>
      <c r="AC197" s="3" t="s">
        <v>180</v>
      </c>
      <c r="AD197" s="3" t="s">
        <v>180</v>
      </c>
    </row>
    <row r="198" spans="1:30" x14ac:dyDescent="0.4">
      <c r="A198" s="3">
        <f t="shared" si="4"/>
        <v>193</v>
      </c>
      <c r="B198" s="3">
        <f t="shared" si="5"/>
        <v>0</v>
      </c>
      <c r="C198" s="3" t="s">
        <v>3021</v>
      </c>
      <c r="D198" s="3" t="s">
        <v>394</v>
      </c>
      <c r="E198" s="3" t="s">
        <v>180</v>
      </c>
      <c r="F198" s="3" t="s">
        <v>182</v>
      </c>
      <c r="G198" s="3" t="s">
        <v>187</v>
      </c>
      <c r="H198" s="40">
        <v>36494</v>
      </c>
      <c r="I198" s="3">
        <v>267011</v>
      </c>
      <c r="J198" s="3" t="s">
        <v>235</v>
      </c>
      <c r="K198" s="3" t="s">
        <v>395</v>
      </c>
      <c r="L198" s="3" t="s">
        <v>180</v>
      </c>
      <c r="M198" s="3" t="s">
        <v>2722</v>
      </c>
      <c r="N198" s="3" t="s">
        <v>182</v>
      </c>
      <c r="O198" s="3" t="s">
        <v>182</v>
      </c>
      <c r="P198" s="3"/>
      <c r="Q198" s="3" t="s">
        <v>86</v>
      </c>
      <c r="R198" s="3" t="s">
        <v>182</v>
      </c>
      <c r="S198" s="41">
        <v>3</v>
      </c>
      <c r="T198" s="3" t="s">
        <v>2561</v>
      </c>
      <c r="U198" s="3" t="s">
        <v>188</v>
      </c>
      <c r="V198" s="3" t="s">
        <v>180</v>
      </c>
      <c r="W198" s="3" t="s">
        <v>180</v>
      </c>
      <c r="X198" s="3" t="s">
        <v>180</v>
      </c>
      <c r="Y198" s="3" t="s">
        <v>180</v>
      </c>
      <c r="Z198" s="3" t="s">
        <v>180</v>
      </c>
      <c r="AA198" s="3" t="s">
        <v>180</v>
      </c>
      <c r="AB198" s="3" t="s">
        <v>180</v>
      </c>
      <c r="AC198" s="3" t="s">
        <v>180</v>
      </c>
      <c r="AD198" s="3" t="s">
        <v>180</v>
      </c>
    </row>
    <row r="199" spans="1:30" x14ac:dyDescent="0.4">
      <c r="A199" s="3">
        <f t="shared" si="4"/>
        <v>194</v>
      </c>
      <c r="B199" s="3">
        <f t="shared" si="5"/>
        <v>0</v>
      </c>
      <c r="C199" s="3" t="s">
        <v>3021</v>
      </c>
      <c r="D199" s="3" t="s">
        <v>396</v>
      </c>
      <c r="E199" s="3" t="s">
        <v>180</v>
      </c>
      <c r="F199" s="3" t="s">
        <v>182</v>
      </c>
      <c r="G199" s="3" t="s">
        <v>187</v>
      </c>
      <c r="H199" s="40">
        <v>36494</v>
      </c>
      <c r="I199" s="3">
        <v>267011</v>
      </c>
      <c r="J199" s="3" t="s">
        <v>194</v>
      </c>
      <c r="K199" s="3" t="s">
        <v>2568</v>
      </c>
      <c r="L199" s="3" t="s">
        <v>180</v>
      </c>
      <c r="M199" s="3" t="s">
        <v>2723</v>
      </c>
      <c r="N199" s="3" t="s">
        <v>182</v>
      </c>
      <c r="O199" s="3" t="s">
        <v>397</v>
      </c>
      <c r="P199" s="3" t="s">
        <v>2556</v>
      </c>
      <c r="Q199" s="3" t="s">
        <v>86</v>
      </c>
      <c r="R199" s="3" t="s">
        <v>182</v>
      </c>
      <c r="S199" s="41">
        <v>3</v>
      </c>
      <c r="T199" s="3" t="s">
        <v>2627</v>
      </c>
      <c r="U199" s="3" t="s">
        <v>209</v>
      </c>
      <c r="V199" s="42">
        <v>0</v>
      </c>
      <c r="W199" s="43">
        <v>39322</v>
      </c>
      <c r="X199" s="3" t="s">
        <v>180</v>
      </c>
      <c r="Y199" s="3" t="s">
        <v>180</v>
      </c>
      <c r="Z199" s="3" t="s">
        <v>180</v>
      </c>
      <c r="AA199" s="3" t="s">
        <v>398</v>
      </c>
      <c r="AB199" s="3" t="s">
        <v>211</v>
      </c>
      <c r="AC199" s="3" t="s">
        <v>182</v>
      </c>
      <c r="AD199" s="3" t="s">
        <v>182</v>
      </c>
    </row>
    <row r="200" spans="1:30" x14ac:dyDescent="0.4">
      <c r="A200" s="3">
        <f t="shared" ref="A200:A227" si="6">A199+1</f>
        <v>195</v>
      </c>
      <c r="B200" s="3">
        <f t="shared" ref="B200:B227" si="7">$B$6</f>
        <v>0</v>
      </c>
      <c r="C200" s="3" t="s">
        <v>3021</v>
      </c>
      <c r="D200" s="3" t="s">
        <v>399</v>
      </c>
      <c r="E200" s="3" t="s">
        <v>180</v>
      </c>
      <c r="F200" s="3" t="s">
        <v>182</v>
      </c>
      <c r="G200" s="3" t="s">
        <v>187</v>
      </c>
      <c r="H200" s="40">
        <v>36494</v>
      </c>
      <c r="I200" s="3">
        <v>267011</v>
      </c>
      <c r="J200" s="3" t="s">
        <v>194</v>
      </c>
      <c r="K200" s="3" t="s">
        <v>2568</v>
      </c>
      <c r="L200" s="3" t="s">
        <v>180</v>
      </c>
      <c r="M200" s="3" t="s">
        <v>2724</v>
      </c>
      <c r="N200" s="3" t="s">
        <v>182</v>
      </c>
      <c r="O200" s="3" t="s">
        <v>182</v>
      </c>
      <c r="P200" s="3"/>
      <c r="Q200" s="3" t="s">
        <v>86</v>
      </c>
      <c r="R200" s="3" t="s">
        <v>182</v>
      </c>
      <c r="S200" s="41">
        <v>3</v>
      </c>
      <c r="T200" s="3" t="s">
        <v>2561</v>
      </c>
      <c r="U200" s="3" t="s">
        <v>2725</v>
      </c>
      <c r="V200" s="42">
        <v>0.125</v>
      </c>
      <c r="W200" s="43">
        <v>36814</v>
      </c>
      <c r="X200" s="3" t="s">
        <v>180</v>
      </c>
      <c r="Y200" s="3" t="s">
        <v>180</v>
      </c>
      <c r="Z200" s="3" t="s">
        <v>180</v>
      </c>
      <c r="AA200" s="3" t="s">
        <v>400</v>
      </c>
      <c r="AB200" s="3" t="s">
        <v>211</v>
      </c>
      <c r="AC200" s="3" t="s">
        <v>182</v>
      </c>
      <c r="AD200" s="3" t="s">
        <v>182</v>
      </c>
    </row>
    <row r="201" spans="1:30" x14ac:dyDescent="0.4">
      <c r="A201" s="3">
        <f t="shared" si="6"/>
        <v>196</v>
      </c>
      <c r="B201" s="3">
        <f t="shared" si="7"/>
        <v>0</v>
      </c>
      <c r="C201" s="3" t="s">
        <v>3021</v>
      </c>
      <c r="D201" s="3" t="s">
        <v>401</v>
      </c>
      <c r="E201" s="3" t="s">
        <v>180</v>
      </c>
      <c r="F201" s="3" t="s">
        <v>421</v>
      </c>
      <c r="G201" s="3" t="s">
        <v>187</v>
      </c>
      <c r="H201" s="40">
        <v>44719.93167824074</v>
      </c>
      <c r="I201" s="3">
        <v>267009</v>
      </c>
      <c r="J201" s="3" t="s">
        <v>194</v>
      </c>
      <c r="K201" s="3" t="s">
        <v>2568</v>
      </c>
      <c r="L201" s="3" t="s">
        <v>180</v>
      </c>
      <c r="M201" s="3" t="s">
        <v>2726</v>
      </c>
      <c r="N201" s="3" t="s">
        <v>181</v>
      </c>
      <c r="O201" s="3" t="s">
        <v>182</v>
      </c>
      <c r="P201" s="3"/>
      <c r="Q201" s="3" t="s">
        <v>216</v>
      </c>
      <c r="R201" s="3" t="s">
        <v>182</v>
      </c>
      <c r="S201" s="3" t="s">
        <v>182</v>
      </c>
      <c r="T201" s="3" t="s">
        <v>2589</v>
      </c>
      <c r="U201" s="3" t="s">
        <v>188</v>
      </c>
      <c r="V201" s="3" t="s">
        <v>180</v>
      </c>
      <c r="W201" s="3" t="s">
        <v>180</v>
      </c>
      <c r="X201" s="3" t="s">
        <v>180</v>
      </c>
      <c r="Y201" s="3" t="s">
        <v>180</v>
      </c>
      <c r="Z201" s="3" t="s">
        <v>180</v>
      </c>
      <c r="AA201" s="3" t="s">
        <v>180</v>
      </c>
      <c r="AB201" s="3" t="s">
        <v>180</v>
      </c>
      <c r="AC201" s="3" t="s">
        <v>180</v>
      </c>
      <c r="AD201" s="3" t="s">
        <v>180</v>
      </c>
    </row>
    <row r="202" spans="1:30" x14ac:dyDescent="0.4">
      <c r="A202" s="3">
        <f t="shared" si="6"/>
        <v>197</v>
      </c>
      <c r="B202" s="3">
        <f t="shared" si="7"/>
        <v>0</v>
      </c>
      <c r="C202" s="3" t="s">
        <v>3021</v>
      </c>
      <c r="D202" s="3" t="s">
        <v>402</v>
      </c>
      <c r="E202" s="3" t="s">
        <v>180</v>
      </c>
      <c r="F202" s="3" t="s">
        <v>179</v>
      </c>
      <c r="G202" s="3" t="s">
        <v>2636</v>
      </c>
      <c r="H202" s="40">
        <v>44728.693958333337</v>
      </c>
      <c r="I202" s="3">
        <v>0</v>
      </c>
      <c r="J202" s="3" t="s">
        <v>180</v>
      </c>
      <c r="K202" s="3" t="s">
        <v>2727</v>
      </c>
      <c r="L202" s="3" t="s">
        <v>180</v>
      </c>
      <c r="M202" s="3" t="s">
        <v>403</v>
      </c>
      <c r="N202" s="3" t="s">
        <v>181</v>
      </c>
      <c r="O202" s="3" t="s">
        <v>182</v>
      </c>
      <c r="P202" s="3" t="s">
        <v>271</v>
      </c>
      <c r="Q202" s="3" t="s">
        <v>86</v>
      </c>
      <c r="R202" s="3" t="s">
        <v>182</v>
      </c>
      <c r="S202" s="41">
        <v>3</v>
      </c>
      <c r="T202" s="3" t="s">
        <v>2561</v>
      </c>
      <c r="U202" s="3" t="s">
        <v>188</v>
      </c>
      <c r="V202" s="3" t="s">
        <v>180</v>
      </c>
      <c r="W202" s="3" t="s">
        <v>180</v>
      </c>
      <c r="X202" s="3" t="s">
        <v>180</v>
      </c>
      <c r="Y202" s="3" t="s">
        <v>180</v>
      </c>
      <c r="Z202" s="3" t="s">
        <v>180</v>
      </c>
      <c r="AA202" s="3" t="s">
        <v>180</v>
      </c>
      <c r="AB202" s="3" t="s">
        <v>180</v>
      </c>
      <c r="AC202" s="3" t="s">
        <v>180</v>
      </c>
      <c r="AD202" s="3" t="s">
        <v>180</v>
      </c>
    </row>
    <row r="203" spans="1:30" x14ac:dyDescent="0.4">
      <c r="A203" s="3">
        <f t="shared" si="6"/>
        <v>198</v>
      </c>
      <c r="B203" s="3">
        <f t="shared" si="7"/>
        <v>0</v>
      </c>
      <c r="C203" s="3" t="s">
        <v>3021</v>
      </c>
      <c r="D203" s="3" t="s">
        <v>404</v>
      </c>
      <c r="E203" s="3" t="s">
        <v>180</v>
      </c>
      <c r="F203" s="3" t="s">
        <v>179</v>
      </c>
      <c r="G203" s="3" t="s">
        <v>187</v>
      </c>
      <c r="H203" s="40">
        <v>44728.690995370373</v>
      </c>
      <c r="I203" s="3">
        <v>0</v>
      </c>
      <c r="J203" s="3" t="s">
        <v>180</v>
      </c>
      <c r="K203" s="3" t="s">
        <v>2728</v>
      </c>
      <c r="L203" s="3" t="s">
        <v>180</v>
      </c>
      <c r="M203" s="3" t="s">
        <v>2729</v>
      </c>
      <c r="N203" s="3" t="s">
        <v>181</v>
      </c>
      <c r="O203" s="3" t="s">
        <v>182</v>
      </c>
      <c r="P203" s="3" t="s">
        <v>271</v>
      </c>
      <c r="Q203" s="3" t="s">
        <v>86</v>
      </c>
      <c r="R203" s="3" t="s">
        <v>182</v>
      </c>
      <c r="S203" s="41">
        <v>3</v>
      </c>
      <c r="T203" s="3" t="s">
        <v>2561</v>
      </c>
      <c r="U203" s="3" t="s">
        <v>188</v>
      </c>
      <c r="V203" s="3" t="s">
        <v>180</v>
      </c>
      <c r="W203" s="3" t="s">
        <v>180</v>
      </c>
      <c r="X203" s="3" t="s">
        <v>180</v>
      </c>
      <c r="Y203" s="3" t="s">
        <v>180</v>
      </c>
      <c r="Z203" s="3" t="s">
        <v>180</v>
      </c>
      <c r="AA203" s="3" t="s">
        <v>180</v>
      </c>
      <c r="AB203" s="3" t="s">
        <v>180</v>
      </c>
      <c r="AC203" s="3" t="s">
        <v>180</v>
      </c>
      <c r="AD203" s="3" t="s">
        <v>180</v>
      </c>
    </row>
    <row r="204" spans="1:30" x14ac:dyDescent="0.4">
      <c r="A204" s="3">
        <f t="shared" si="6"/>
        <v>199</v>
      </c>
      <c r="B204" s="3">
        <f t="shared" si="7"/>
        <v>0</v>
      </c>
      <c r="C204" s="3" t="s">
        <v>3021</v>
      </c>
      <c r="D204" s="3" t="s">
        <v>405</v>
      </c>
      <c r="E204" s="40">
        <v>44729.186921296299</v>
      </c>
      <c r="F204" s="3" t="s">
        <v>179</v>
      </c>
      <c r="G204" s="3" t="s">
        <v>187</v>
      </c>
      <c r="H204" s="40">
        <v>44728.692511574074</v>
      </c>
      <c r="I204" s="3">
        <v>0</v>
      </c>
      <c r="J204" s="3" t="s">
        <v>180</v>
      </c>
      <c r="K204" s="3" t="s">
        <v>2730</v>
      </c>
      <c r="L204" s="3" t="s">
        <v>180</v>
      </c>
      <c r="M204" s="3" t="s">
        <v>406</v>
      </c>
      <c r="N204" s="3" t="s">
        <v>181</v>
      </c>
      <c r="O204" s="3" t="s">
        <v>2731</v>
      </c>
      <c r="P204" s="3" t="s">
        <v>271</v>
      </c>
      <c r="Q204" s="3" t="s">
        <v>86</v>
      </c>
      <c r="R204" s="3" t="s">
        <v>182</v>
      </c>
      <c r="S204" s="41">
        <v>3</v>
      </c>
      <c r="T204" s="3" t="s">
        <v>2717</v>
      </c>
      <c r="U204" s="3" t="s">
        <v>184</v>
      </c>
      <c r="V204" s="42">
        <v>0.18692129629629628</v>
      </c>
      <c r="W204" s="43">
        <v>36526</v>
      </c>
      <c r="X204" s="43">
        <v>73051</v>
      </c>
      <c r="Y204" s="3" t="s">
        <v>185</v>
      </c>
      <c r="Z204" s="3" t="s">
        <v>180</v>
      </c>
      <c r="AA204" s="3" t="s">
        <v>182</v>
      </c>
      <c r="AB204" s="3" t="s">
        <v>182</v>
      </c>
      <c r="AC204" s="3" t="s">
        <v>182</v>
      </c>
      <c r="AD204" s="3" t="s">
        <v>182</v>
      </c>
    </row>
    <row r="205" spans="1:30" x14ac:dyDescent="0.4">
      <c r="A205" s="3">
        <f t="shared" si="6"/>
        <v>200</v>
      </c>
      <c r="B205" s="3">
        <f t="shared" si="7"/>
        <v>0</v>
      </c>
      <c r="C205" s="3" t="s">
        <v>3021</v>
      </c>
      <c r="D205" s="3" t="s">
        <v>407</v>
      </c>
      <c r="E205" s="3" t="s">
        <v>180</v>
      </c>
      <c r="F205" s="3" t="s">
        <v>179</v>
      </c>
      <c r="G205" s="3" t="s">
        <v>187</v>
      </c>
      <c r="H205" s="40">
        <v>44728.690995370373</v>
      </c>
      <c r="I205" s="3">
        <v>0</v>
      </c>
      <c r="J205" s="3" t="s">
        <v>180</v>
      </c>
      <c r="K205" s="3" t="s">
        <v>2732</v>
      </c>
      <c r="L205" s="3" t="s">
        <v>180</v>
      </c>
      <c r="M205" s="3" t="s">
        <v>408</v>
      </c>
      <c r="N205" s="3" t="s">
        <v>181</v>
      </c>
      <c r="O205" s="3" t="s">
        <v>182</v>
      </c>
      <c r="P205" s="3" t="s">
        <v>271</v>
      </c>
      <c r="Q205" s="3" t="s">
        <v>86</v>
      </c>
      <c r="R205" s="3" t="s">
        <v>182</v>
      </c>
      <c r="S205" s="41">
        <v>3</v>
      </c>
      <c r="T205" s="3" t="s">
        <v>2561</v>
      </c>
      <c r="U205" s="3" t="s">
        <v>188</v>
      </c>
      <c r="V205" s="3" t="s">
        <v>180</v>
      </c>
      <c r="W205" s="3" t="s">
        <v>180</v>
      </c>
      <c r="X205" s="3" t="s">
        <v>180</v>
      </c>
      <c r="Y205" s="3" t="s">
        <v>180</v>
      </c>
      <c r="Z205" s="3" t="s">
        <v>180</v>
      </c>
      <c r="AA205" s="3" t="s">
        <v>180</v>
      </c>
      <c r="AB205" s="3" t="s">
        <v>180</v>
      </c>
      <c r="AC205" s="3" t="s">
        <v>180</v>
      </c>
      <c r="AD205" s="3" t="s">
        <v>180</v>
      </c>
    </row>
    <row r="206" spans="1:30" x14ac:dyDescent="0.4">
      <c r="A206" s="3">
        <f t="shared" si="6"/>
        <v>201</v>
      </c>
      <c r="B206" s="3">
        <f t="shared" si="7"/>
        <v>0</v>
      </c>
      <c r="C206" s="3" t="s">
        <v>3021</v>
      </c>
      <c r="D206" s="3" t="s">
        <v>409</v>
      </c>
      <c r="E206" s="40">
        <v>44729.046736111108</v>
      </c>
      <c r="F206" s="3" t="s">
        <v>179</v>
      </c>
      <c r="G206" s="3" t="s">
        <v>2571</v>
      </c>
      <c r="H206" s="40">
        <v>44728.953969907408</v>
      </c>
      <c r="I206" s="3">
        <v>0</v>
      </c>
      <c r="J206" s="3" t="s">
        <v>194</v>
      </c>
      <c r="K206" s="3" t="s">
        <v>410</v>
      </c>
      <c r="L206" s="3" t="s">
        <v>180</v>
      </c>
      <c r="M206" s="3" t="s">
        <v>2733</v>
      </c>
      <c r="N206" s="3" t="s">
        <v>181</v>
      </c>
      <c r="O206" s="3" t="s">
        <v>182</v>
      </c>
      <c r="P206" s="3"/>
      <c r="Q206" s="3" t="s">
        <v>86</v>
      </c>
      <c r="R206" s="3" t="s">
        <v>182</v>
      </c>
      <c r="S206" s="3" t="s">
        <v>182</v>
      </c>
      <c r="T206" s="3" t="s">
        <v>2561</v>
      </c>
      <c r="U206" s="3" t="s">
        <v>206</v>
      </c>
      <c r="V206" s="3" t="s">
        <v>180</v>
      </c>
      <c r="W206" s="3" t="s">
        <v>180</v>
      </c>
      <c r="X206" s="3" t="s">
        <v>180</v>
      </c>
      <c r="Y206" s="3" t="s">
        <v>180</v>
      </c>
      <c r="Z206" s="3" t="s">
        <v>180</v>
      </c>
      <c r="AA206" s="3" t="s">
        <v>180</v>
      </c>
      <c r="AB206" s="3" t="s">
        <v>180</v>
      </c>
      <c r="AC206" s="3" t="s">
        <v>180</v>
      </c>
      <c r="AD206" s="3" t="s">
        <v>180</v>
      </c>
    </row>
    <row r="207" spans="1:30" x14ac:dyDescent="0.4">
      <c r="A207" s="3">
        <f t="shared" si="6"/>
        <v>202</v>
      </c>
      <c r="B207" s="3">
        <f t="shared" si="7"/>
        <v>0</v>
      </c>
      <c r="C207" s="3" t="s">
        <v>3021</v>
      </c>
      <c r="D207" s="3" t="s">
        <v>409</v>
      </c>
      <c r="E207" s="40">
        <v>44729.070821759262</v>
      </c>
      <c r="F207" s="3" t="s">
        <v>179</v>
      </c>
      <c r="G207" s="3" t="s">
        <v>2571</v>
      </c>
      <c r="H207" s="40">
        <v>44728.953969907408</v>
      </c>
      <c r="I207" s="3">
        <v>0</v>
      </c>
      <c r="J207" s="3" t="s">
        <v>194</v>
      </c>
      <c r="K207" s="3" t="s">
        <v>410</v>
      </c>
      <c r="L207" s="3" t="s">
        <v>180</v>
      </c>
      <c r="M207" s="3" t="s">
        <v>2733</v>
      </c>
      <c r="N207" s="3" t="s">
        <v>181</v>
      </c>
      <c r="O207" s="3" t="s">
        <v>182</v>
      </c>
      <c r="P207" s="3"/>
      <c r="Q207" s="3" t="s">
        <v>86</v>
      </c>
      <c r="R207" s="3" t="s">
        <v>182</v>
      </c>
      <c r="S207" s="3" t="s">
        <v>182</v>
      </c>
      <c r="T207" s="3" t="s">
        <v>2561</v>
      </c>
      <c r="U207" s="3" t="s">
        <v>201</v>
      </c>
      <c r="V207" s="3" t="s">
        <v>180</v>
      </c>
      <c r="W207" s="3" t="s">
        <v>180</v>
      </c>
      <c r="X207" s="3" t="s">
        <v>180</v>
      </c>
      <c r="Y207" s="3" t="s">
        <v>180</v>
      </c>
      <c r="Z207" s="3" t="s">
        <v>180</v>
      </c>
      <c r="AA207" s="3" t="s">
        <v>180</v>
      </c>
      <c r="AB207" s="3" t="s">
        <v>180</v>
      </c>
      <c r="AC207" s="3" t="s">
        <v>180</v>
      </c>
      <c r="AD207" s="3" t="s">
        <v>180</v>
      </c>
    </row>
    <row r="208" spans="1:30" x14ac:dyDescent="0.4">
      <c r="A208" s="3">
        <f t="shared" si="6"/>
        <v>203</v>
      </c>
      <c r="B208" s="3">
        <f t="shared" si="7"/>
        <v>0</v>
      </c>
      <c r="C208" s="3" t="s">
        <v>3021</v>
      </c>
      <c r="D208" s="3" t="s">
        <v>409</v>
      </c>
      <c r="E208" s="40">
        <v>44729.052199074074</v>
      </c>
      <c r="F208" s="3" t="s">
        <v>179</v>
      </c>
      <c r="G208" s="3" t="s">
        <v>2571</v>
      </c>
      <c r="H208" s="40">
        <v>44728.953969907408</v>
      </c>
      <c r="I208" s="3">
        <v>0</v>
      </c>
      <c r="J208" s="3" t="s">
        <v>194</v>
      </c>
      <c r="K208" s="3" t="s">
        <v>410</v>
      </c>
      <c r="L208" s="3" t="s">
        <v>180</v>
      </c>
      <c r="M208" s="3" t="s">
        <v>2733</v>
      </c>
      <c r="N208" s="3" t="s">
        <v>181</v>
      </c>
      <c r="O208" s="3" t="s">
        <v>182</v>
      </c>
      <c r="P208" s="3"/>
      <c r="Q208" s="3" t="s">
        <v>86</v>
      </c>
      <c r="R208" s="3" t="s">
        <v>182</v>
      </c>
      <c r="S208" s="3" t="s">
        <v>182</v>
      </c>
      <c r="T208" s="3" t="s">
        <v>2561</v>
      </c>
      <c r="U208" s="3" t="s">
        <v>201</v>
      </c>
      <c r="V208" s="3" t="s">
        <v>180</v>
      </c>
      <c r="W208" s="3" t="s">
        <v>180</v>
      </c>
      <c r="X208" s="3" t="s">
        <v>180</v>
      </c>
      <c r="Y208" s="3" t="s">
        <v>180</v>
      </c>
      <c r="Z208" s="3" t="s">
        <v>180</v>
      </c>
      <c r="AA208" s="3" t="s">
        <v>180</v>
      </c>
      <c r="AB208" s="3" t="s">
        <v>180</v>
      </c>
      <c r="AC208" s="3" t="s">
        <v>180</v>
      </c>
      <c r="AD208" s="3" t="s">
        <v>180</v>
      </c>
    </row>
    <row r="209" spans="1:30" x14ac:dyDescent="0.4">
      <c r="A209" s="3">
        <f t="shared" si="6"/>
        <v>204</v>
      </c>
      <c r="B209" s="3">
        <f t="shared" si="7"/>
        <v>0</v>
      </c>
      <c r="C209" s="3" t="s">
        <v>3021</v>
      </c>
      <c r="D209" s="3" t="s">
        <v>409</v>
      </c>
      <c r="E209" s="40">
        <v>44729.073113425926</v>
      </c>
      <c r="F209" s="3" t="s">
        <v>179</v>
      </c>
      <c r="G209" s="3" t="s">
        <v>2571</v>
      </c>
      <c r="H209" s="40">
        <v>44728.953969907408</v>
      </c>
      <c r="I209" s="3">
        <v>0</v>
      </c>
      <c r="J209" s="3" t="s">
        <v>194</v>
      </c>
      <c r="K209" s="3" t="s">
        <v>410</v>
      </c>
      <c r="L209" s="3" t="s">
        <v>180</v>
      </c>
      <c r="M209" s="3" t="s">
        <v>2733</v>
      </c>
      <c r="N209" s="3" t="s">
        <v>181</v>
      </c>
      <c r="O209" s="3" t="s">
        <v>182</v>
      </c>
      <c r="P209" s="3"/>
      <c r="Q209" s="3" t="s">
        <v>86</v>
      </c>
      <c r="R209" s="3" t="s">
        <v>182</v>
      </c>
      <c r="S209" s="3" t="s">
        <v>182</v>
      </c>
      <c r="T209" s="3" t="s">
        <v>2561</v>
      </c>
      <c r="U209" s="3" t="s">
        <v>201</v>
      </c>
      <c r="V209" s="3" t="s">
        <v>180</v>
      </c>
      <c r="W209" s="3" t="s">
        <v>180</v>
      </c>
      <c r="X209" s="3" t="s">
        <v>180</v>
      </c>
      <c r="Y209" s="3" t="s">
        <v>180</v>
      </c>
      <c r="Z209" s="3" t="s">
        <v>180</v>
      </c>
      <c r="AA209" s="3" t="s">
        <v>180</v>
      </c>
      <c r="AB209" s="3" t="s">
        <v>180</v>
      </c>
      <c r="AC209" s="3" t="s">
        <v>180</v>
      </c>
      <c r="AD209" s="3" t="s">
        <v>180</v>
      </c>
    </row>
    <row r="210" spans="1:30" x14ac:dyDescent="0.4">
      <c r="A210" s="3">
        <f t="shared" si="6"/>
        <v>205</v>
      </c>
      <c r="B210" s="3">
        <f t="shared" si="7"/>
        <v>0</v>
      </c>
      <c r="C210" s="3" t="s">
        <v>3021</v>
      </c>
      <c r="D210" s="3" t="s">
        <v>409</v>
      </c>
      <c r="E210" s="40">
        <v>44729.053032407406</v>
      </c>
      <c r="F210" s="3" t="s">
        <v>179</v>
      </c>
      <c r="G210" s="3" t="s">
        <v>2571</v>
      </c>
      <c r="H210" s="40">
        <v>44728.953969907408</v>
      </c>
      <c r="I210" s="3">
        <v>0</v>
      </c>
      <c r="J210" s="3" t="s">
        <v>194</v>
      </c>
      <c r="K210" s="3" t="s">
        <v>410</v>
      </c>
      <c r="L210" s="3" t="s">
        <v>180</v>
      </c>
      <c r="M210" s="3" t="s">
        <v>2733</v>
      </c>
      <c r="N210" s="3" t="s">
        <v>181</v>
      </c>
      <c r="O210" s="3" t="s">
        <v>182</v>
      </c>
      <c r="P210" s="3"/>
      <c r="Q210" s="3" t="s">
        <v>86</v>
      </c>
      <c r="R210" s="3" t="s">
        <v>182</v>
      </c>
      <c r="S210" s="3" t="s">
        <v>182</v>
      </c>
      <c r="T210" s="3" t="s">
        <v>2561</v>
      </c>
      <c r="U210" s="3" t="s">
        <v>209</v>
      </c>
      <c r="V210" s="42">
        <v>0.375</v>
      </c>
      <c r="W210" s="43">
        <v>42005</v>
      </c>
      <c r="X210" s="3" t="s">
        <v>180</v>
      </c>
      <c r="Y210" s="3" t="s">
        <v>180</v>
      </c>
      <c r="Z210" s="3" t="s">
        <v>180</v>
      </c>
      <c r="AA210" s="3" t="s">
        <v>375</v>
      </c>
      <c r="AB210" s="3" t="s">
        <v>2734</v>
      </c>
      <c r="AC210" s="3" t="s">
        <v>182</v>
      </c>
      <c r="AD210" s="3" t="s">
        <v>182</v>
      </c>
    </row>
    <row r="211" spans="1:30" x14ac:dyDescent="0.4">
      <c r="A211" s="3">
        <f t="shared" si="6"/>
        <v>206</v>
      </c>
      <c r="B211" s="3">
        <f t="shared" si="7"/>
        <v>0</v>
      </c>
      <c r="C211" s="3" t="s">
        <v>3021</v>
      </c>
      <c r="D211" s="3" t="s">
        <v>411</v>
      </c>
      <c r="E211" s="3" t="s">
        <v>180</v>
      </c>
      <c r="F211" s="3" t="s">
        <v>179</v>
      </c>
      <c r="G211" s="3" t="s">
        <v>187</v>
      </c>
      <c r="H211" s="40">
        <v>36494</v>
      </c>
      <c r="I211" s="3">
        <v>267011</v>
      </c>
      <c r="J211" s="3" t="s">
        <v>194</v>
      </c>
      <c r="K211" s="3" t="s">
        <v>412</v>
      </c>
      <c r="L211" s="3" t="s">
        <v>180</v>
      </c>
      <c r="M211" s="3" t="s">
        <v>2735</v>
      </c>
      <c r="N211" s="3" t="s">
        <v>181</v>
      </c>
      <c r="O211" s="3" t="s">
        <v>182</v>
      </c>
      <c r="P211" s="3"/>
      <c r="Q211" s="3" t="s">
        <v>86</v>
      </c>
      <c r="R211" s="3" t="s">
        <v>182</v>
      </c>
      <c r="S211" s="41">
        <v>3</v>
      </c>
      <c r="T211" s="3" t="s">
        <v>2736</v>
      </c>
      <c r="U211" s="3" t="s">
        <v>242</v>
      </c>
      <c r="V211" s="3" t="s">
        <v>180</v>
      </c>
      <c r="W211" s="3" t="s">
        <v>180</v>
      </c>
      <c r="X211" s="3" t="s">
        <v>180</v>
      </c>
      <c r="Y211" s="3" t="s">
        <v>180</v>
      </c>
      <c r="Z211" s="3" t="s">
        <v>180</v>
      </c>
      <c r="AA211" s="3" t="s">
        <v>180</v>
      </c>
      <c r="AB211" s="3" t="s">
        <v>180</v>
      </c>
      <c r="AC211" s="3" t="s">
        <v>180</v>
      </c>
      <c r="AD211" s="3" t="s">
        <v>180</v>
      </c>
    </row>
    <row r="212" spans="1:30" x14ac:dyDescent="0.4">
      <c r="A212" s="3">
        <f t="shared" si="6"/>
        <v>207</v>
      </c>
      <c r="B212" s="3">
        <f t="shared" si="7"/>
        <v>0</v>
      </c>
      <c r="C212" s="3" t="s">
        <v>3021</v>
      </c>
      <c r="D212" s="3" t="s">
        <v>413</v>
      </c>
      <c r="E212" s="3" t="s">
        <v>180</v>
      </c>
      <c r="F212" s="3" t="s">
        <v>179</v>
      </c>
      <c r="G212" s="3" t="s">
        <v>187</v>
      </c>
      <c r="H212" s="40">
        <v>36494</v>
      </c>
      <c r="I212" s="3">
        <v>267011</v>
      </c>
      <c r="J212" s="3" t="s">
        <v>194</v>
      </c>
      <c r="K212" s="3" t="s">
        <v>414</v>
      </c>
      <c r="L212" s="3" t="s">
        <v>180</v>
      </c>
      <c r="M212" s="3" t="s">
        <v>2737</v>
      </c>
      <c r="N212" s="3" t="s">
        <v>181</v>
      </c>
      <c r="O212" s="3" t="s">
        <v>182</v>
      </c>
      <c r="P212" s="3"/>
      <c r="Q212" s="3" t="s">
        <v>300</v>
      </c>
      <c r="R212" s="3" t="s">
        <v>182</v>
      </c>
      <c r="S212" s="41">
        <v>3</v>
      </c>
      <c r="T212" s="3" t="s">
        <v>2561</v>
      </c>
      <c r="U212" s="3" t="s">
        <v>242</v>
      </c>
      <c r="V212" s="3" t="s">
        <v>180</v>
      </c>
      <c r="W212" s="3" t="s">
        <v>180</v>
      </c>
      <c r="X212" s="3" t="s">
        <v>180</v>
      </c>
      <c r="Y212" s="3" t="s">
        <v>180</v>
      </c>
      <c r="Z212" s="3" t="s">
        <v>180</v>
      </c>
      <c r="AA212" s="3" t="s">
        <v>180</v>
      </c>
      <c r="AB212" s="3" t="s">
        <v>180</v>
      </c>
      <c r="AC212" s="3" t="s">
        <v>180</v>
      </c>
      <c r="AD212" s="3" t="s">
        <v>180</v>
      </c>
    </row>
    <row r="213" spans="1:30" x14ac:dyDescent="0.4">
      <c r="A213" s="3">
        <f t="shared" si="6"/>
        <v>208</v>
      </c>
      <c r="B213" s="3">
        <f t="shared" si="7"/>
        <v>0</v>
      </c>
      <c r="C213" s="3" t="s">
        <v>3021</v>
      </c>
      <c r="D213" s="3" t="s">
        <v>415</v>
      </c>
      <c r="E213" s="3" t="s">
        <v>180</v>
      </c>
      <c r="F213" s="3" t="s">
        <v>179</v>
      </c>
      <c r="G213" s="3" t="s">
        <v>187</v>
      </c>
      <c r="H213" s="40">
        <v>44710.611041666663</v>
      </c>
      <c r="I213" s="3">
        <v>0</v>
      </c>
      <c r="J213" s="3" t="s">
        <v>194</v>
      </c>
      <c r="K213" s="3" t="s">
        <v>2568</v>
      </c>
      <c r="L213" s="3" t="s">
        <v>180</v>
      </c>
      <c r="M213" s="3" t="s">
        <v>416</v>
      </c>
      <c r="N213" s="3" t="s">
        <v>181</v>
      </c>
      <c r="O213" s="3" t="s">
        <v>2645</v>
      </c>
      <c r="P213" s="3"/>
      <c r="Q213" s="3" t="s">
        <v>268</v>
      </c>
      <c r="R213" s="3" t="s">
        <v>182</v>
      </c>
      <c r="S213" s="3" t="s">
        <v>182</v>
      </c>
      <c r="T213" s="3" t="s">
        <v>2561</v>
      </c>
      <c r="U213" s="3" t="s">
        <v>196</v>
      </c>
      <c r="V213" s="3" t="s">
        <v>180</v>
      </c>
      <c r="W213" s="3" t="s">
        <v>180</v>
      </c>
      <c r="X213" s="3" t="s">
        <v>180</v>
      </c>
      <c r="Y213" s="3" t="s">
        <v>180</v>
      </c>
      <c r="Z213" s="3" t="s">
        <v>180</v>
      </c>
      <c r="AA213" s="3" t="s">
        <v>180</v>
      </c>
      <c r="AB213" s="3" t="s">
        <v>180</v>
      </c>
      <c r="AC213" s="3" t="s">
        <v>180</v>
      </c>
      <c r="AD213" s="3" t="s">
        <v>180</v>
      </c>
    </row>
    <row r="214" spans="1:30" x14ac:dyDescent="0.4">
      <c r="A214" s="3">
        <f t="shared" si="6"/>
        <v>209</v>
      </c>
      <c r="B214" s="3">
        <f t="shared" si="7"/>
        <v>0</v>
      </c>
      <c r="C214" s="3" t="s">
        <v>3021</v>
      </c>
      <c r="D214" s="3" t="s">
        <v>415</v>
      </c>
      <c r="E214" s="3" t="s">
        <v>180</v>
      </c>
      <c r="F214" s="3" t="s">
        <v>179</v>
      </c>
      <c r="G214" s="3" t="s">
        <v>187</v>
      </c>
      <c r="H214" s="40">
        <v>44710.611041666663</v>
      </c>
      <c r="I214" s="3">
        <v>0</v>
      </c>
      <c r="J214" s="3" t="s">
        <v>194</v>
      </c>
      <c r="K214" s="3" t="s">
        <v>2568</v>
      </c>
      <c r="L214" s="3" t="s">
        <v>180</v>
      </c>
      <c r="M214" s="3" t="s">
        <v>416</v>
      </c>
      <c r="N214" s="3" t="s">
        <v>181</v>
      </c>
      <c r="O214" s="3" t="s">
        <v>2645</v>
      </c>
      <c r="P214" s="3"/>
      <c r="Q214" s="3" t="s">
        <v>268</v>
      </c>
      <c r="R214" s="3" t="s">
        <v>182</v>
      </c>
      <c r="S214" s="3" t="s">
        <v>182</v>
      </c>
      <c r="T214" s="3" t="s">
        <v>2561</v>
      </c>
      <c r="U214" s="3" t="s">
        <v>242</v>
      </c>
      <c r="V214" s="3" t="s">
        <v>180</v>
      </c>
      <c r="W214" s="3" t="s">
        <v>180</v>
      </c>
      <c r="X214" s="3" t="s">
        <v>180</v>
      </c>
      <c r="Y214" s="3" t="s">
        <v>180</v>
      </c>
      <c r="Z214" s="3" t="s">
        <v>180</v>
      </c>
      <c r="AA214" s="3" t="s">
        <v>180</v>
      </c>
      <c r="AB214" s="3" t="s">
        <v>180</v>
      </c>
      <c r="AC214" s="3" t="s">
        <v>180</v>
      </c>
      <c r="AD214" s="3" t="s">
        <v>180</v>
      </c>
    </row>
    <row r="215" spans="1:30" x14ac:dyDescent="0.4">
      <c r="A215" s="3">
        <f t="shared" si="6"/>
        <v>210</v>
      </c>
      <c r="B215" s="3">
        <f t="shared" si="7"/>
        <v>0</v>
      </c>
      <c r="C215" s="3" t="s">
        <v>3021</v>
      </c>
      <c r="D215" s="3" t="s">
        <v>417</v>
      </c>
      <c r="E215" s="40">
        <v>44729.689583333333</v>
      </c>
      <c r="F215" s="3" t="s">
        <v>179</v>
      </c>
      <c r="G215" s="3" t="s">
        <v>2567</v>
      </c>
      <c r="H215" s="40">
        <v>44728.953969907408</v>
      </c>
      <c r="I215" s="3">
        <v>1056</v>
      </c>
      <c r="J215" s="3" t="s">
        <v>418</v>
      </c>
      <c r="K215" s="3" t="s">
        <v>419</v>
      </c>
      <c r="L215" s="3" t="s">
        <v>180</v>
      </c>
      <c r="M215" s="3" t="s">
        <v>2738</v>
      </c>
      <c r="N215" s="3" t="s">
        <v>181</v>
      </c>
      <c r="O215" s="3" t="s">
        <v>182</v>
      </c>
      <c r="P215" s="3"/>
      <c r="Q215" s="3" t="s">
        <v>86</v>
      </c>
      <c r="R215" s="3" t="s">
        <v>182</v>
      </c>
      <c r="S215" s="41">
        <v>3</v>
      </c>
      <c r="T215" s="3" t="s">
        <v>2561</v>
      </c>
      <c r="U215" s="3" t="s">
        <v>288</v>
      </c>
      <c r="V215" s="42">
        <v>0.68958333333333333</v>
      </c>
      <c r="W215" s="43">
        <v>44729</v>
      </c>
      <c r="X215" s="3" t="s">
        <v>180</v>
      </c>
      <c r="Y215" s="3" t="s">
        <v>180</v>
      </c>
      <c r="Z215" s="3" t="s">
        <v>180</v>
      </c>
      <c r="AA215" s="3" t="s">
        <v>182</v>
      </c>
      <c r="AB215" s="3" t="s">
        <v>182</v>
      </c>
      <c r="AC215" s="3" t="s">
        <v>182</v>
      </c>
      <c r="AD215" s="3" t="s">
        <v>182</v>
      </c>
    </row>
    <row r="216" spans="1:30" x14ac:dyDescent="0.4">
      <c r="A216" s="3">
        <f t="shared" si="6"/>
        <v>211</v>
      </c>
      <c r="B216" s="3">
        <f t="shared" si="7"/>
        <v>0</v>
      </c>
      <c r="C216" s="3" t="s">
        <v>3021</v>
      </c>
      <c r="D216" s="3" t="s">
        <v>417</v>
      </c>
      <c r="E216" s="40">
        <v>44729.689826388887</v>
      </c>
      <c r="F216" s="3" t="s">
        <v>179</v>
      </c>
      <c r="G216" s="3" t="s">
        <v>2567</v>
      </c>
      <c r="H216" s="40">
        <v>44728.953969907408</v>
      </c>
      <c r="I216" s="3">
        <v>1056</v>
      </c>
      <c r="J216" s="3" t="s">
        <v>418</v>
      </c>
      <c r="K216" s="3" t="s">
        <v>419</v>
      </c>
      <c r="L216" s="3" t="s">
        <v>180</v>
      </c>
      <c r="M216" s="3" t="s">
        <v>2738</v>
      </c>
      <c r="N216" s="3" t="s">
        <v>181</v>
      </c>
      <c r="O216" s="3" t="s">
        <v>182</v>
      </c>
      <c r="P216" s="3"/>
      <c r="Q216" s="3" t="s">
        <v>86</v>
      </c>
      <c r="R216" s="3" t="s">
        <v>182</v>
      </c>
      <c r="S216" s="41">
        <v>3</v>
      </c>
      <c r="T216" s="3" t="s">
        <v>2561</v>
      </c>
      <c r="U216" s="3" t="s">
        <v>242</v>
      </c>
      <c r="V216" s="3" t="s">
        <v>180</v>
      </c>
      <c r="W216" s="3" t="s">
        <v>180</v>
      </c>
      <c r="X216" s="3" t="s">
        <v>180</v>
      </c>
      <c r="Y216" s="3" t="s">
        <v>180</v>
      </c>
      <c r="Z216" s="3" t="s">
        <v>180</v>
      </c>
      <c r="AA216" s="3" t="s">
        <v>180</v>
      </c>
      <c r="AB216" s="3" t="s">
        <v>180</v>
      </c>
      <c r="AC216" s="3" t="s">
        <v>180</v>
      </c>
      <c r="AD216" s="3" t="s">
        <v>180</v>
      </c>
    </row>
    <row r="217" spans="1:30" x14ac:dyDescent="0.4">
      <c r="A217" s="3">
        <f t="shared" si="6"/>
        <v>212</v>
      </c>
      <c r="B217" s="3">
        <f t="shared" si="7"/>
        <v>0</v>
      </c>
      <c r="C217" s="3" t="s">
        <v>3021</v>
      </c>
      <c r="D217" s="3" t="s">
        <v>417</v>
      </c>
      <c r="E217" s="40">
        <v>44729.689745370371</v>
      </c>
      <c r="F217" s="3" t="s">
        <v>179</v>
      </c>
      <c r="G217" s="3" t="s">
        <v>2567</v>
      </c>
      <c r="H217" s="40">
        <v>44728.953969907408</v>
      </c>
      <c r="I217" s="3">
        <v>1056</v>
      </c>
      <c r="J217" s="3" t="s">
        <v>418</v>
      </c>
      <c r="K217" s="3" t="s">
        <v>419</v>
      </c>
      <c r="L217" s="3" t="s">
        <v>180</v>
      </c>
      <c r="M217" s="3" t="s">
        <v>2738</v>
      </c>
      <c r="N217" s="3" t="s">
        <v>181</v>
      </c>
      <c r="O217" s="3" t="s">
        <v>182</v>
      </c>
      <c r="P217" s="3"/>
      <c r="Q217" s="3" t="s">
        <v>86</v>
      </c>
      <c r="R217" s="3" t="s">
        <v>182</v>
      </c>
      <c r="S217" s="41">
        <v>3</v>
      </c>
      <c r="T217" s="3" t="s">
        <v>2561</v>
      </c>
      <c r="U217" s="3" t="s">
        <v>242</v>
      </c>
      <c r="V217" s="3" t="s">
        <v>180</v>
      </c>
      <c r="W217" s="3" t="s">
        <v>180</v>
      </c>
      <c r="X217" s="3" t="s">
        <v>180</v>
      </c>
      <c r="Y217" s="3" t="s">
        <v>180</v>
      </c>
      <c r="Z217" s="3" t="s">
        <v>180</v>
      </c>
      <c r="AA217" s="3" t="s">
        <v>180</v>
      </c>
      <c r="AB217" s="3" t="s">
        <v>180</v>
      </c>
      <c r="AC217" s="3" t="s">
        <v>180</v>
      </c>
      <c r="AD217" s="3" t="s">
        <v>180</v>
      </c>
    </row>
    <row r="218" spans="1:30" x14ac:dyDescent="0.4">
      <c r="A218" s="3">
        <f t="shared" si="6"/>
        <v>213</v>
      </c>
      <c r="B218" s="3">
        <f t="shared" si="7"/>
        <v>0</v>
      </c>
      <c r="C218" s="3" t="s">
        <v>3021</v>
      </c>
      <c r="D218" s="3" t="s">
        <v>417</v>
      </c>
      <c r="E218" s="40">
        <v>44729.69017361111</v>
      </c>
      <c r="F218" s="3" t="s">
        <v>179</v>
      </c>
      <c r="G218" s="3" t="s">
        <v>2567</v>
      </c>
      <c r="H218" s="40">
        <v>44728.953969907408</v>
      </c>
      <c r="I218" s="3">
        <v>1056</v>
      </c>
      <c r="J218" s="3" t="s">
        <v>418</v>
      </c>
      <c r="K218" s="3" t="s">
        <v>419</v>
      </c>
      <c r="L218" s="3" t="s">
        <v>180</v>
      </c>
      <c r="M218" s="3" t="s">
        <v>2738</v>
      </c>
      <c r="N218" s="3" t="s">
        <v>181</v>
      </c>
      <c r="O218" s="3" t="s">
        <v>182</v>
      </c>
      <c r="P218" s="3"/>
      <c r="Q218" s="3" t="s">
        <v>86</v>
      </c>
      <c r="R218" s="3" t="s">
        <v>182</v>
      </c>
      <c r="S218" s="41">
        <v>3</v>
      </c>
      <c r="T218" s="3" t="s">
        <v>2561</v>
      </c>
      <c r="U218" s="3" t="s">
        <v>201</v>
      </c>
      <c r="V218" s="3" t="s">
        <v>180</v>
      </c>
      <c r="W218" s="3" t="s">
        <v>180</v>
      </c>
      <c r="X218" s="3" t="s">
        <v>180</v>
      </c>
      <c r="Y218" s="3" t="s">
        <v>180</v>
      </c>
      <c r="Z218" s="3" t="s">
        <v>180</v>
      </c>
      <c r="AA218" s="3" t="s">
        <v>180</v>
      </c>
      <c r="AB218" s="3" t="s">
        <v>180</v>
      </c>
      <c r="AC218" s="3" t="s">
        <v>180</v>
      </c>
      <c r="AD218" s="3" t="s">
        <v>180</v>
      </c>
    </row>
    <row r="219" spans="1:30" x14ac:dyDescent="0.4">
      <c r="A219" s="3">
        <f t="shared" si="6"/>
        <v>214</v>
      </c>
      <c r="B219" s="3">
        <f t="shared" si="7"/>
        <v>0</v>
      </c>
      <c r="C219" s="3" t="s">
        <v>3021</v>
      </c>
      <c r="D219" s="3" t="s">
        <v>420</v>
      </c>
      <c r="E219" s="3" t="s">
        <v>180</v>
      </c>
      <c r="F219" s="3" t="s">
        <v>421</v>
      </c>
      <c r="G219" s="3" t="s">
        <v>187</v>
      </c>
      <c r="H219" s="40">
        <v>44710.611041666663</v>
      </c>
      <c r="I219" s="3">
        <v>267009</v>
      </c>
      <c r="J219" s="3" t="s">
        <v>235</v>
      </c>
      <c r="K219" s="3" t="s">
        <v>2568</v>
      </c>
      <c r="L219" s="3" t="s">
        <v>180</v>
      </c>
      <c r="M219" s="3" t="s">
        <v>422</v>
      </c>
      <c r="N219" s="3" t="s">
        <v>181</v>
      </c>
      <c r="O219" s="3" t="s">
        <v>182</v>
      </c>
      <c r="P219" s="3"/>
      <c r="Q219" s="3" t="s">
        <v>268</v>
      </c>
      <c r="R219" s="3" t="s">
        <v>182</v>
      </c>
      <c r="S219" s="3" t="s">
        <v>182</v>
      </c>
      <c r="T219" s="3" t="s">
        <v>2561</v>
      </c>
      <c r="U219" s="3" t="s">
        <v>196</v>
      </c>
      <c r="V219" s="3" t="s">
        <v>180</v>
      </c>
      <c r="W219" s="3" t="s">
        <v>180</v>
      </c>
      <c r="X219" s="3" t="s">
        <v>180</v>
      </c>
      <c r="Y219" s="3" t="s">
        <v>180</v>
      </c>
      <c r="Z219" s="3" t="s">
        <v>180</v>
      </c>
      <c r="AA219" s="3" t="s">
        <v>180</v>
      </c>
      <c r="AB219" s="3" t="s">
        <v>180</v>
      </c>
      <c r="AC219" s="3" t="s">
        <v>180</v>
      </c>
      <c r="AD219" s="3" t="s">
        <v>180</v>
      </c>
    </row>
    <row r="220" spans="1:30" x14ac:dyDescent="0.4">
      <c r="A220" s="3">
        <f t="shared" si="6"/>
        <v>215</v>
      </c>
      <c r="B220" s="3">
        <f t="shared" si="7"/>
        <v>0</v>
      </c>
      <c r="C220" s="3" t="s">
        <v>3021</v>
      </c>
      <c r="D220" s="3" t="s">
        <v>423</v>
      </c>
      <c r="E220" s="3" t="s">
        <v>180</v>
      </c>
      <c r="F220" s="3" t="s">
        <v>182</v>
      </c>
      <c r="G220" s="3" t="s">
        <v>187</v>
      </c>
      <c r="H220" s="40">
        <v>36494</v>
      </c>
      <c r="I220" s="3">
        <v>267011</v>
      </c>
      <c r="J220" s="3" t="s">
        <v>180</v>
      </c>
      <c r="K220" s="3" t="s">
        <v>424</v>
      </c>
      <c r="L220" s="3" t="s">
        <v>180</v>
      </c>
      <c r="M220" s="3" t="s">
        <v>2739</v>
      </c>
      <c r="N220" s="3" t="s">
        <v>182</v>
      </c>
      <c r="O220" s="3" t="s">
        <v>182</v>
      </c>
      <c r="P220" s="3"/>
      <c r="Q220" s="3" t="s">
        <v>86</v>
      </c>
      <c r="R220" s="3" t="s">
        <v>182</v>
      </c>
      <c r="S220" s="42">
        <v>3.472222222222222E-3</v>
      </c>
      <c r="T220" s="3" t="s">
        <v>2561</v>
      </c>
      <c r="U220" s="3" t="s">
        <v>196</v>
      </c>
      <c r="V220" s="3" t="s">
        <v>180</v>
      </c>
      <c r="W220" s="3" t="s">
        <v>180</v>
      </c>
      <c r="X220" s="3" t="s">
        <v>180</v>
      </c>
      <c r="Y220" s="3" t="s">
        <v>180</v>
      </c>
      <c r="Z220" s="3" t="s">
        <v>180</v>
      </c>
      <c r="AA220" s="3" t="s">
        <v>180</v>
      </c>
      <c r="AB220" s="3" t="s">
        <v>180</v>
      </c>
      <c r="AC220" s="3" t="s">
        <v>180</v>
      </c>
      <c r="AD220" s="3" t="s">
        <v>180</v>
      </c>
    </row>
    <row r="221" spans="1:30" x14ac:dyDescent="0.4">
      <c r="A221" s="3">
        <f t="shared" si="6"/>
        <v>216</v>
      </c>
      <c r="B221" s="3">
        <f t="shared" si="7"/>
        <v>0</v>
      </c>
      <c r="C221" s="3" t="s">
        <v>3021</v>
      </c>
      <c r="D221" s="3" t="s">
        <v>423</v>
      </c>
      <c r="E221" s="3" t="s">
        <v>180</v>
      </c>
      <c r="F221" s="3" t="s">
        <v>182</v>
      </c>
      <c r="G221" s="3" t="s">
        <v>187</v>
      </c>
      <c r="H221" s="40">
        <v>36494</v>
      </c>
      <c r="I221" s="3">
        <v>267011</v>
      </c>
      <c r="J221" s="3" t="s">
        <v>180</v>
      </c>
      <c r="K221" s="3" t="s">
        <v>424</v>
      </c>
      <c r="L221" s="3" t="s">
        <v>180</v>
      </c>
      <c r="M221" s="3" t="s">
        <v>2739</v>
      </c>
      <c r="N221" s="3" t="s">
        <v>182</v>
      </c>
      <c r="O221" s="3" t="s">
        <v>182</v>
      </c>
      <c r="P221" s="3"/>
      <c r="Q221" s="3" t="s">
        <v>86</v>
      </c>
      <c r="R221" s="3" t="s">
        <v>182</v>
      </c>
      <c r="S221" s="42">
        <v>3.472222222222222E-3</v>
      </c>
      <c r="T221" s="3" t="s">
        <v>2561</v>
      </c>
      <c r="U221" s="3" t="s">
        <v>242</v>
      </c>
      <c r="V221" s="3" t="s">
        <v>180</v>
      </c>
      <c r="W221" s="3" t="s">
        <v>180</v>
      </c>
      <c r="X221" s="3" t="s">
        <v>180</v>
      </c>
      <c r="Y221" s="3" t="s">
        <v>180</v>
      </c>
      <c r="Z221" s="3" t="s">
        <v>180</v>
      </c>
      <c r="AA221" s="3" t="s">
        <v>180</v>
      </c>
      <c r="AB221" s="3" t="s">
        <v>180</v>
      </c>
      <c r="AC221" s="3" t="s">
        <v>180</v>
      </c>
      <c r="AD221" s="3" t="s">
        <v>180</v>
      </c>
    </row>
    <row r="222" spans="1:30" x14ac:dyDescent="0.4">
      <c r="A222" s="3">
        <f t="shared" si="6"/>
        <v>217</v>
      </c>
      <c r="B222" s="3">
        <f t="shared" si="7"/>
        <v>0</v>
      </c>
      <c r="C222" s="3" t="s">
        <v>3021</v>
      </c>
      <c r="D222" s="3" t="s">
        <v>2740</v>
      </c>
      <c r="E222" s="3" t="s">
        <v>180</v>
      </c>
      <c r="F222" s="3" t="s">
        <v>182</v>
      </c>
      <c r="G222" s="3" t="s">
        <v>187</v>
      </c>
      <c r="H222" s="40">
        <v>36494</v>
      </c>
      <c r="I222" s="3">
        <v>267011</v>
      </c>
      <c r="J222" s="3" t="s">
        <v>194</v>
      </c>
      <c r="K222" s="3" t="s">
        <v>2568</v>
      </c>
      <c r="L222" s="3" t="s">
        <v>180</v>
      </c>
      <c r="M222" s="3" t="s">
        <v>2741</v>
      </c>
      <c r="N222" s="3" t="s">
        <v>182</v>
      </c>
      <c r="O222" s="3" t="s">
        <v>2619</v>
      </c>
      <c r="P222" s="3"/>
      <c r="Q222" s="3" t="s">
        <v>86</v>
      </c>
      <c r="R222" s="3" t="s">
        <v>182</v>
      </c>
      <c r="S222" s="42">
        <v>6.9444444444444441E-3</v>
      </c>
      <c r="T222" s="3" t="s">
        <v>2561</v>
      </c>
      <c r="U222" s="3" t="s">
        <v>201</v>
      </c>
      <c r="V222" s="3" t="s">
        <v>180</v>
      </c>
      <c r="W222" s="3" t="s">
        <v>180</v>
      </c>
      <c r="X222" s="3" t="s">
        <v>180</v>
      </c>
      <c r="Y222" s="3" t="s">
        <v>180</v>
      </c>
      <c r="Z222" s="3" t="s">
        <v>180</v>
      </c>
      <c r="AA222" s="3" t="s">
        <v>180</v>
      </c>
      <c r="AB222" s="3" t="s">
        <v>180</v>
      </c>
      <c r="AC222" s="3" t="s">
        <v>180</v>
      </c>
      <c r="AD222" s="3" t="s">
        <v>180</v>
      </c>
    </row>
    <row r="223" spans="1:30" x14ac:dyDescent="0.4">
      <c r="A223" s="3">
        <f t="shared" si="6"/>
        <v>218</v>
      </c>
      <c r="B223" s="3">
        <f t="shared" si="7"/>
        <v>0</v>
      </c>
      <c r="C223" s="3" t="s">
        <v>3021</v>
      </c>
      <c r="D223" s="3" t="s">
        <v>425</v>
      </c>
      <c r="E223" s="3" t="s">
        <v>180</v>
      </c>
      <c r="F223" s="3" t="s">
        <v>182</v>
      </c>
      <c r="G223" s="3" t="s">
        <v>187</v>
      </c>
      <c r="H223" s="40">
        <v>36494</v>
      </c>
      <c r="I223" s="3">
        <v>267011</v>
      </c>
      <c r="J223" s="3" t="s">
        <v>180</v>
      </c>
      <c r="K223" s="3" t="s">
        <v>426</v>
      </c>
      <c r="L223" s="3" t="s">
        <v>180</v>
      </c>
      <c r="M223" s="3" t="s">
        <v>427</v>
      </c>
      <c r="N223" s="3" t="s">
        <v>182</v>
      </c>
      <c r="O223" s="3" t="s">
        <v>182</v>
      </c>
      <c r="P223" s="3"/>
      <c r="Q223" s="3" t="s">
        <v>216</v>
      </c>
      <c r="R223" s="3" t="s">
        <v>182</v>
      </c>
      <c r="S223" s="42">
        <v>8.3333333333333329E-2</v>
      </c>
      <c r="T223" s="3" t="s">
        <v>2561</v>
      </c>
      <c r="U223" s="3" t="s">
        <v>196</v>
      </c>
      <c r="V223" s="3" t="s">
        <v>180</v>
      </c>
      <c r="W223" s="3" t="s">
        <v>180</v>
      </c>
      <c r="X223" s="3" t="s">
        <v>180</v>
      </c>
      <c r="Y223" s="3" t="s">
        <v>180</v>
      </c>
      <c r="Z223" s="3" t="s">
        <v>180</v>
      </c>
      <c r="AA223" s="3" t="s">
        <v>180</v>
      </c>
      <c r="AB223" s="3" t="s">
        <v>180</v>
      </c>
      <c r="AC223" s="3" t="s">
        <v>180</v>
      </c>
      <c r="AD223" s="3" t="s">
        <v>180</v>
      </c>
    </row>
    <row r="224" spans="1:30" x14ac:dyDescent="0.4">
      <c r="A224" s="3">
        <f t="shared" si="6"/>
        <v>219</v>
      </c>
      <c r="B224" s="3">
        <f t="shared" si="7"/>
        <v>0</v>
      </c>
      <c r="C224" s="3" t="s">
        <v>3021</v>
      </c>
      <c r="D224" s="3" t="s">
        <v>425</v>
      </c>
      <c r="E224" s="3" t="s">
        <v>180</v>
      </c>
      <c r="F224" s="3" t="s">
        <v>182</v>
      </c>
      <c r="G224" s="3" t="s">
        <v>187</v>
      </c>
      <c r="H224" s="40">
        <v>36494</v>
      </c>
      <c r="I224" s="3">
        <v>267011</v>
      </c>
      <c r="J224" s="3" t="s">
        <v>180</v>
      </c>
      <c r="K224" s="3" t="s">
        <v>426</v>
      </c>
      <c r="L224" s="3" t="s">
        <v>180</v>
      </c>
      <c r="M224" s="3" t="s">
        <v>427</v>
      </c>
      <c r="N224" s="3" t="s">
        <v>182</v>
      </c>
      <c r="O224" s="3" t="s">
        <v>182</v>
      </c>
      <c r="P224" s="3"/>
      <c r="Q224" s="3" t="s">
        <v>216</v>
      </c>
      <c r="R224" s="3" t="s">
        <v>182</v>
      </c>
      <c r="S224" s="42">
        <v>8.3333333333333329E-2</v>
      </c>
      <c r="T224" s="3" t="s">
        <v>2561</v>
      </c>
      <c r="U224" s="3" t="s">
        <v>242</v>
      </c>
      <c r="V224" s="3" t="s">
        <v>180</v>
      </c>
      <c r="W224" s="3" t="s">
        <v>180</v>
      </c>
      <c r="X224" s="3" t="s">
        <v>180</v>
      </c>
      <c r="Y224" s="3" t="s">
        <v>180</v>
      </c>
      <c r="Z224" s="3" t="s">
        <v>180</v>
      </c>
      <c r="AA224" s="3" t="s">
        <v>180</v>
      </c>
      <c r="AB224" s="3" t="s">
        <v>180</v>
      </c>
      <c r="AC224" s="3" t="s">
        <v>180</v>
      </c>
      <c r="AD224" s="3" t="s">
        <v>180</v>
      </c>
    </row>
    <row r="225" spans="1:30" x14ac:dyDescent="0.4">
      <c r="A225" s="3">
        <f t="shared" si="6"/>
        <v>220</v>
      </c>
      <c r="B225" s="3">
        <f t="shared" si="7"/>
        <v>0</v>
      </c>
      <c r="C225" s="3" t="s">
        <v>3021</v>
      </c>
      <c r="D225" s="3" t="s">
        <v>2742</v>
      </c>
      <c r="E225" s="3" t="s">
        <v>180</v>
      </c>
      <c r="F225" s="3" t="s">
        <v>179</v>
      </c>
      <c r="G225" s="3" t="s">
        <v>187</v>
      </c>
      <c r="H225" s="40">
        <v>44710.610254629632</v>
      </c>
      <c r="I225" s="3">
        <v>0</v>
      </c>
      <c r="J225" s="3" t="s">
        <v>180</v>
      </c>
      <c r="K225" s="3" t="s">
        <v>2568</v>
      </c>
      <c r="L225" s="3" t="s">
        <v>180</v>
      </c>
      <c r="M225" s="3" t="s">
        <v>180</v>
      </c>
      <c r="N225" s="3" t="s">
        <v>181</v>
      </c>
      <c r="O225" s="3" t="s">
        <v>182</v>
      </c>
      <c r="P225" s="3"/>
      <c r="Q225" s="3" t="s">
        <v>86</v>
      </c>
      <c r="R225" s="3" t="s">
        <v>182</v>
      </c>
      <c r="S225" s="42">
        <v>4.1666666666666664E-2</v>
      </c>
      <c r="T225" s="3" t="s">
        <v>2561</v>
      </c>
      <c r="U225" s="3" t="s">
        <v>201</v>
      </c>
      <c r="V225" s="3" t="s">
        <v>180</v>
      </c>
      <c r="W225" s="3" t="s">
        <v>180</v>
      </c>
      <c r="X225" s="3" t="s">
        <v>180</v>
      </c>
      <c r="Y225" s="3" t="s">
        <v>180</v>
      </c>
      <c r="Z225" s="3" t="s">
        <v>180</v>
      </c>
      <c r="AA225" s="3" t="s">
        <v>180</v>
      </c>
      <c r="AB225" s="3" t="s">
        <v>180</v>
      </c>
      <c r="AC225" s="3" t="s">
        <v>180</v>
      </c>
      <c r="AD225" s="3" t="s">
        <v>180</v>
      </c>
    </row>
    <row r="226" spans="1:30" x14ac:dyDescent="0.4">
      <c r="A226" s="3">
        <f t="shared" si="6"/>
        <v>221</v>
      </c>
      <c r="B226" s="3">
        <f t="shared" si="7"/>
        <v>0</v>
      </c>
      <c r="C226" s="3" t="s">
        <v>3021</v>
      </c>
      <c r="D226" s="3" t="s">
        <v>2742</v>
      </c>
      <c r="E226" s="3" t="s">
        <v>180</v>
      </c>
      <c r="F226" s="3" t="s">
        <v>179</v>
      </c>
      <c r="G226" s="3" t="s">
        <v>187</v>
      </c>
      <c r="H226" s="40">
        <v>44710.610254629632</v>
      </c>
      <c r="I226" s="3">
        <v>0</v>
      </c>
      <c r="J226" s="3" t="s">
        <v>180</v>
      </c>
      <c r="K226" s="3" t="s">
        <v>2568</v>
      </c>
      <c r="L226" s="3" t="s">
        <v>180</v>
      </c>
      <c r="M226" s="3" t="s">
        <v>180</v>
      </c>
      <c r="N226" s="3" t="s">
        <v>181</v>
      </c>
      <c r="O226" s="3" t="s">
        <v>182</v>
      </c>
      <c r="P226" s="3"/>
      <c r="Q226" s="3" t="s">
        <v>86</v>
      </c>
      <c r="R226" s="3" t="s">
        <v>182</v>
      </c>
      <c r="S226" s="42">
        <v>4.1666666666666664E-2</v>
      </c>
      <c r="T226" s="3" t="s">
        <v>2561</v>
      </c>
      <c r="U226" s="3" t="s">
        <v>201</v>
      </c>
      <c r="V226" s="3" t="s">
        <v>180</v>
      </c>
      <c r="W226" s="3" t="s">
        <v>180</v>
      </c>
      <c r="X226" s="3" t="s">
        <v>180</v>
      </c>
      <c r="Y226" s="3" t="s">
        <v>180</v>
      </c>
      <c r="Z226" s="3" t="s">
        <v>180</v>
      </c>
      <c r="AA226" s="3" t="s">
        <v>180</v>
      </c>
      <c r="AB226" s="3" t="s">
        <v>180</v>
      </c>
      <c r="AC226" s="3" t="s">
        <v>180</v>
      </c>
      <c r="AD226" s="3" t="s">
        <v>180</v>
      </c>
    </row>
    <row r="227" spans="1:30" x14ac:dyDescent="0.4">
      <c r="A227" s="3">
        <f t="shared" si="6"/>
        <v>222</v>
      </c>
      <c r="B227" s="3">
        <f t="shared" si="7"/>
        <v>0</v>
      </c>
      <c r="C227" s="3" t="s">
        <v>3021</v>
      </c>
      <c r="D227" s="3" t="s">
        <v>2742</v>
      </c>
      <c r="E227" s="3" t="s">
        <v>180</v>
      </c>
      <c r="F227" s="3" t="s">
        <v>179</v>
      </c>
      <c r="G227" s="3" t="s">
        <v>187</v>
      </c>
      <c r="H227" s="40">
        <v>44710.610254629632</v>
      </c>
      <c r="I227" s="3">
        <v>0</v>
      </c>
      <c r="J227" s="3" t="s">
        <v>180</v>
      </c>
      <c r="K227" s="3" t="s">
        <v>2568</v>
      </c>
      <c r="L227" s="3" t="s">
        <v>180</v>
      </c>
      <c r="M227" s="3" t="s">
        <v>180</v>
      </c>
      <c r="N227" s="3" t="s">
        <v>181</v>
      </c>
      <c r="O227" s="3" t="s">
        <v>182</v>
      </c>
      <c r="P227" s="3"/>
      <c r="Q227" s="3" t="s">
        <v>86</v>
      </c>
      <c r="R227" s="3" t="s">
        <v>182</v>
      </c>
      <c r="S227" s="42">
        <v>4.1666666666666664E-2</v>
      </c>
      <c r="T227" s="3" t="s">
        <v>2561</v>
      </c>
      <c r="U227" s="3" t="s">
        <v>201</v>
      </c>
      <c r="V227" s="3" t="s">
        <v>180</v>
      </c>
      <c r="W227" s="3" t="s">
        <v>180</v>
      </c>
      <c r="X227" s="3" t="s">
        <v>180</v>
      </c>
      <c r="Y227" s="3" t="s">
        <v>180</v>
      </c>
      <c r="Z227" s="3" t="s">
        <v>180</v>
      </c>
      <c r="AA227" s="3" t="s">
        <v>180</v>
      </c>
      <c r="AB227" s="3" t="s">
        <v>180</v>
      </c>
      <c r="AC227" s="3" t="s">
        <v>180</v>
      </c>
      <c r="AD227" s="3" t="s">
        <v>180</v>
      </c>
    </row>
  </sheetData>
  <phoneticPr fontId="1"/>
  <dataValidations count="2">
    <dataValidation type="list" allowBlank="1" showInputMessage="1" showErrorMessage="1" sqref="P6" xr:uid="{9E8CD4EB-BD51-354D-A4F5-97860BBE83C9}">
      <formula1>work_チェックボックス</formula1>
    </dataValidation>
    <dataValidation type="list" allowBlank="1" showInputMessage="1" showErrorMessage="1" sqref="C6:C227" xr:uid="{E01756FC-E886-4152-8875-288DE5789850}">
      <formula1>"標準,追加,削除"</formula1>
    </dataValidation>
  </dataValidations>
  <pageMargins left="0.7" right="0.7" top="0.75" bottom="0.75" header="0.3" footer="0.3"/>
  <pageSetup paperSize="9" orientation="portrait" horizontalDpi="0" verticalDpi="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101DDD-FE81-254A-A592-CDFE8A5AF542}">
  <dimension ref="A1:N176"/>
  <sheetViews>
    <sheetView topLeftCell="A112" zoomScale="90" zoomScaleNormal="90" workbookViewId="0">
      <selection activeCell="K13" sqref="K13"/>
    </sheetView>
  </sheetViews>
  <sheetFormatPr defaultColWidth="11.5546875" defaultRowHeight="19.5" x14ac:dyDescent="0.4"/>
  <cols>
    <col min="1" max="9" width="4.6640625" customWidth="1"/>
    <col min="10" max="10" width="40.6640625" customWidth="1"/>
    <col min="11" max="11" width="27.88671875" bestFit="1" customWidth="1"/>
    <col min="12" max="12" width="8.6640625" bestFit="1" customWidth="1"/>
    <col min="13" max="13" width="27.88671875" bestFit="1" customWidth="1"/>
    <col min="14" max="14" width="30.6640625" customWidth="1"/>
  </cols>
  <sheetData>
    <row r="1" spans="1:14" x14ac:dyDescent="0.4">
      <c r="A1" s="1" t="str">
        <f ca="1">RIGHT(CELL("filename",A1),LEN(CELL("filename",A1))-FIND("]",CELL("filename",A1)))</f>
        <v>10.ローカルセキュリティポリシー</v>
      </c>
    </row>
    <row r="3" spans="1:14" x14ac:dyDescent="0.4">
      <c r="A3" s="62" t="s">
        <v>3</v>
      </c>
      <c r="B3" s="61" t="s">
        <v>4</v>
      </c>
      <c r="C3" s="82"/>
      <c r="D3" s="82"/>
      <c r="E3" s="82"/>
      <c r="F3" s="82"/>
      <c r="G3" s="82"/>
      <c r="H3" s="82"/>
      <c r="I3" s="82"/>
      <c r="J3" s="113"/>
      <c r="K3" s="62" t="s">
        <v>14</v>
      </c>
      <c r="L3" s="207" t="s">
        <v>2915</v>
      </c>
      <c r="M3" s="207"/>
      <c r="N3" s="62" t="s">
        <v>5</v>
      </c>
    </row>
    <row r="4" spans="1:14" ht="20.25" thickBot="1" x14ac:dyDescent="0.45">
      <c r="A4" s="118"/>
      <c r="B4" s="119"/>
      <c r="C4" s="120"/>
      <c r="D4" s="120"/>
      <c r="E4" s="120"/>
      <c r="F4" s="120"/>
      <c r="G4" s="120"/>
      <c r="H4" s="120"/>
      <c r="I4" s="120"/>
      <c r="J4" s="121"/>
      <c r="K4" s="118"/>
      <c r="L4" s="208" t="s">
        <v>2913</v>
      </c>
      <c r="M4" s="209" t="s">
        <v>2912</v>
      </c>
      <c r="N4" s="118"/>
    </row>
    <row r="5" spans="1:14" ht="20.25" thickTop="1" x14ac:dyDescent="0.4">
      <c r="A5" s="20">
        <v>1</v>
      </c>
      <c r="B5" s="16" t="s">
        <v>708</v>
      </c>
      <c r="C5" s="17"/>
      <c r="D5" s="17"/>
      <c r="E5" s="24"/>
      <c r="F5" s="33"/>
      <c r="G5" s="33"/>
      <c r="H5" s="33"/>
      <c r="I5" s="33"/>
      <c r="J5" s="29"/>
      <c r="K5" s="17"/>
      <c r="L5" s="17"/>
      <c r="M5" s="17"/>
      <c r="N5" s="17"/>
    </row>
    <row r="6" spans="1:14" x14ac:dyDescent="0.4">
      <c r="A6" s="3">
        <f t="shared" ref="A6:A71" si="0">A5+1</f>
        <v>2</v>
      </c>
      <c r="B6" s="16"/>
      <c r="C6" s="30" t="s">
        <v>1315</v>
      </c>
      <c r="D6" s="8"/>
      <c r="E6" s="31"/>
      <c r="F6" s="9"/>
      <c r="G6" s="9"/>
      <c r="H6" s="9"/>
      <c r="I6" s="9"/>
      <c r="J6" s="10"/>
      <c r="K6" s="8"/>
      <c r="L6" s="8"/>
      <c r="M6" s="8"/>
      <c r="N6" s="8"/>
    </row>
    <row r="7" spans="1:14" x14ac:dyDescent="0.4">
      <c r="A7" s="3">
        <f t="shared" si="0"/>
        <v>3</v>
      </c>
      <c r="B7" s="16"/>
      <c r="C7" s="16"/>
      <c r="D7" s="30" t="s">
        <v>1316</v>
      </c>
      <c r="E7" s="31"/>
      <c r="F7" s="9"/>
      <c r="G7" s="9"/>
      <c r="H7" s="9"/>
      <c r="I7" s="9"/>
      <c r="J7" s="10"/>
      <c r="K7" s="8"/>
      <c r="L7" s="8"/>
      <c r="M7" s="8"/>
      <c r="N7" s="8"/>
    </row>
    <row r="8" spans="1:14" x14ac:dyDescent="0.4">
      <c r="A8" s="3">
        <f t="shared" si="0"/>
        <v>4</v>
      </c>
      <c r="B8" s="16"/>
      <c r="C8" s="16"/>
      <c r="D8" s="16"/>
      <c r="E8" s="12" t="s">
        <v>2392</v>
      </c>
      <c r="F8" s="13"/>
      <c r="G8" s="13"/>
      <c r="H8" s="13"/>
      <c r="I8" s="13"/>
      <c r="J8" s="14"/>
      <c r="K8" s="3" t="s">
        <v>2394</v>
      </c>
      <c r="L8" s="3"/>
      <c r="M8" s="3" t="s">
        <v>2394</v>
      </c>
      <c r="N8" s="3"/>
    </row>
    <row r="9" spans="1:14" x14ac:dyDescent="0.4">
      <c r="A9" s="3">
        <f t="shared" si="0"/>
        <v>5</v>
      </c>
      <c r="B9" s="16"/>
      <c r="C9" s="16"/>
      <c r="D9" s="16"/>
      <c r="E9" s="12" t="s">
        <v>2393</v>
      </c>
      <c r="F9" s="13"/>
      <c r="G9" s="13"/>
      <c r="H9" s="13"/>
      <c r="I9" s="13"/>
      <c r="J9" s="14"/>
      <c r="K9" s="3" t="s">
        <v>2395</v>
      </c>
      <c r="L9" s="3"/>
      <c r="M9" s="3" t="s">
        <v>2395</v>
      </c>
      <c r="N9" s="3"/>
    </row>
    <row r="10" spans="1:14" x14ac:dyDescent="0.4">
      <c r="A10" s="3">
        <f t="shared" si="0"/>
        <v>6</v>
      </c>
      <c r="B10" s="16"/>
      <c r="C10" s="16"/>
      <c r="D10" s="16"/>
      <c r="E10" s="12" t="s">
        <v>1317</v>
      </c>
      <c r="F10" s="13"/>
      <c r="G10" s="13"/>
      <c r="H10" s="13"/>
      <c r="I10" s="13"/>
      <c r="J10" s="14"/>
      <c r="K10" s="3" t="s">
        <v>709</v>
      </c>
      <c r="L10" s="3"/>
      <c r="M10" s="3" t="s">
        <v>709</v>
      </c>
      <c r="N10" s="3"/>
    </row>
    <row r="11" spans="1:14" x14ac:dyDescent="0.4">
      <c r="A11" s="3">
        <f t="shared" si="0"/>
        <v>7</v>
      </c>
      <c r="B11" s="16"/>
      <c r="C11" s="16"/>
      <c r="D11" s="16"/>
      <c r="E11" s="12" t="s">
        <v>1318</v>
      </c>
      <c r="F11" s="13"/>
      <c r="G11" s="13"/>
      <c r="H11" s="13"/>
      <c r="I11" s="13"/>
      <c r="J11" s="14"/>
      <c r="K11" s="3" t="s">
        <v>710</v>
      </c>
      <c r="L11" s="3"/>
      <c r="M11" s="3" t="s">
        <v>710</v>
      </c>
      <c r="N11" s="3"/>
    </row>
    <row r="12" spans="1:14" x14ac:dyDescent="0.4">
      <c r="A12" s="3">
        <f t="shared" si="0"/>
        <v>8</v>
      </c>
      <c r="B12" s="16"/>
      <c r="C12" s="16"/>
      <c r="D12" s="16"/>
      <c r="E12" s="12" t="s">
        <v>1319</v>
      </c>
      <c r="F12" s="13"/>
      <c r="G12" s="13"/>
      <c r="H12" s="13"/>
      <c r="I12" s="13"/>
      <c r="J12" s="14"/>
      <c r="K12" s="3" t="s">
        <v>711</v>
      </c>
      <c r="L12" s="3"/>
      <c r="M12" s="3" t="s">
        <v>711</v>
      </c>
      <c r="N12" s="3"/>
    </row>
    <row r="13" spans="1:14" x14ac:dyDescent="0.4">
      <c r="A13" s="3">
        <f t="shared" si="0"/>
        <v>9</v>
      </c>
      <c r="B13" s="16"/>
      <c r="C13" s="16"/>
      <c r="D13" s="16"/>
      <c r="E13" s="12" t="s">
        <v>1320</v>
      </c>
      <c r="F13" s="13"/>
      <c r="G13" s="13"/>
      <c r="H13" s="13"/>
      <c r="I13" s="13"/>
      <c r="J13" s="14"/>
      <c r="K13" s="3" t="s">
        <v>712</v>
      </c>
      <c r="L13" s="3"/>
      <c r="M13" s="3" t="s">
        <v>712</v>
      </c>
      <c r="N13" s="3"/>
    </row>
    <row r="14" spans="1:14" x14ac:dyDescent="0.4">
      <c r="A14" s="3">
        <f t="shared" si="0"/>
        <v>10</v>
      </c>
      <c r="B14" s="16"/>
      <c r="C14" s="16"/>
      <c r="D14" s="16"/>
      <c r="E14" s="12" t="s">
        <v>1321</v>
      </c>
      <c r="F14" s="13"/>
      <c r="G14" s="13"/>
      <c r="H14" s="13"/>
      <c r="I14" s="13"/>
      <c r="J14" s="14"/>
      <c r="K14" s="3" t="s">
        <v>182</v>
      </c>
      <c r="L14" s="3"/>
      <c r="M14" s="3" t="s">
        <v>182</v>
      </c>
      <c r="N14" s="3"/>
    </row>
    <row r="15" spans="1:14" x14ac:dyDescent="0.4">
      <c r="A15" s="3">
        <f t="shared" si="0"/>
        <v>11</v>
      </c>
      <c r="B15" s="16"/>
      <c r="C15" s="16"/>
      <c r="D15" s="17"/>
      <c r="E15" s="12" t="s">
        <v>1322</v>
      </c>
      <c r="F15" s="13"/>
      <c r="G15" s="13"/>
      <c r="H15" s="13"/>
      <c r="I15" s="13"/>
      <c r="J15" s="14"/>
      <c r="K15" s="3" t="s">
        <v>181</v>
      </c>
      <c r="L15" s="3"/>
      <c r="M15" s="3" t="s">
        <v>181</v>
      </c>
      <c r="N15" s="3"/>
    </row>
    <row r="16" spans="1:14" x14ac:dyDescent="0.4">
      <c r="A16" s="3">
        <f t="shared" si="0"/>
        <v>12</v>
      </c>
      <c r="B16" s="16"/>
      <c r="C16" s="16"/>
      <c r="D16" s="30" t="s">
        <v>1323</v>
      </c>
      <c r="E16" s="31"/>
      <c r="F16" s="9"/>
      <c r="G16" s="9"/>
      <c r="H16" s="9"/>
      <c r="I16" s="9"/>
      <c r="J16" s="10"/>
      <c r="K16" s="8"/>
      <c r="L16" s="8"/>
      <c r="M16" s="8"/>
      <c r="N16" s="8"/>
    </row>
    <row r="17" spans="1:14" x14ac:dyDescent="0.4">
      <c r="A17" s="3">
        <f t="shared" si="0"/>
        <v>13</v>
      </c>
      <c r="B17" s="16"/>
      <c r="C17" s="16"/>
      <c r="D17" s="16"/>
      <c r="E17" s="12" t="s">
        <v>713</v>
      </c>
      <c r="F17" s="13"/>
      <c r="G17" s="13"/>
      <c r="H17" s="13"/>
      <c r="I17" s="13"/>
      <c r="J17" s="14"/>
      <c r="K17" s="3" t="s">
        <v>715</v>
      </c>
      <c r="L17" s="3"/>
      <c r="M17" s="3" t="s">
        <v>715</v>
      </c>
      <c r="N17" s="3"/>
    </row>
    <row r="18" spans="1:14" x14ac:dyDescent="0.4">
      <c r="A18" s="3">
        <f t="shared" si="0"/>
        <v>14</v>
      </c>
      <c r="B18" s="16"/>
      <c r="C18" s="16"/>
      <c r="D18" s="16"/>
      <c r="E18" s="12" t="s">
        <v>1324</v>
      </c>
      <c r="F18" s="13"/>
      <c r="G18" s="13"/>
      <c r="H18" s="13"/>
      <c r="I18" s="13"/>
      <c r="J18" s="14"/>
      <c r="K18" s="3" t="s">
        <v>716</v>
      </c>
      <c r="L18" s="3"/>
      <c r="M18" s="3" t="s">
        <v>716</v>
      </c>
      <c r="N18" s="3"/>
    </row>
    <row r="19" spans="1:14" x14ac:dyDescent="0.4">
      <c r="A19" s="3">
        <f t="shared" si="0"/>
        <v>15</v>
      </c>
      <c r="B19" s="16"/>
      <c r="C19" s="17"/>
      <c r="D19" s="17"/>
      <c r="E19" s="12" t="s">
        <v>714</v>
      </c>
      <c r="F19" s="13"/>
      <c r="G19" s="13"/>
      <c r="H19" s="13"/>
      <c r="I19" s="13"/>
      <c r="J19" s="14"/>
      <c r="K19" s="3" t="s">
        <v>716</v>
      </c>
      <c r="L19" s="3"/>
      <c r="M19" s="3" t="s">
        <v>716</v>
      </c>
      <c r="N19" s="3"/>
    </row>
    <row r="20" spans="1:14" x14ac:dyDescent="0.4">
      <c r="A20" s="3">
        <f t="shared" si="0"/>
        <v>16</v>
      </c>
      <c r="B20" s="16"/>
      <c r="C20" s="30" t="s">
        <v>1325</v>
      </c>
      <c r="D20" s="8"/>
      <c r="E20" s="31"/>
      <c r="F20" s="9"/>
      <c r="G20" s="9"/>
      <c r="H20" s="9"/>
      <c r="I20" s="9"/>
      <c r="J20" s="10"/>
      <c r="K20" s="8"/>
      <c r="L20" s="8"/>
      <c r="M20" s="8"/>
      <c r="N20" s="8"/>
    </row>
    <row r="21" spans="1:14" x14ac:dyDescent="0.4">
      <c r="A21" s="3">
        <f t="shared" si="0"/>
        <v>17</v>
      </c>
      <c r="B21" s="16"/>
      <c r="C21" s="16"/>
      <c r="D21" s="30" t="s">
        <v>1326</v>
      </c>
      <c r="E21" s="31"/>
      <c r="F21" s="9"/>
      <c r="G21" s="9"/>
      <c r="H21" s="9"/>
      <c r="I21" s="9"/>
      <c r="J21" s="10"/>
      <c r="K21" s="8"/>
      <c r="L21" s="8"/>
      <c r="M21" s="8"/>
      <c r="N21" s="8"/>
    </row>
    <row r="22" spans="1:14" x14ac:dyDescent="0.4">
      <c r="A22" s="3">
        <f t="shared" si="0"/>
        <v>18</v>
      </c>
      <c r="B22" s="16"/>
      <c r="C22" s="16"/>
      <c r="D22" s="16"/>
      <c r="E22" s="12" t="s">
        <v>717</v>
      </c>
      <c r="F22" s="13"/>
      <c r="G22" s="13"/>
      <c r="H22" s="13"/>
      <c r="I22" s="13"/>
      <c r="J22" s="14"/>
      <c r="K22" s="3" t="s">
        <v>724</v>
      </c>
      <c r="L22" s="3"/>
      <c r="M22" s="3" t="s">
        <v>724</v>
      </c>
      <c r="N22" s="3"/>
    </row>
    <row r="23" spans="1:14" x14ac:dyDescent="0.4">
      <c r="A23" s="3">
        <f t="shared" si="0"/>
        <v>19</v>
      </c>
      <c r="B23" s="16"/>
      <c r="C23" s="16"/>
      <c r="D23" s="16"/>
      <c r="E23" s="12" t="s">
        <v>718</v>
      </c>
      <c r="F23" s="13"/>
      <c r="G23" s="13"/>
      <c r="H23" s="13"/>
      <c r="I23" s="13"/>
      <c r="J23" s="14"/>
      <c r="K23" s="3" t="s">
        <v>724</v>
      </c>
      <c r="L23" s="3"/>
      <c r="M23" s="3" t="s">
        <v>724</v>
      </c>
      <c r="N23" s="3"/>
    </row>
    <row r="24" spans="1:14" x14ac:dyDescent="0.4">
      <c r="A24" s="3">
        <f t="shared" si="0"/>
        <v>20</v>
      </c>
      <c r="B24" s="16"/>
      <c r="C24" s="16"/>
      <c r="D24" s="16"/>
      <c r="E24" s="12" t="s">
        <v>719</v>
      </c>
      <c r="F24" s="13"/>
      <c r="G24" s="13"/>
      <c r="H24" s="13"/>
      <c r="I24" s="13"/>
      <c r="J24" s="14"/>
      <c r="K24" s="3" t="s">
        <v>724</v>
      </c>
      <c r="L24" s="3"/>
      <c r="M24" s="3" t="s">
        <v>724</v>
      </c>
      <c r="N24" s="3"/>
    </row>
    <row r="25" spans="1:14" x14ac:dyDescent="0.4">
      <c r="A25" s="3">
        <f t="shared" si="0"/>
        <v>21</v>
      </c>
      <c r="B25" s="16"/>
      <c r="C25" s="16"/>
      <c r="D25" s="16"/>
      <c r="E25" s="12" t="s">
        <v>720</v>
      </c>
      <c r="F25" s="13"/>
      <c r="G25" s="13"/>
      <c r="H25" s="13"/>
      <c r="I25" s="13"/>
      <c r="J25" s="14"/>
      <c r="K25" s="3" t="s">
        <v>724</v>
      </c>
      <c r="L25" s="3"/>
      <c r="M25" s="3" t="s">
        <v>724</v>
      </c>
      <c r="N25" s="3"/>
    </row>
    <row r="26" spans="1:14" x14ac:dyDescent="0.4">
      <c r="A26" s="3">
        <f t="shared" si="0"/>
        <v>22</v>
      </c>
      <c r="B26" s="16"/>
      <c r="C26" s="16"/>
      <c r="D26" s="16"/>
      <c r="E26" s="12" t="s">
        <v>1327</v>
      </c>
      <c r="F26" s="13"/>
      <c r="G26" s="13"/>
      <c r="H26" s="13"/>
      <c r="I26" s="13"/>
      <c r="J26" s="14"/>
      <c r="K26" s="3" t="s">
        <v>724</v>
      </c>
      <c r="L26" s="3"/>
      <c r="M26" s="3" t="s">
        <v>724</v>
      </c>
      <c r="N26" s="3"/>
    </row>
    <row r="27" spans="1:14" x14ac:dyDescent="0.4">
      <c r="A27" s="3">
        <f t="shared" si="0"/>
        <v>23</v>
      </c>
      <c r="B27" s="16"/>
      <c r="C27" s="16"/>
      <c r="D27" s="16"/>
      <c r="E27" s="12" t="s">
        <v>721</v>
      </c>
      <c r="F27" s="13"/>
      <c r="G27" s="13"/>
      <c r="H27" s="13"/>
      <c r="I27" s="13"/>
      <c r="J27" s="14"/>
      <c r="K27" s="3" t="s">
        <v>724</v>
      </c>
      <c r="L27" s="3"/>
      <c r="M27" s="3" t="s">
        <v>724</v>
      </c>
      <c r="N27" s="3"/>
    </row>
    <row r="28" spans="1:14" x14ac:dyDescent="0.4">
      <c r="A28" s="3">
        <f t="shared" si="0"/>
        <v>24</v>
      </c>
      <c r="B28" s="16"/>
      <c r="C28" s="16"/>
      <c r="D28" s="16"/>
      <c r="E28" s="12" t="s">
        <v>1328</v>
      </c>
      <c r="F28" s="13"/>
      <c r="G28" s="13"/>
      <c r="H28" s="13"/>
      <c r="I28" s="13"/>
      <c r="J28" s="14"/>
      <c r="K28" s="3" t="s">
        <v>724</v>
      </c>
      <c r="L28" s="3"/>
      <c r="M28" s="3" t="s">
        <v>724</v>
      </c>
      <c r="N28" s="3"/>
    </row>
    <row r="29" spans="1:14" x14ac:dyDescent="0.4">
      <c r="A29" s="3">
        <f t="shared" si="0"/>
        <v>25</v>
      </c>
      <c r="B29" s="16"/>
      <c r="C29" s="16"/>
      <c r="D29" s="16"/>
      <c r="E29" s="12" t="s">
        <v>722</v>
      </c>
      <c r="F29" s="13"/>
      <c r="G29" s="13"/>
      <c r="H29" s="13"/>
      <c r="I29" s="13"/>
      <c r="J29" s="14"/>
      <c r="K29" s="3" t="s">
        <v>724</v>
      </c>
      <c r="L29" s="3"/>
      <c r="M29" s="3" t="s">
        <v>724</v>
      </c>
      <c r="N29" s="3"/>
    </row>
    <row r="30" spans="1:14" x14ac:dyDescent="0.4">
      <c r="A30" s="3">
        <f t="shared" si="0"/>
        <v>26</v>
      </c>
      <c r="B30" s="16"/>
      <c r="C30" s="16"/>
      <c r="D30" s="17"/>
      <c r="E30" s="12" t="s">
        <v>723</v>
      </c>
      <c r="F30" s="13"/>
      <c r="G30" s="13"/>
      <c r="H30" s="13"/>
      <c r="I30" s="13"/>
      <c r="J30" s="14"/>
      <c r="K30" s="3" t="s">
        <v>724</v>
      </c>
      <c r="L30" s="3"/>
      <c r="M30" s="3" t="s">
        <v>724</v>
      </c>
      <c r="N30" s="3"/>
    </row>
    <row r="31" spans="1:14" x14ac:dyDescent="0.4">
      <c r="A31" s="3">
        <f t="shared" si="0"/>
        <v>27</v>
      </c>
      <c r="B31" s="16"/>
      <c r="C31" s="16"/>
      <c r="D31" s="15" t="s">
        <v>1329</v>
      </c>
      <c r="E31" s="9"/>
      <c r="F31" s="9"/>
      <c r="G31" s="9"/>
      <c r="H31" s="9"/>
      <c r="I31" s="9"/>
      <c r="J31" s="10"/>
      <c r="K31" s="8"/>
      <c r="L31" s="8"/>
      <c r="M31" s="8"/>
      <c r="N31" s="8"/>
    </row>
    <row r="32" spans="1:14" x14ac:dyDescent="0.4">
      <c r="A32" s="3">
        <f t="shared" si="0"/>
        <v>28</v>
      </c>
      <c r="B32" s="16"/>
      <c r="C32" s="16"/>
      <c r="D32" s="16"/>
      <c r="E32" s="12" t="s">
        <v>725</v>
      </c>
      <c r="F32" s="13"/>
      <c r="G32" s="13"/>
      <c r="H32" s="13"/>
      <c r="I32" s="13"/>
      <c r="J32" s="14"/>
      <c r="K32" s="11" t="s">
        <v>1240</v>
      </c>
      <c r="L32" s="11"/>
      <c r="M32" s="11" t="s">
        <v>1240</v>
      </c>
      <c r="N32" s="3"/>
    </row>
    <row r="33" spans="1:14" x14ac:dyDescent="0.4">
      <c r="A33" s="3">
        <f t="shared" si="0"/>
        <v>29</v>
      </c>
      <c r="B33" s="16"/>
      <c r="C33" s="16"/>
      <c r="D33" s="16"/>
      <c r="E33" s="12" t="s">
        <v>2396</v>
      </c>
      <c r="F33" s="13"/>
      <c r="G33" s="13"/>
      <c r="H33" s="13"/>
      <c r="I33" s="13"/>
      <c r="J33" s="14"/>
      <c r="K33" s="11" t="s">
        <v>1240</v>
      </c>
      <c r="L33" s="11"/>
      <c r="M33" s="11" t="s">
        <v>1240</v>
      </c>
      <c r="N33" s="3"/>
    </row>
    <row r="34" spans="1:14" x14ac:dyDescent="0.4">
      <c r="A34" s="3">
        <f t="shared" si="0"/>
        <v>30</v>
      </c>
      <c r="B34" s="16"/>
      <c r="C34" s="16"/>
      <c r="D34" s="16"/>
      <c r="E34" s="12" t="s">
        <v>2397</v>
      </c>
      <c r="F34" s="13"/>
      <c r="G34" s="13"/>
      <c r="H34" s="13"/>
      <c r="I34" s="13"/>
      <c r="J34" s="14"/>
      <c r="K34" s="3" t="s">
        <v>741</v>
      </c>
      <c r="L34" s="3"/>
      <c r="M34" s="3" t="s">
        <v>741</v>
      </c>
      <c r="N34" s="3"/>
    </row>
    <row r="35" spans="1:14" x14ac:dyDescent="0.4">
      <c r="A35" s="3">
        <f t="shared" si="0"/>
        <v>31</v>
      </c>
      <c r="B35" s="16"/>
      <c r="C35" s="16"/>
      <c r="D35" s="16"/>
      <c r="E35" s="12" t="s">
        <v>2398</v>
      </c>
      <c r="F35" s="13"/>
      <c r="G35" s="13"/>
      <c r="H35" s="13"/>
      <c r="I35" s="13"/>
      <c r="J35" s="14"/>
      <c r="K35" s="11" t="s">
        <v>1240</v>
      </c>
      <c r="L35" s="11"/>
      <c r="M35" s="11" t="s">
        <v>1240</v>
      </c>
      <c r="N35" s="3"/>
    </row>
    <row r="36" spans="1:14" x14ac:dyDescent="0.4">
      <c r="A36" s="3">
        <f t="shared" si="0"/>
        <v>32</v>
      </c>
      <c r="B36" s="16"/>
      <c r="C36" s="16"/>
      <c r="D36" s="16"/>
      <c r="E36" s="12" t="s">
        <v>2399</v>
      </c>
      <c r="F36" s="13"/>
      <c r="G36" s="13"/>
      <c r="H36" s="13"/>
      <c r="I36" s="13"/>
      <c r="J36" s="14"/>
      <c r="K36" s="11" t="s">
        <v>1240</v>
      </c>
      <c r="L36" s="11"/>
      <c r="M36" s="11" t="s">
        <v>1240</v>
      </c>
      <c r="N36" s="3"/>
    </row>
    <row r="37" spans="1:14" x14ac:dyDescent="0.4">
      <c r="A37" s="3">
        <f t="shared" si="0"/>
        <v>33</v>
      </c>
      <c r="B37" s="16"/>
      <c r="C37" s="16"/>
      <c r="D37" s="16"/>
      <c r="E37" s="12" t="s">
        <v>2400</v>
      </c>
      <c r="F37" s="13"/>
      <c r="G37" s="13"/>
      <c r="H37" s="13"/>
      <c r="I37" s="13"/>
      <c r="J37" s="14"/>
      <c r="K37" s="3" t="s">
        <v>742</v>
      </c>
      <c r="L37" s="3"/>
      <c r="M37" s="3" t="s">
        <v>742</v>
      </c>
      <c r="N37" s="3"/>
    </row>
    <row r="38" spans="1:14" x14ac:dyDescent="0.4">
      <c r="A38" s="3">
        <f t="shared" si="0"/>
        <v>34</v>
      </c>
      <c r="B38" s="16"/>
      <c r="C38" s="16"/>
      <c r="D38" s="16"/>
      <c r="E38" s="12" t="s">
        <v>2401</v>
      </c>
      <c r="F38" s="13"/>
      <c r="G38" s="13"/>
      <c r="H38" s="13"/>
      <c r="I38" s="13"/>
      <c r="J38" s="14"/>
      <c r="K38" s="3" t="s">
        <v>743</v>
      </c>
      <c r="L38" s="3"/>
      <c r="M38" s="3" t="s">
        <v>743</v>
      </c>
      <c r="N38" s="3"/>
    </row>
    <row r="39" spans="1:14" x14ac:dyDescent="0.4">
      <c r="A39" s="3">
        <f t="shared" si="0"/>
        <v>35</v>
      </c>
      <c r="B39" s="16"/>
      <c r="C39" s="16"/>
      <c r="D39" s="16"/>
      <c r="E39" s="12" t="s">
        <v>726</v>
      </c>
      <c r="F39" s="13"/>
      <c r="G39" s="13"/>
      <c r="H39" s="13"/>
      <c r="I39" s="13"/>
      <c r="J39" s="14"/>
      <c r="K39" s="3" t="s">
        <v>744</v>
      </c>
      <c r="L39" s="3"/>
      <c r="M39" s="3" t="s">
        <v>744</v>
      </c>
      <c r="N39" s="3"/>
    </row>
    <row r="40" spans="1:14" x14ac:dyDescent="0.4">
      <c r="A40" s="3">
        <f t="shared" si="0"/>
        <v>36</v>
      </c>
      <c r="B40" s="16"/>
      <c r="C40" s="16"/>
      <c r="D40" s="16"/>
      <c r="E40" s="12" t="s">
        <v>727</v>
      </c>
      <c r="F40" s="13"/>
      <c r="G40" s="13"/>
      <c r="H40" s="13"/>
      <c r="I40" s="13"/>
      <c r="J40" s="14"/>
      <c r="K40" s="3" t="s">
        <v>745</v>
      </c>
      <c r="L40" s="3"/>
      <c r="M40" s="3" t="s">
        <v>745</v>
      </c>
      <c r="N40" s="3"/>
    </row>
    <row r="41" spans="1:14" x14ac:dyDescent="0.4">
      <c r="A41" s="3">
        <f t="shared" si="0"/>
        <v>37</v>
      </c>
      <c r="B41" s="16"/>
      <c r="C41" s="16"/>
      <c r="D41" s="16"/>
      <c r="E41" s="12" t="s">
        <v>728</v>
      </c>
      <c r="F41" s="13"/>
      <c r="G41" s="13"/>
      <c r="H41" s="13"/>
      <c r="I41" s="13"/>
      <c r="J41" s="14"/>
      <c r="K41" s="3" t="s">
        <v>304</v>
      </c>
      <c r="L41" s="3"/>
      <c r="M41" s="3" t="s">
        <v>304</v>
      </c>
      <c r="N41" s="3"/>
    </row>
    <row r="42" spans="1:14" x14ac:dyDescent="0.4">
      <c r="A42" s="3">
        <f t="shared" si="0"/>
        <v>38</v>
      </c>
      <c r="B42" s="16"/>
      <c r="C42" s="16"/>
      <c r="D42" s="16"/>
      <c r="E42" s="12" t="s">
        <v>2402</v>
      </c>
      <c r="F42" s="13"/>
      <c r="G42" s="13"/>
      <c r="H42" s="13"/>
      <c r="I42" s="13"/>
      <c r="J42" s="14"/>
      <c r="K42" s="3" t="s">
        <v>746</v>
      </c>
      <c r="L42" s="3"/>
      <c r="M42" s="3" t="s">
        <v>746</v>
      </c>
      <c r="N42" s="3"/>
    </row>
    <row r="43" spans="1:14" x14ac:dyDescent="0.4">
      <c r="A43" s="3">
        <f t="shared" si="0"/>
        <v>39</v>
      </c>
      <c r="B43" s="16"/>
      <c r="C43" s="16"/>
      <c r="D43" s="16"/>
      <c r="E43" s="12" t="s">
        <v>729</v>
      </c>
      <c r="F43" s="13"/>
      <c r="G43" s="13"/>
      <c r="H43" s="13"/>
      <c r="I43" s="13"/>
      <c r="J43" s="14"/>
      <c r="K43" s="3" t="s">
        <v>747</v>
      </c>
      <c r="L43" s="3"/>
      <c r="M43" s="3" t="s">
        <v>747</v>
      </c>
      <c r="N43" s="3"/>
    </row>
    <row r="44" spans="1:14" x14ac:dyDescent="0.4">
      <c r="A44" s="3">
        <f t="shared" si="0"/>
        <v>40</v>
      </c>
      <c r="B44" s="16"/>
      <c r="C44" s="16"/>
      <c r="D44" s="16"/>
      <c r="E44" s="12" t="s">
        <v>2403</v>
      </c>
      <c r="F44" s="13"/>
      <c r="G44" s="13"/>
      <c r="H44" s="13"/>
      <c r="I44" s="13"/>
      <c r="J44" s="14"/>
      <c r="K44" s="3" t="s">
        <v>745</v>
      </c>
      <c r="L44" s="3"/>
      <c r="M44" s="3" t="s">
        <v>745</v>
      </c>
      <c r="N44" s="3"/>
    </row>
    <row r="45" spans="1:14" x14ac:dyDescent="0.4">
      <c r="A45" s="3">
        <f t="shared" si="0"/>
        <v>41</v>
      </c>
      <c r="B45" s="16"/>
      <c r="C45" s="16"/>
      <c r="D45" s="16"/>
      <c r="E45" s="12" t="s">
        <v>2404</v>
      </c>
      <c r="F45" s="13"/>
      <c r="G45" s="13"/>
      <c r="H45" s="13"/>
      <c r="I45" s="13"/>
      <c r="J45" s="14"/>
      <c r="K45" s="11" t="s">
        <v>1240</v>
      </c>
      <c r="L45" s="11"/>
      <c r="M45" s="11" t="s">
        <v>1240</v>
      </c>
      <c r="N45" s="3"/>
    </row>
    <row r="46" spans="1:14" x14ac:dyDescent="0.4">
      <c r="A46" s="3">
        <f t="shared" si="0"/>
        <v>42</v>
      </c>
      <c r="B46" s="16"/>
      <c r="C46" s="16"/>
      <c r="D46" s="16"/>
      <c r="E46" s="12" t="s">
        <v>2405</v>
      </c>
      <c r="F46" s="13"/>
      <c r="G46" s="13"/>
      <c r="H46" s="13"/>
      <c r="I46" s="13"/>
      <c r="J46" s="14"/>
      <c r="K46" s="3" t="s">
        <v>304</v>
      </c>
      <c r="L46" s="3"/>
      <c r="M46" s="3" t="s">
        <v>304</v>
      </c>
      <c r="N46" s="3"/>
    </row>
    <row r="47" spans="1:14" x14ac:dyDescent="0.4">
      <c r="A47" s="3">
        <f t="shared" si="0"/>
        <v>43</v>
      </c>
      <c r="B47" s="16"/>
      <c r="C47" s="16"/>
      <c r="D47" s="16"/>
      <c r="E47" s="12" t="s">
        <v>2406</v>
      </c>
      <c r="F47" s="13"/>
      <c r="G47" s="13"/>
      <c r="H47" s="13"/>
      <c r="I47" s="13"/>
      <c r="J47" s="14"/>
      <c r="K47" s="11" t="s">
        <v>1240</v>
      </c>
      <c r="L47" s="11"/>
      <c r="M47" s="11" t="s">
        <v>1240</v>
      </c>
      <c r="N47" s="3"/>
    </row>
    <row r="48" spans="1:14" x14ac:dyDescent="0.4">
      <c r="A48" s="3">
        <f t="shared" si="0"/>
        <v>44</v>
      </c>
      <c r="B48" s="16"/>
      <c r="C48" s="16"/>
      <c r="D48" s="16"/>
      <c r="E48" s="12" t="s">
        <v>2407</v>
      </c>
      <c r="F48" s="13"/>
      <c r="G48" s="13"/>
      <c r="H48" s="13"/>
      <c r="I48" s="13"/>
      <c r="J48" s="14"/>
      <c r="K48" s="3" t="s">
        <v>304</v>
      </c>
      <c r="L48" s="3"/>
      <c r="M48" s="3" t="s">
        <v>304</v>
      </c>
      <c r="N48" s="3"/>
    </row>
    <row r="49" spans="1:14" x14ac:dyDescent="0.4">
      <c r="A49" s="3">
        <f t="shared" si="0"/>
        <v>45</v>
      </c>
      <c r="B49" s="16"/>
      <c r="C49" s="16"/>
      <c r="D49" s="16"/>
      <c r="E49" s="12" t="s">
        <v>2408</v>
      </c>
      <c r="F49" s="13"/>
      <c r="G49" s="13"/>
      <c r="H49" s="13"/>
      <c r="I49" s="13"/>
      <c r="J49" s="14"/>
      <c r="K49" s="11" t="s">
        <v>1240</v>
      </c>
      <c r="L49" s="11"/>
      <c r="M49" s="11" t="s">
        <v>1240</v>
      </c>
      <c r="N49" s="3"/>
    </row>
    <row r="50" spans="1:14" x14ac:dyDescent="0.4">
      <c r="A50" s="3">
        <f t="shared" si="0"/>
        <v>46</v>
      </c>
      <c r="B50" s="16"/>
      <c r="C50" s="16"/>
      <c r="D50" s="16"/>
      <c r="E50" s="12" t="s">
        <v>2409</v>
      </c>
      <c r="F50" s="13"/>
      <c r="G50" s="13"/>
      <c r="H50" s="13"/>
      <c r="I50" s="13"/>
      <c r="J50" s="14"/>
      <c r="K50" s="3" t="s">
        <v>748</v>
      </c>
      <c r="L50" s="3"/>
      <c r="M50" s="3" t="s">
        <v>748</v>
      </c>
      <c r="N50" s="3"/>
    </row>
    <row r="51" spans="1:14" x14ac:dyDescent="0.4">
      <c r="A51" s="3">
        <f t="shared" si="0"/>
        <v>47</v>
      </c>
      <c r="B51" s="16"/>
      <c r="C51" s="16"/>
      <c r="D51" s="16"/>
      <c r="E51" s="12" t="s">
        <v>2410</v>
      </c>
      <c r="F51" s="13"/>
      <c r="G51" s="13"/>
      <c r="H51" s="13"/>
      <c r="I51" s="13"/>
      <c r="J51" s="14"/>
      <c r="K51" s="11" t="s">
        <v>1240</v>
      </c>
      <c r="L51" s="11"/>
      <c r="M51" s="11" t="s">
        <v>1240</v>
      </c>
      <c r="N51" s="3"/>
    </row>
    <row r="52" spans="1:14" x14ac:dyDescent="0.4">
      <c r="A52" s="3">
        <f t="shared" si="0"/>
        <v>48</v>
      </c>
      <c r="B52" s="16"/>
      <c r="C52" s="16"/>
      <c r="D52" s="16"/>
      <c r="E52" s="12" t="s">
        <v>730</v>
      </c>
      <c r="F52" s="13"/>
      <c r="G52" s="13"/>
      <c r="H52" s="13"/>
      <c r="I52" s="13"/>
      <c r="J52" s="14"/>
      <c r="K52" s="11" t="s">
        <v>1240</v>
      </c>
      <c r="L52" s="11"/>
      <c r="M52" s="11" t="s">
        <v>1240</v>
      </c>
      <c r="N52" s="3"/>
    </row>
    <row r="53" spans="1:14" x14ac:dyDescent="0.4">
      <c r="A53" s="3">
        <f t="shared" si="0"/>
        <v>49</v>
      </c>
      <c r="B53" s="16"/>
      <c r="C53" s="16"/>
      <c r="D53" s="16"/>
      <c r="E53" s="12" t="s">
        <v>731</v>
      </c>
      <c r="F53" s="13"/>
      <c r="G53" s="13"/>
      <c r="H53" s="13"/>
      <c r="I53" s="13"/>
      <c r="J53" s="14"/>
      <c r="K53" s="3" t="s">
        <v>749</v>
      </c>
      <c r="L53" s="3"/>
      <c r="M53" s="3" t="s">
        <v>749</v>
      </c>
      <c r="N53" s="3"/>
    </row>
    <row r="54" spans="1:14" x14ac:dyDescent="0.4">
      <c r="A54" s="3">
        <f t="shared" si="0"/>
        <v>50</v>
      </c>
      <c r="B54" s="16"/>
      <c r="C54" s="16"/>
      <c r="D54" s="16"/>
      <c r="E54" s="12" t="s">
        <v>2411</v>
      </c>
      <c r="F54" s="13"/>
      <c r="G54" s="13"/>
      <c r="H54" s="13"/>
      <c r="I54" s="13"/>
      <c r="J54" s="14"/>
      <c r="K54" s="3" t="s">
        <v>304</v>
      </c>
      <c r="L54" s="3"/>
      <c r="M54" s="3" t="s">
        <v>304</v>
      </c>
      <c r="N54" s="3"/>
    </row>
    <row r="55" spans="1:14" x14ac:dyDescent="0.4">
      <c r="A55" s="3">
        <f t="shared" si="0"/>
        <v>51</v>
      </c>
      <c r="B55" s="16"/>
      <c r="C55" s="16"/>
      <c r="D55" s="16"/>
      <c r="E55" s="12" t="s">
        <v>732</v>
      </c>
      <c r="F55" s="13"/>
      <c r="G55" s="13"/>
      <c r="H55" s="13"/>
      <c r="I55" s="13"/>
      <c r="J55" s="14"/>
      <c r="K55" s="3" t="s">
        <v>304</v>
      </c>
      <c r="L55" s="3"/>
      <c r="M55" s="3" t="s">
        <v>304</v>
      </c>
      <c r="N55" s="3"/>
    </row>
    <row r="56" spans="1:14" x14ac:dyDescent="0.4">
      <c r="A56" s="3">
        <f t="shared" si="0"/>
        <v>52</v>
      </c>
      <c r="B56" s="16"/>
      <c r="C56" s="16"/>
      <c r="D56" s="16"/>
      <c r="E56" s="12" t="s">
        <v>733</v>
      </c>
      <c r="F56" s="13"/>
      <c r="G56" s="13"/>
      <c r="H56" s="13"/>
      <c r="I56" s="13"/>
      <c r="J56" s="14"/>
      <c r="K56" s="3" t="s">
        <v>744</v>
      </c>
      <c r="L56" s="3"/>
      <c r="M56" s="3" t="s">
        <v>744</v>
      </c>
      <c r="N56" s="3"/>
    </row>
    <row r="57" spans="1:14" x14ac:dyDescent="0.4">
      <c r="A57" s="3">
        <f t="shared" si="0"/>
        <v>53</v>
      </c>
      <c r="B57" s="16"/>
      <c r="C57" s="16"/>
      <c r="D57" s="16"/>
      <c r="E57" s="12" t="s">
        <v>734</v>
      </c>
      <c r="F57" s="13"/>
      <c r="G57" s="13"/>
      <c r="H57" s="13"/>
      <c r="I57" s="13"/>
      <c r="J57" s="14"/>
      <c r="K57" s="3" t="s">
        <v>744</v>
      </c>
      <c r="L57" s="3"/>
      <c r="M57" s="3" t="s">
        <v>744</v>
      </c>
      <c r="N57" s="3"/>
    </row>
    <row r="58" spans="1:14" x14ac:dyDescent="0.4">
      <c r="A58" s="3">
        <f t="shared" si="0"/>
        <v>54</v>
      </c>
      <c r="B58" s="16"/>
      <c r="C58" s="16"/>
      <c r="D58" s="16"/>
      <c r="E58" s="12" t="s">
        <v>735</v>
      </c>
      <c r="F58" s="13"/>
      <c r="G58" s="13"/>
      <c r="H58" s="13"/>
      <c r="I58" s="13"/>
      <c r="J58" s="14"/>
      <c r="K58" s="3" t="s">
        <v>304</v>
      </c>
      <c r="L58" s="3"/>
      <c r="M58" s="3" t="s">
        <v>304</v>
      </c>
      <c r="N58" s="3"/>
    </row>
    <row r="59" spans="1:14" x14ac:dyDescent="0.4">
      <c r="A59" s="3">
        <f t="shared" si="0"/>
        <v>55</v>
      </c>
      <c r="B59" s="16"/>
      <c r="C59" s="16"/>
      <c r="D59" s="16"/>
      <c r="E59" s="12" t="s">
        <v>2412</v>
      </c>
      <c r="F59" s="13"/>
      <c r="G59" s="13"/>
      <c r="H59" s="13"/>
      <c r="I59" s="13"/>
      <c r="J59" s="14"/>
      <c r="K59" s="3" t="s">
        <v>747</v>
      </c>
      <c r="L59" s="3"/>
      <c r="M59" s="3" t="s">
        <v>747</v>
      </c>
      <c r="N59" s="3"/>
    </row>
    <row r="60" spans="1:14" x14ac:dyDescent="0.4">
      <c r="A60" s="3">
        <f t="shared" si="0"/>
        <v>56</v>
      </c>
      <c r="B60" s="16"/>
      <c r="C60" s="16"/>
      <c r="D60" s="16"/>
      <c r="E60" s="12" t="s">
        <v>2413</v>
      </c>
      <c r="F60" s="13"/>
      <c r="G60" s="13"/>
      <c r="H60" s="13"/>
      <c r="I60" s="13"/>
      <c r="J60" s="14"/>
      <c r="K60" s="3" t="s">
        <v>268</v>
      </c>
      <c r="L60" s="3"/>
      <c r="M60" s="3" t="s">
        <v>268</v>
      </c>
      <c r="N60" s="3"/>
    </row>
    <row r="61" spans="1:14" x14ac:dyDescent="0.4">
      <c r="A61" s="3">
        <f t="shared" si="0"/>
        <v>57</v>
      </c>
      <c r="B61" s="16"/>
      <c r="C61" s="16"/>
      <c r="D61" s="16"/>
      <c r="E61" s="12" t="s">
        <v>2414</v>
      </c>
      <c r="F61" s="13"/>
      <c r="G61" s="13"/>
      <c r="H61" s="13"/>
      <c r="I61" s="13"/>
      <c r="J61" s="14"/>
      <c r="K61" s="3" t="s">
        <v>750</v>
      </c>
      <c r="L61" s="3"/>
      <c r="M61" s="3" t="s">
        <v>750</v>
      </c>
      <c r="N61" s="3"/>
    </row>
    <row r="62" spans="1:14" x14ac:dyDescent="0.4">
      <c r="A62" s="3">
        <f t="shared" si="0"/>
        <v>58</v>
      </c>
      <c r="B62" s="16"/>
      <c r="C62" s="16"/>
      <c r="D62" s="16"/>
      <c r="E62" s="12" t="s">
        <v>2415</v>
      </c>
      <c r="F62" s="13"/>
      <c r="G62" s="13"/>
      <c r="H62" s="13"/>
      <c r="I62" s="13"/>
      <c r="J62" s="14"/>
      <c r="K62" s="3" t="s">
        <v>304</v>
      </c>
      <c r="L62" s="3"/>
      <c r="M62" s="3" t="s">
        <v>304</v>
      </c>
      <c r="N62" s="3"/>
    </row>
    <row r="63" spans="1:14" x14ac:dyDescent="0.4">
      <c r="A63" s="3">
        <f t="shared" si="0"/>
        <v>59</v>
      </c>
      <c r="B63" s="16"/>
      <c r="C63" s="16"/>
      <c r="D63" s="16"/>
      <c r="E63" s="12" t="s">
        <v>2416</v>
      </c>
      <c r="F63" s="13"/>
      <c r="G63" s="13"/>
      <c r="H63" s="13"/>
      <c r="I63" s="13"/>
      <c r="J63" s="14"/>
      <c r="K63" s="3" t="s">
        <v>304</v>
      </c>
      <c r="L63" s="3"/>
      <c r="M63" s="3" t="s">
        <v>304</v>
      </c>
      <c r="N63" s="3"/>
    </row>
    <row r="64" spans="1:14" x14ac:dyDescent="0.4">
      <c r="A64" s="3">
        <f t="shared" si="0"/>
        <v>60</v>
      </c>
      <c r="B64" s="16"/>
      <c r="C64" s="16"/>
      <c r="D64" s="16"/>
      <c r="E64" s="12" t="s">
        <v>2417</v>
      </c>
      <c r="F64" s="13"/>
      <c r="G64" s="13"/>
      <c r="H64" s="13"/>
      <c r="I64" s="13"/>
      <c r="J64" s="14"/>
      <c r="K64" s="11" t="s">
        <v>1240</v>
      </c>
      <c r="L64" s="11"/>
      <c r="M64" s="11" t="s">
        <v>1240</v>
      </c>
      <c r="N64" s="3"/>
    </row>
    <row r="65" spans="1:14" x14ac:dyDescent="0.4">
      <c r="A65" s="3">
        <f t="shared" si="0"/>
        <v>61</v>
      </c>
      <c r="B65" s="16"/>
      <c r="C65" s="16"/>
      <c r="D65" s="16"/>
      <c r="E65" s="12" t="s">
        <v>2418</v>
      </c>
      <c r="F65" s="13"/>
      <c r="G65" s="13"/>
      <c r="H65" s="13"/>
      <c r="I65" s="13"/>
      <c r="J65" s="14"/>
      <c r="K65" s="3" t="s">
        <v>304</v>
      </c>
      <c r="L65" s="3"/>
      <c r="M65" s="3" t="s">
        <v>304</v>
      </c>
      <c r="N65" s="3"/>
    </row>
    <row r="66" spans="1:14" x14ac:dyDescent="0.4">
      <c r="A66" s="3">
        <f t="shared" si="0"/>
        <v>62</v>
      </c>
      <c r="B66" s="16"/>
      <c r="C66" s="16"/>
      <c r="D66" s="16"/>
      <c r="E66" s="12" t="s">
        <v>2419</v>
      </c>
      <c r="F66" s="13"/>
      <c r="G66" s="13"/>
      <c r="H66" s="13"/>
      <c r="I66" s="13"/>
      <c r="J66" s="14"/>
      <c r="K66" s="11" t="s">
        <v>1240</v>
      </c>
      <c r="L66" s="11"/>
      <c r="M66" s="11" t="s">
        <v>1240</v>
      </c>
      <c r="N66" s="3"/>
    </row>
    <row r="67" spans="1:14" x14ac:dyDescent="0.4">
      <c r="A67" s="3">
        <f t="shared" si="0"/>
        <v>63</v>
      </c>
      <c r="B67" s="16"/>
      <c r="C67" s="16"/>
      <c r="D67" s="16"/>
      <c r="E67" s="12" t="s">
        <v>2420</v>
      </c>
      <c r="F67" s="13"/>
      <c r="G67" s="13"/>
      <c r="H67" s="13"/>
      <c r="I67" s="13"/>
      <c r="J67" s="14"/>
      <c r="K67" s="3" t="s">
        <v>751</v>
      </c>
      <c r="L67" s="3"/>
      <c r="M67" s="3" t="s">
        <v>751</v>
      </c>
      <c r="N67" s="3"/>
    </row>
    <row r="68" spans="1:14" x14ac:dyDescent="0.4">
      <c r="A68" s="3">
        <f t="shared" si="0"/>
        <v>64</v>
      </c>
      <c r="B68" s="16"/>
      <c r="C68" s="16"/>
      <c r="D68" s="16"/>
      <c r="E68" s="12" t="s">
        <v>2421</v>
      </c>
      <c r="F68" s="13"/>
      <c r="G68" s="13"/>
      <c r="H68" s="13"/>
      <c r="I68" s="13"/>
      <c r="J68" s="14"/>
      <c r="K68" s="11" t="s">
        <v>1240</v>
      </c>
      <c r="L68" s="11"/>
      <c r="M68" s="11" t="s">
        <v>1240</v>
      </c>
      <c r="N68" s="3"/>
    </row>
    <row r="69" spans="1:14" x14ac:dyDescent="0.4">
      <c r="A69" s="3">
        <f t="shared" si="0"/>
        <v>65</v>
      </c>
      <c r="B69" s="16"/>
      <c r="C69" s="16"/>
      <c r="D69" s="16"/>
      <c r="E69" s="12" t="s">
        <v>2422</v>
      </c>
      <c r="F69" s="13"/>
      <c r="G69" s="13"/>
      <c r="H69" s="13"/>
      <c r="I69" s="13"/>
      <c r="J69" s="14"/>
      <c r="K69" s="3" t="s">
        <v>752</v>
      </c>
      <c r="L69" s="3"/>
      <c r="M69" s="3" t="s">
        <v>752</v>
      </c>
      <c r="N69" s="3"/>
    </row>
    <row r="70" spans="1:14" x14ac:dyDescent="0.4">
      <c r="A70" s="3">
        <f t="shared" si="0"/>
        <v>66</v>
      </c>
      <c r="B70" s="16"/>
      <c r="C70" s="16"/>
      <c r="D70" s="16"/>
      <c r="E70" s="12" t="s">
        <v>736</v>
      </c>
      <c r="F70" s="13"/>
      <c r="G70" s="13"/>
      <c r="H70" s="13"/>
      <c r="I70" s="13"/>
      <c r="J70" s="14"/>
      <c r="K70" s="11" t="s">
        <v>1240</v>
      </c>
      <c r="L70" s="11"/>
      <c r="M70" s="11" t="s">
        <v>1240</v>
      </c>
      <c r="N70" s="3"/>
    </row>
    <row r="71" spans="1:14" x14ac:dyDescent="0.4">
      <c r="A71" s="3">
        <f t="shared" si="0"/>
        <v>67</v>
      </c>
      <c r="B71" s="16"/>
      <c r="C71" s="16"/>
      <c r="D71" s="16"/>
      <c r="E71" s="12" t="s">
        <v>737</v>
      </c>
      <c r="F71" s="13"/>
      <c r="G71" s="13"/>
      <c r="H71" s="13"/>
      <c r="I71" s="13"/>
      <c r="J71" s="14"/>
      <c r="K71" s="3" t="s">
        <v>304</v>
      </c>
      <c r="L71" s="3"/>
      <c r="M71" s="3" t="s">
        <v>304</v>
      </c>
      <c r="N71" s="3"/>
    </row>
    <row r="72" spans="1:14" x14ac:dyDescent="0.4">
      <c r="A72" s="3">
        <f t="shared" ref="A72:A135" si="1">A71+1</f>
        <v>68</v>
      </c>
      <c r="B72" s="16"/>
      <c r="C72" s="16"/>
      <c r="D72" s="16"/>
      <c r="E72" s="12" t="s">
        <v>2423</v>
      </c>
      <c r="F72" s="13"/>
      <c r="G72" s="13"/>
      <c r="H72" s="13"/>
      <c r="I72" s="13"/>
      <c r="J72" s="14"/>
      <c r="K72" s="11" t="s">
        <v>1240</v>
      </c>
      <c r="L72" s="11"/>
      <c r="M72" s="11" t="s">
        <v>1240</v>
      </c>
      <c r="N72" s="3"/>
    </row>
    <row r="73" spans="1:14" x14ac:dyDescent="0.4">
      <c r="A73" s="3">
        <f t="shared" si="1"/>
        <v>69</v>
      </c>
      <c r="B73" s="16"/>
      <c r="C73" s="16"/>
      <c r="D73" s="16"/>
      <c r="E73" s="12" t="s">
        <v>738</v>
      </c>
      <c r="F73" s="13"/>
      <c r="G73" s="13"/>
      <c r="H73" s="13"/>
      <c r="I73" s="13"/>
      <c r="J73" s="14"/>
      <c r="K73" s="3" t="s">
        <v>753</v>
      </c>
      <c r="L73" s="3"/>
      <c r="M73" s="3" t="s">
        <v>753</v>
      </c>
      <c r="N73" s="3"/>
    </row>
    <row r="74" spans="1:14" x14ac:dyDescent="0.4">
      <c r="A74" s="3">
        <f t="shared" si="1"/>
        <v>70</v>
      </c>
      <c r="B74" s="16"/>
      <c r="C74" s="16"/>
      <c r="D74" s="16"/>
      <c r="E74" s="12" t="s">
        <v>739</v>
      </c>
      <c r="F74" s="13"/>
      <c r="G74" s="13"/>
      <c r="H74" s="13"/>
      <c r="I74" s="13"/>
      <c r="J74" s="14"/>
      <c r="K74" s="3" t="s">
        <v>304</v>
      </c>
      <c r="L74" s="3"/>
      <c r="M74" s="3" t="s">
        <v>304</v>
      </c>
      <c r="N74" s="3"/>
    </row>
    <row r="75" spans="1:14" x14ac:dyDescent="0.4">
      <c r="A75" s="3">
        <f t="shared" si="1"/>
        <v>71</v>
      </c>
      <c r="B75" s="16"/>
      <c r="C75" s="16"/>
      <c r="D75" s="16"/>
      <c r="E75" s="12" t="s">
        <v>2424</v>
      </c>
      <c r="F75" s="13"/>
      <c r="G75" s="13"/>
      <c r="H75" s="13"/>
      <c r="I75" s="13"/>
      <c r="J75" s="14"/>
      <c r="K75" s="3" t="s">
        <v>304</v>
      </c>
      <c r="L75" s="3"/>
      <c r="M75" s="3" t="s">
        <v>304</v>
      </c>
      <c r="N75" s="3"/>
    </row>
    <row r="76" spans="1:14" x14ac:dyDescent="0.4">
      <c r="A76" s="3">
        <f t="shared" si="1"/>
        <v>72</v>
      </c>
      <c r="B76" s="16"/>
      <c r="C76" s="16"/>
      <c r="D76" s="17"/>
      <c r="E76" s="12" t="s">
        <v>740</v>
      </c>
      <c r="F76" s="13"/>
      <c r="G76" s="13"/>
      <c r="H76" s="13"/>
      <c r="I76" s="13"/>
      <c r="J76" s="14"/>
      <c r="K76" s="3" t="s">
        <v>741</v>
      </c>
      <c r="L76" s="3"/>
      <c r="M76" s="3" t="s">
        <v>741</v>
      </c>
      <c r="N76" s="3"/>
    </row>
    <row r="77" spans="1:14" x14ac:dyDescent="0.4">
      <c r="A77" s="3">
        <f t="shared" si="1"/>
        <v>73</v>
      </c>
      <c r="B77" s="16"/>
      <c r="C77" s="16"/>
      <c r="D77" s="15" t="s">
        <v>754</v>
      </c>
      <c r="E77" s="9"/>
      <c r="F77" s="9"/>
      <c r="G77" s="9"/>
      <c r="H77" s="9"/>
      <c r="I77" s="9"/>
      <c r="J77" s="10"/>
      <c r="K77" s="8"/>
      <c r="L77" s="8"/>
      <c r="M77" s="8"/>
      <c r="N77" s="8"/>
    </row>
    <row r="78" spans="1:14" x14ac:dyDescent="0.4">
      <c r="A78" s="3">
        <f t="shared" si="1"/>
        <v>74</v>
      </c>
      <c r="B78" s="16"/>
      <c r="C78" s="16"/>
      <c r="D78" s="16"/>
      <c r="E78" s="12" t="s">
        <v>2425</v>
      </c>
      <c r="F78" s="13"/>
      <c r="G78" s="13"/>
      <c r="H78" s="13"/>
      <c r="I78" s="13"/>
      <c r="J78" s="14"/>
      <c r="K78" s="3" t="s">
        <v>201</v>
      </c>
      <c r="L78" s="3"/>
      <c r="M78" s="3" t="s">
        <v>201</v>
      </c>
      <c r="N78" s="3"/>
    </row>
    <row r="79" spans="1:14" x14ac:dyDescent="0.4">
      <c r="A79" s="3">
        <f t="shared" si="1"/>
        <v>75</v>
      </c>
      <c r="B79" s="16"/>
      <c r="C79" s="16"/>
      <c r="D79" s="16"/>
      <c r="E79" s="12" t="s">
        <v>2426</v>
      </c>
      <c r="F79" s="13"/>
      <c r="G79" s="13"/>
      <c r="H79" s="13"/>
      <c r="I79" s="13"/>
      <c r="J79" s="14"/>
      <c r="K79" s="3" t="s">
        <v>201</v>
      </c>
      <c r="L79" s="3"/>
      <c r="M79" s="3" t="s">
        <v>201</v>
      </c>
      <c r="N79" s="3"/>
    </row>
    <row r="80" spans="1:14" x14ac:dyDescent="0.4">
      <c r="A80" s="3">
        <f t="shared" si="1"/>
        <v>76</v>
      </c>
      <c r="B80" s="16"/>
      <c r="C80" s="16"/>
      <c r="D80" s="16"/>
      <c r="E80" s="12" t="s">
        <v>2427</v>
      </c>
      <c r="F80" s="13"/>
      <c r="G80" s="13"/>
      <c r="H80" s="13"/>
      <c r="I80" s="13"/>
      <c r="J80" s="14"/>
      <c r="K80" s="3" t="s">
        <v>182</v>
      </c>
      <c r="L80" s="3"/>
      <c r="M80" s="3" t="s">
        <v>182</v>
      </c>
      <c r="N80" s="3"/>
    </row>
    <row r="81" spans="1:14" x14ac:dyDescent="0.4">
      <c r="A81" s="3">
        <f t="shared" si="1"/>
        <v>77</v>
      </c>
      <c r="B81" s="16"/>
      <c r="C81" s="16"/>
      <c r="D81" s="16"/>
      <c r="E81" s="12" t="s">
        <v>2428</v>
      </c>
      <c r="F81" s="13"/>
      <c r="G81" s="13"/>
      <c r="H81" s="13"/>
      <c r="I81" s="13"/>
      <c r="J81" s="14"/>
      <c r="K81" s="3" t="s">
        <v>181</v>
      </c>
      <c r="L81" s="3"/>
      <c r="M81" s="3" t="s">
        <v>181</v>
      </c>
      <c r="N81" s="3"/>
    </row>
    <row r="82" spans="1:14" x14ac:dyDescent="0.4">
      <c r="A82" s="3">
        <f t="shared" si="1"/>
        <v>78</v>
      </c>
      <c r="B82" s="16"/>
      <c r="C82" s="16"/>
      <c r="D82" s="16"/>
      <c r="E82" s="12" t="s">
        <v>2429</v>
      </c>
      <c r="F82" s="13"/>
      <c r="G82" s="13"/>
      <c r="H82" s="13"/>
      <c r="I82" s="13"/>
      <c r="J82" s="14"/>
      <c r="K82" s="3" t="s">
        <v>182</v>
      </c>
      <c r="L82" s="3"/>
      <c r="M82" s="3" t="s">
        <v>182</v>
      </c>
      <c r="N82" s="3"/>
    </row>
    <row r="83" spans="1:14" x14ac:dyDescent="0.4">
      <c r="A83" s="3">
        <f t="shared" si="1"/>
        <v>79</v>
      </c>
      <c r="B83" s="16"/>
      <c r="C83" s="16"/>
      <c r="D83" s="16"/>
      <c r="E83" s="12" t="s">
        <v>2430</v>
      </c>
      <c r="F83" s="13"/>
      <c r="G83" s="13"/>
      <c r="H83" s="13"/>
      <c r="I83" s="13"/>
      <c r="J83" s="14"/>
      <c r="K83" s="3" t="s">
        <v>201</v>
      </c>
      <c r="L83" s="3"/>
      <c r="M83" s="3" t="s">
        <v>201</v>
      </c>
      <c r="N83" s="3"/>
    </row>
    <row r="84" spans="1:14" x14ac:dyDescent="0.4">
      <c r="A84" s="3">
        <f t="shared" si="1"/>
        <v>80</v>
      </c>
      <c r="B84" s="16"/>
      <c r="C84" s="16"/>
      <c r="D84" s="16"/>
      <c r="E84" s="12" t="s">
        <v>2431</v>
      </c>
      <c r="F84" s="13"/>
      <c r="G84" s="13"/>
      <c r="H84" s="13"/>
      <c r="I84" s="13"/>
      <c r="J84" s="14"/>
      <c r="K84" s="3" t="s">
        <v>182</v>
      </c>
      <c r="L84" s="3"/>
      <c r="M84" s="3" t="s">
        <v>182</v>
      </c>
      <c r="N84" s="3"/>
    </row>
    <row r="85" spans="1:14" x14ac:dyDescent="0.4">
      <c r="A85" s="3">
        <f t="shared" si="1"/>
        <v>81</v>
      </c>
      <c r="B85" s="16"/>
      <c r="C85" s="16"/>
      <c r="D85" s="16"/>
      <c r="E85" s="12" t="s">
        <v>2432</v>
      </c>
      <c r="F85" s="13"/>
      <c r="G85" s="13"/>
      <c r="H85" s="13"/>
      <c r="I85" s="13"/>
      <c r="J85" s="14"/>
      <c r="K85" s="3" t="s">
        <v>201</v>
      </c>
      <c r="L85" s="3"/>
      <c r="M85" s="3" t="s">
        <v>201</v>
      </c>
      <c r="N85" s="3"/>
    </row>
    <row r="86" spans="1:14" x14ac:dyDescent="0.4">
      <c r="A86" s="3">
        <f t="shared" si="1"/>
        <v>82</v>
      </c>
      <c r="B86" s="16"/>
      <c r="C86" s="16"/>
      <c r="D86" s="16"/>
      <c r="E86" s="12" t="s">
        <v>2433</v>
      </c>
      <c r="F86" s="13"/>
      <c r="G86" s="13"/>
      <c r="H86" s="13"/>
      <c r="I86" s="13"/>
      <c r="J86" s="14"/>
      <c r="K86" s="3" t="s">
        <v>766</v>
      </c>
      <c r="L86" s="3"/>
      <c r="M86" s="3" t="s">
        <v>766</v>
      </c>
      <c r="N86" s="3"/>
    </row>
    <row r="87" spans="1:14" x14ac:dyDescent="0.4">
      <c r="A87" s="3">
        <f t="shared" si="1"/>
        <v>83</v>
      </c>
      <c r="B87" s="16"/>
      <c r="C87" s="16"/>
      <c r="D87" s="16"/>
      <c r="E87" s="12" t="s">
        <v>2434</v>
      </c>
      <c r="F87" s="13"/>
      <c r="G87" s="13"/>
      <c r="H87" s="13"/>
      <c r="I87" s="13"/>
      <c r="J87" s="14"/>
      <c r="K87" s="3" t="s">
        <v>181</v>
      </c>
      <c r="L87" s="3"/>
      <c r="M87" s="3" t="s">
        <v>181</v>
      </c>
      <c r="N87" s="3"/>
    </row>
    <row r="88" spans="1:14" x14ac:dyDescent="0.4">
      <c r="A88" s="3">
        <f t="shared" si="1"/>
        <v>84</v>
      </c>
      <c r="B88" s="16"/>
      <c r="C88" s="16"/>
      <c r="D88" s="16"/>
      <c r="E88" s="12" t="s">
        <v>2435</v>
      </c>
      <c r="F88" s="13"/>
      <c r="G88" s="13"/>
      <c r="H88" s="13"/>
      <c r="I88" s="13"/>
      <c r="J88" s="14"/>
      <c r="K88" s="3" t="s">
        <v>182</v>
      </c>
      <c r="L88" s="3"/>
      <c r="M88" s="3" t="s">
        <v>182</v>
      </c>
      <c r="N88" s="3"/>
    </row>
    <row r="89" spans="1:14" x14ac:dyDescent="0.4">
      <c r="A89" s="3">
        <f t="shared" si="1"/>
        <v>85</v>
      </c>
      <c r="B89" s="16"/>
      <c r="C89" s="16"/>
      <c r="D89" s="16"/>
      <c r="E89" s="12" t="s">
        <v>755</v>
      </c>
      <c r="F89" s="13"/>
      <c r="G89" s="13"/>
      <c r="H89" s="13"/>
      <c r="I89" s="13"/>
      <c r="J89" s="14"/>
      <c r="K89" s="3" t="s">
        <v>181</v>
      </c>
      <c r="L89" s="3"/>
      <c r="M89" s="3" t="s">
        <v>181</v>
      </c>
      <c r="N89" s="3"/>
    </row>
    <row r="90" spans="1:14" x14ac:dyDescent="0.4">
      <c r="A90" s="3">
        <f t="shared" si="1"/>
        <v>86</v>
      </c>
      <c r="B90" s="16"/>
      <c r="C90" s="16"/>
      <c r="D90" s="16"/>
      <c r="E90" s="12" t="s">
        <v>756</v>
      </c>
      <c r="F90" s="13"/>
      <c r="G90" s="13"/>
      <c r="H90" s="13"/>
      <c r="I90" s="13"/>
      <c r="J90" s="14"/>
      <c r="K90" s="3" t="s">
        <v>183</v>
      </c>
      <c r="L90" s="3"/>
      <c r="M90" s="3" t="s">
        <v>183</v>
      </c>
      <c r="N90" s="3"/>
    </row>
    <row r="91" spans="1:14" x14ac:dyDescent="0.4">
      <c r="A91" s="3">
        <f t="shared" si="1"/>
        <v>87</v>
      </c>
      <c r="B91" s="16"/>
      <c r="C91" s="16"/>
      <c r="D91" s="16"/>
      <c r="E91" s="12" t="s">
        <v>757</v>
      </c>
      <c r="F91" s="13"/>
      <c r="G91" s="13"/>
      <c r="H91" s="13"/>
      <c r="I91" s="13"/>
      <c r="J91" s="14"/>
      <c r="K91" s="3" t="s">
        <v>182</v>
      </c>
      <c r="L91" s="3"/>
      <c r="M91" s="3" t="s">
        <v>182</v>
      </c>
      <c r="N91" s="3"/>
    </row>
    <row r="92" spans="1:14" x14ac:dyDescent="0.4">
      <c r="A92" s="3">
        <f t="shared" si="1"/>
        <v>88</v>
      </c>
      <c r="B92" s="16"/>
      <c r="C92" s="16"/>
      <c r="D92" s="16"/>
      <c r="E92" s="12" t="s">
        <v>758</v>
      </c>
      <c r="F92" s="13"/>
      <c r="G92" s="13"/>
      <c r="H92" s="13"/>
      <c r="I92" s="13"/>
      <c r="J92" s="14"/>
      <c r="K92" s="3" t="s">
        <v>767</v>
      </c>
      <c r="L92" s="3"/>
      <c r="M92" s="3" t="s">
        <v>767</v>
      </c>
      <c r="N92" s="3"/>
    </row>
    <row r="93" spans="1:14" x14ac:dyDescent="0.4">
      <c r="A93" s="3">
        <f t="shared" si="1"/>
        <v>89</v>
      </c>
      <c r="B93" s="16"/>
      <c r="C93" s="16"/>
      <c r="D93" s="16"/>
      <c r="E93" s="12" t="s">
        <v>2436</v>
      </c>
      <c r="F93" s="13"/>
      <c r="G93" s="13"/>
      <c r="H93" s="13"/>
      <c r="I93" s="13"/>
      <c r="J93" s="14"/>
      <c r="K93" s="3" t="s">
        <v>181</v>
      </c>
      <c r="L93" s="3"/>
      <c r="M93" s="3" t="s">
        <v>181</v>
      </c>
      <c r="N93" s="3"/>
    </row>
    <row r="94" spans="1:14" x14ac:dyDescent="0.4">
      <c r="A94" s="3">
        <f t="shared" si="1"/>
        <v>90</v>
      </c>
      <c r="B94" s="16"/>
      <c r="C94" s="16"/>
      <c r="D94" s="16"/>
      <c r="E94" s="12" t="s">
        <v>759</v>
      </c>
      <c r="F94" s="13"/>
      <c r="G94" s="13"/>
      <c r="H94" s="13"/>
      <c r="I94" s="13"/>
      <c r="J94" s="14"/>
      <c r="K94" s="3" t="s">
        <v>201</v>
      </c>
      <c r="L94" s="3"/>
      <c r="M94" s="3" t="s">
        <v>201</v>
      </c>
      <c r="N94" s="3"/>
    </row>
    <row r="95" spans="1:14" x14ac:dyDescent="0.4">
      <c r="A95" s="3">
        <f t="shared" si="1"/>
        <v>91</v>
      </c>
      <c r="B95" s="16"/>
      <c r="C95" s="16"/>
      <c r="D95" s="16"/>
      <c r="E95" s="12" t="s">
        <v>760</v>
      </c>
      <c r="F95" s="13"/>
      <c r="G95" s="13"/>
      <c r="H95" s="13"/>
      <c r="I95" s="13"/>
      <c r="J95" s="14"/>
      <c r="K95" s="3" t="s">
        <v>181</v>
      </c>
      <c r="L95" s="3"/>
      <c r="M95" s="3" t="s">
        <v>181</v>
      </c>
      <c r="N95" s="3"/>
    </row>
    <row r="96" spans="1:14" x14ac:dyDescent="0.4">
      <c r="A96" s="3">
        <f t="shared" si="1"/>
        <v>92</v>
      </c>
      <c r="B96" s="16"/>
      <c r="C96" s="16"/>
      <c r="D96" s="16"/>
      <c r="E96" s="12" t="s">
        <v>761</v>
      </c>
      <c r="F96" s="13"/>
      <c r="G96" s="13"/>
      <c r="H96" s="13"/>
      <c r="I96" s="13"/>
      <c r="J96" s="14"/>
      <c r="K96" s="3" t="s">
        <v>181</v>
      </c>
      <c r="L96" s="3"/>
      <c r="M96" s="3" t="s">
        <v>181</v>
      </c>
      <c r="N96" s="3"/>
    </row>
    <row r="97" spans="1:14" x14ac:dyDescent="0.4">
      <c r="A97" s="3">
        <f t="shared" si="1"/>
        <v>93</v>
      </c>
      <c r="B97" s="16"/>
      <c r="C97" s="16"/>
      <c r="D97" s="16"/>
      <c r="E97" s="12" t="s">
        <v>2437</v>
      </c>
      <c r="F97" s="13"/>
      <c r="G97" s="13"/>
      <c r="H97" s="13"/>
      <c r="I97" s="13"/>
      <c r="J97" s="14"/>
      <c r="K97" s="3" t="s">
        <v>201</v>
      </c>
      <c r="L97" s="3"/>
      <c r="M97" s="3" t="s">
        <v>201</v>
      </c>
      <c r="N97" s="3"/>
    </row>
    <row r="98" spans="1:14" x14ac:dyDescent="0.4">
      <c r="A98" s="3">
        <f t="shared" si="1"/>
        <v>94</v>
      </c>
      <c r="B98" s="16"/>
      <c r="C98" s="16"/>
      <c r="D98" s="16"/>
      <c r="E98" s="12" t="s">
        <v>762</v>
      </c>
      <c r="F98" s="13"/>
      <c r="G98" s="13"/>
      <c r="H98" s="13"/>
      <c r="I98" s="13"/>
      <c r="J98" s="14"/>
      <c r="K98" s="3" t="s">
        <v>182</v>
      </c>
      <c r="L98" s="3"/>
      <c r="M98" s="3" t="s">
        <v>182</v>
      </c>
      <c r="N98" s="3"/>
    </row>
    <row r="99" spans="1:14" x14ac:dyDescent="0.4">
      <c r="A99" s="3">
        <f t="shared" si="1"/>
        <v>95</v>
      </c>
      <c r="B99" s="16"/>
      <c r="C99" s="16"/>
      <c r="D99" s="16"/>
      <c r="E99" s="12" t="s">
        <v>763</v>
      </c>
      <c r="F99" s="13"/>
      <c r="G99" s="13"/>
      <c r="H99" s="13"/>
      <c r="I99" s="13"/>
      <c r="J99" s="14"/>
      <c r="K99" s="11" t="s">
        <v>1240</v>
      </c>
      <c r="L99" s="11"/>
      <c r="M99" s="11" t="s">
        <v>1240</v>
      </c>
      <c r="N99" s="3"/>
    </row>
    <row r="100" spans="1:14" x14ac:dyDescent="0.4">
      <c r="A100" s="3">
        <f t="shared" si="1"/>
        <v>96</v>
      </c>
      <c r="B100" s="16"/>
      <c r="C100" s="16"/>
      <c r="D100" s="16"/>
      <c r="E100" s="12" t="s">
        <v>2438</v>
      </c>
      <c r="F100" s="13"/>
      <c r="G100" s="13"/>
      <c r="H100" s="13"/>
      <c r="I100" s="13"/>
      <c r="J100" s="14"/>
      <c r="K100" s="3" t="s">
        <v>182</v>
      </c>
      <c r="L100" s="3"/>
      <c r="M100" s="3" t="s">
        <v>182</v>
      </c>
      <c r="N100" s="3"/>
    </row>
    <row r="101" spans="1:14" x14ac:dyDescent="0.4">
      <c r="A101" s="3">
        <f t="shared" si="1"/>
        <v>97</v>
      </c>
      <c r="B101" s="16"/>
      <c r="C101" s="16"/>
      <c r="D101" s="16"/>
      <c r="E101" s="12" t="s">
        <v>764</v>
      </c>
      <c r="F101" s="13"/>
      <c r="G101" s="13"/>
      <c r="H101" s="13"/>
      <c r="I101" s="13"/>
      <c r="J101" s="14"/>
      <c r="K101" s="3" t="s">
        <v>182</v>
      </c>
      <c r="L101" s="3"/>
      <c r="M101" s="3" t="s">
        <v>182</v>
      </c>
      <c r="N101" s="3"/>
    </row>
    <row r="102" spans="1:14" x14ac:dyDescent="0.4">
      <c r="A102" s="3">
        <f t="shared" si="1"/>
        <v>98</v>
      </c>
      <c r="B102" s="16"/>
      <c r="C102" s="16"/>
      <c r="D102" s="16"/>
      <c r="E102" s="12" t="s">
        <v>2439</v>
      </c>
      <c r="F102" s="13"/>
      <c r="G102" s="13"/>
      <c r="H102" s="13"/>
      <c r="I102" s="13"/>
      <c r="J102" s="14"/>
      <c r="K102" s="3" t="s">
        <v>182</v>
      </c>
      <c r="L102" s="3"/>
      <c r="M102" s="3" t="s">
        <v>182</v>
      </c>
      <c r="N102" s="3"/>
    </row>
    <row r="103" spans="1:14" x14ac:dyDescent="0.4">
      <c r="A103" s="3">
        <f t="shared" si="1"/>
        <v>99</v>
      </c>
      <c r="B103" s="16"/>
      <c r="C103" s="16"/>
      <c r="D103" s="16"/>
      <c r="E103" s="12" t="s">
        <v>2440</v>
      </c>
      <c r="F103" s="13"/>
      <c r="G103" s="13"/>
      <c r="H103" s="13"/>
      <c r="I103" s="13"/>
      <c r="J103" s="14"/>
      <c r="K103" s="3" t="s">
        <v>201</v>
      </c>
      <c r="L103" s="3"/>
      <c r="M103" s="3" t="s">
        <v>201</v>
      </c>
      <c r="N103" s="3"/>
    </row>
    <row r="104" spans="1:14" x14ac:dyDescent="0.4">
      <c r="A104" s="3">
        <f t="shared" si="1"/>
        <v>100</v>
      </c>
      <c r="B104" s="16"/>
      <c r="C104" s="16"/>
      <c r="D104" s="16"/>
      <c r="E104" s="12" t="s">
        <v>2441</v>
      </c>
      <c r="F104" s="13"/>
      <c r="G104" s="13"/>
      <c r="H104" s="13"/>
      <c r="I104" s="13"/>
      <c r="J104" s="14"/>
      <c r="K104" s="3" t="s">
        <v>201</v>
      </c>
      <c r="L104" s="3"/>
      <c r="M104" s="3" t="s">
        <v>201</v>
      </c>
      <c r="N104" s="3"/>
    </row>
    <row r="105" spans="1:14" x14ac:dyDescent="0.4">
      <c r="A105" s="3">
        <f t="shared" si="1"/>
        <v>101</v>
      </c>
      <c r="B105" s="16"/>
      <c r="C105" s="16"/>
      <c r="D105" s="16"/>
      <c r="E105" s="12" t="s">
        <v>2442</v>
      </c>
      <c r="F105" s="13"/>
      <c r="G105" s="13"/>
      <c r="H105" s="13"/>
      <c r="I105" s="13"/>
      <c r="J105" s="14"/>
      <c r="K105" s="3" t="s">
        <v>181</v>
      </c>
      <c r="L105" s="3"/>
      <c r="M105" s="3" t="s">
        <v>181</v>
      </c>
      <c r="N105" s="3"/>
    </row>
    <row r="106" spans="1:14" x14ac:dyDescent="0.4">
      <c r="A106" s="3">
        <f t="shared" si="1"/>
        <v>102</v>
      </c>
      <c r="B106" s="16"/>
      <c r="C106" s="16"/>
      <c r="D106" s="16"/>
      <c r="E106" s="12" t="s">
        <v>2443</v>
      </c>
      <c r="F106" s="13"/>
      <c r="G106" s="13"/>
      <c r="H106" s="13"/>
      <c r="I106" s="13"/>
      <c r="J106" s="14"/>
      <c r="K106" s="3" t="s">
        <v>201</v>
      </c>
      <c r="L106" s="3"/>
      <c r="M106" s="3" t="s">
        <v>201</v>
      </c>
      <c r="N106" s="3"/>
    </row>
    <row r="107" spans="1:14" x14ac:dyDescent="0.4">
      <c r="A107" s="3">
        <f t="shared" si="1"/>
        <v>103</v>
      </c>
      <c r="B107" s="16"/>
      <c r="C107" s="16"/>
      <c r="D107" s="16"/>
      <c r="E107" s="12" t="s">
        <v>765</v>
      </c>
      <c r="F107" s="13"/>
      <c r="G107" s="13"/>
      <c r="H107" s="13"/>
      <c r="I107" s="13"/>
      <c r="J107" s="14"/>
      <c r="K107" s="3" t="s">
        <v>181</v>
      </c>
      <c r="L107" s="3"/>
      <c r="M107" s="3" t="s">
        <v>181</v>
      </c>
      <c r="N107" s="3"/>
    </row>
    <row r="108" spans="1:14" x14ac:dyDescent="0.4">
      <c r="A108" s="3">
        <f t="shared" si="1"/>
        <v>104</v>
      </c>
      <c r="B108" s="16"/>
      <c r="C108" s="16"/>
      <c r="D108" s="16"/>
      <c r="E108" s="12" t="s">
        <v>2444</v>
      </c>
      <c r="F108" s="13"/>
      <c r="G108" s="13"/>
      <c r="H108" s="13"/>
      <c r="I108" s="13"/>
      <c r="J108" s="14"/>
      <c r="K108" s="3" t="s">
        <v>201</v>
      </c>
      <c r="L108" s="3"/>
      <c r="M108" s="3" t="s">
        <v>201</v>
      </c>
      <c r="N108" s="3"/>
    </row>
    <row r="109" spans="1:14" x14ac:dyDescent="0.4">
      <c r="A109" s="3">
        <f t="shared" si="1"/>
        <v>105</v>
      </c>
      <c r="B109" s="16"/>
      <c r="C109" s="16"/>
      <c r="D109" s="16"/>
      <c r="E109" s="12" t="s">
        <v>2445</v>
      </c>
      <c r="F109" s="13"/>
      <c r="G109" s="13"/>
      <c r="H109" s="13"/>
      <c r="I109" s="13"/>
      <c r="J109" s="14"/>
      <c r="K109" s="3" t="s">
        <v>201</v>
      </c>
      <c r="L109" s="3"/>
      <c r="M109" s="3" t="s">
        <v>201</v>
      </c>
      <c r="N109" s="3"/>
    </row>
    <row r="110" spans="1:14" x14ac:dyDescent="0.4">
      <c r="A110" s="3">
        <f t="shared" si="1"/>
        <v>106</v>
      </c>
      <c r="B110" s="16"/>
      <c r="C110" s="16"/>
      <c r="D110" s="16"/>
      <c r="E110" s="12" t="s">
        <v>2446</v>
      </c>
      <c r="F110" s="13"/>
      <c r="G110" s="13"/>
      <c r="H110" s="13"/>
      <c r="I110" s="13"/>
      <c r="J110" s="14"/>
      <c r="K110" s="3" t="s">
        <v>201</v>
      </c>
      <c r="L110" s="3"/>
      <c r="M110" s="3" t="s">
        <v>201</v>
      </c>
      <c r="N110" s="3"/>
    </row>
    <row r="111" spans="1:14" x14ac:dyDescent="0.4">
      <c r="A111" s="3">
        <f t="shared" si="1"/>
        <v>107</v>
      </c>
      <c r="B111" s="16"/>
      <c r="C111" s="16"/>
      <c r="D111" s="16"/>
      <c r="E111" s="12" t="s">
        <v>2447</v>
      </c>
      <c r="F111" s="13"/>
      <c r="G111" s="13"/>
      <c r="H111" s="13"/>
      <c r="I111" s="13"/>
      <c r="J111" s="14"/>
      <c r="K111" s="3" t="s">
        <v>201</v>
      </c>
      <c r="L111" s="3"/>
      <c r="M111" s="3" t="s">
        <v>201</v>
      </c>
      <c r="N111" s="3"/>
    </row>
    <row r="112" spans="1:14" x14ac:dyDescent="0.4">
      <c r="A112" s="3">
        <f t="shared" si="1"/>
        <v>108</v>
      </c>
      <c r="B112" s="16"/>
      <c r="C112" s="16"/>
      <c r="D112" s="16"/>
      <c r="E112" s="12" t="s">
        <v>2448</v>
      </c>
      <c r="F112" s="13"/>
      <c r="G112" s="13"/>
      <c r="H112" s="13"/>
      <c r="I112" s="13"/>
      <c r="J112" s="14"/>
      <c r="K112" s="3" t="s">
        <v>201</v>
      </c>
      <c r="L112" s="3"/>
      <c r="M112" s="3" t="s">
        <v>201</v>
      </c>
      <c r="N112" s="3"/>
    </row>
    <row r="113" spans="1:14" x14ac:dyDescent="0.4">
      <c r="A113" s="3">
        <f t="shared" si="1"/>
        <v>109</v>
      </c>
      <c r="B113" s="16"/>
      <c r="C113" s="16"/>
      <c r="D113" s="16"/>
      <c r="E113" s="12" t="s">
        <v>2449</v>
      </c>
      <c r="F113" s="13"/>
      <c r="G113" s="13"/>
      <c r="H113" s="13"/>
      <c r="I113" s="13"/>
      <c r="J113" s="14"/>
      <c r="K113" s="3" t="s">
        <v>182</v>
      </c>
      <c r="L113" s="3"/>
      <c r="M113" s="3" t="s">
        <v>182</v>
      </c>
      <c r="N113" s="3"/>
    </row>
    <row r="114" spans="1:14" x14ac:dyDescent="0.4">
      <c r="A114" s="3">
        <f t="shared" si="1"/>
        <v>110</v>
      </c>
      <c r="B114" s="16"/>
      <c r="C114" s="16"/>
      <c r="D114" s="16"/>
      <c r="E114" s="12" t="s">
        <v>2450</v>
      </c>
      <c r="F114" s="13"/>
      <c r="G114" s="13"/>
      <c r="H114" s="13"/>
      <c r="I114" s="13"/>
      <c r="J114" s="14"/>
      <c r="K114" s="3" t="s">
        <v>181</v>
      </c>
      <c r="L114" s="3"/>
      <c r="M114" s="3" t="s">
        <v>181</v>
      </c>
      <c r="N114" s="3"/>
    </row>
    <row r="115" spans="1:14" x14ac:dyDescent="0.4">
      <c r="A115" s="3">
        <f t="shared" si="1"/>
        <v>111</v>
      </c>
      <c r="B115" s="16"/>
      <c r="C115" s="16"/>
      <c r="D115" s="16"/>
      <c r="E115" s="12" t="s">
        <v>2451</v>
      </c>
      <c r="F115" s="13"/>
      <c r="G115" s="13"/>
      <c r="H115" s="13"/>
      <c r="I115" s="13"/>
      <c r="J115" s="14"/>
      <c r="K115" s="3" t="s">
        <v>181</v>
      </c>
      <c r="L115" s="3"/>
      <c r="M115" s="3" t="s">
        <v>181</v>
      </c>
      <c r="N115" s="3"/>
    </row>
    <row r="116" spans="1:14" x14ac:dyDescent="0.4">
      <c r="A116" s="3">
        <f t="shared" si="1"/>
        <v>112</v>
      </c>
      <c r="B116" s="16"/>
      <c r="C116" s="16"/>
      <c r="D116" s="16"/>
      <c r="E116" s="12" t="s">
        <v>2452</v>
      </c>
      <c r="F116" s="13"/>
      <c r="G116" s="13"/>
      <c r="H116" s="13"/>
      <c r="I116" s="13"/>
      <c r="J116" s="14"/>
      <c r="K116" s="3" t="s">
        <v>181</v>
      </c>
      <c r="L116" s="3"/>
      <c r="M116" s="3" t="s">
        <v>181</v>
      </c>
      <c r="N116" s="3"/>
    </row>
    <row r="117" spans="1:14" x14ac:dyDescent="0.4">
      <c r="A117" s="3">
        <f t="shared" si="1"/>
        <v>113</v>
      </c>
      <c r="B117" s="16"/>
      <c r="C117" s="16"/>
      <c r="D117" s="16"/>
      <c r="E117" s="12" t="s">
        <v>2453</v>
      </c>
      <c r="F117" s="13"/>
      <c r="G117" s="13"/>
      <c r="H117" s="13"/>
      <c r="I117" s="13"/>
      <c r="J117" s="14"/>
      <c r="K117" s="3" t="s">
        <v>768</v>
      </c>
      <c r="L117" s="3"/>
      <c r="M117" s="3" t="s">
        <v>768</v>
      </c>
      <c r="N117" s="3"/>
    </row>
    <row r="118" spans="1:14" x14ac:dyDescent="0.4">
      <c r="A118" s="3">
        <f t="shared" si="1"/>
        <v>114</v>
      </c>
      <c r="B118" s="16"/>
      <c r="C118" s="16"/>
      <c r="D118" s="16"/>
      <c r="E118" s="12" t="s">
        <v>2454</v>
      </c>
      <c r="F118" s="13"/>
      <c r="G118" s="13"/>
      <c r="H118" s="13"/>
      <c r="I118" s="13"/>
      <c r="J118" s="14"/>
      <c r="K118" s="3" t="s">
        <v>181</v>
      </c>
      <c r="L118" s="3"/>
      <c r="M118" s="3" t="s">
        <v>181</v>
      </c>
      <c r="N118" s="3"/>
    </row>
    <row r="119" spans="1:14" x14ac:dyDescent="0.4">
      <c r="A119" s="3">
        <f t="shared" si="1"/>
        <v>115</v>
      </c>
      <c r="B119" s="16"/>
      <c r="C119" s="16"/>
      <c r="D119" s="16"/>
      <c r="E119" s="12" t="s">
        <v>2455</v>
      </c>
      <c r="F119" s="13"/>
      <c r="G119" s="13"/>
      <c r="H119" s="13"/>
      <c r="I119" s="13"/>
      <c r="J119" s="14"/>
      <c r="K119" s="3" t="s">
        <v>182</v>
      </c>
      <c r="L119" s="3"/>
      <c r="M119" s="3" t="s">
        <v>182</v>
      </c>
      <c r="N119" s="3"/>
    </row>
    <row r="120" spans="1:14" x14ac:dyDescent="0.4">
      <c r="A120" s="3">
        <f t="shared" si="1"/>
        <v>116</v>
      </c>
      <c r="B120" s="16"/>
      <c r="C120" s="16"/>
      <c r="D120" s="16"/>
      <c r="E120" s="12" t="s">
        <v>2456</v>
      </c>
      <c r="F120" s="13"/>
      <c r="G120" s="13"/>
      <c r="H120" s="13"/>
      <c r="I120" s="13"/>
      <c r="J120" s="14"/>
      <c r="K120" s="3" t="s">
        <v>182</v>
      </c>
      <c r="L120" s="3"/>
      <c r="M120" s="3" t="s">
        <v>182</v>
      </c>
      <c r="N120" s="3"/>
    </row>
    <row r="121" spans="1:14" x14ac:dyDescent="0.4">
      <c r="A121" s="3">
        <f t="shared" si="1"/>
        <v>117</v>
      </c>
      <c r="B121" s="16"/>
      <c r="C121" s="16"/>
      <c r="D121" s="16"/>
      <c r="E121" s="12" t="s">
        <v>2457</v>
      </c>
      <c r="F121" s="13"/>
      <c r="G121" s="13"/>
      <c r="H121" s="13"/>
      <c r="I121" s="13"/>
      <c r="J121" s="14"/>
      <c r="K121" s="3" t="s">
        <v>181</v>
      </c>
      <c r="L121" s="3"/>
      <c r="M121" s="3" t="s">
        <v>181</v>
      </c>
      <c r="N121" s="3"/>
    </row>
    <row r="122" spans="1:14" x14ac:dyDescent="0.4">
      <c r="A122" s="3">
        <f t="shared" si="1"/>
        <v>118</v>
      </c>
      <c r="B122" s="16"/>
      <c r="C122" s="16"/>
      <c r="D122" s="16"/>
      <c r="E122" s="12" t="s">
        <v>2458</v>
      </c>
      <c r="F122" s="13"/>
      <c r="G122" s="13"/>
      <c r="H122" s="13"/>
      <c r="I122" s="13"/>
      <c r="J122" s="14"/>
      <c r="K122" s="3" t="s">
        <v>201</v>
      </c>
      <c r="L122" s="3"/>
      <c r="M122" s="3" t="s">
        <v>201</v>
      </c>
      <c r="N122" s="3"/>
    </row>
    <row r="123" spans="1:14" x14ac:dyDescent="0.4">
      <c r="A123" s="3">
        <f t="shared" si="1"/>
        <v>119</v>
      </c>
      <c r="B123" s="16"/>
      <c r="C123" s="16"/>
      <c r="D123" s="16"/>
      <c r="E123" s="12" t="s">
        <v>2459</v>
      </c>
      <c r="F123" s="13"/>
      <c r="G123" s="13"/>
      <c r="H123" s="13"/>
      <c r="I123" s="13"/>
      <c r="J123" s="14"/>
      <c r="K123" s="3" t="s">
        <v>182</v>
      </c>
      <c r="L123" s="3"/>
      <c r="M123" s="3" t="s">
        <v>182</v>
      </c>
      <c r="N123" s="3"/>
    </row>
    <row r="124" spans="1:14" x14ac:dyDescent="0.4">
      <c r="A124" s="3">
        <f t="shared" si="1"/>
        <v>120</v>
      </c>
      <c r="B124" s="16"/>
      <c r="C124" s="16"/>
      <c r="D124" s="16"/>
      <c r="E124" s="12" t="s">
        <v>2460</v>
      </c>
      <c r="F124" s="13"/>
      <c r="G124" s="13"/>
      <c r="H124" s="13"/>
      <c r="I124" s="13"/>
      <c r="J124" s="14"/>
      <c r="K124" s="3" t="s">
        <v>769</v>
      </c>
      <c r="L124" s="3"/>
      <c r="M124" s="3" t="s">
        <v>769</v>
      </c>
      <c r="N124" s="3"/>
    </row>
    <row r="125" spans="1:14" x14ac:dyDescent="0.4">
      <c r="A125" s="3">
        <f t="shared" si="1"/>
        <v>121</v>
      </c>
      <c r="B125" s="16"/>
      <c r="C125" s="16"/>
      <c r="D125" s="16"/>
      <c r="E125" s="12" t="s">
        <v>2461</v>
      </c>
      <c r="F125" s="13"/>
      <c r="G125" s="13"/>
      <c r="H125" s="13"/>
      <c r="I125" s="13"/>
      <c r="J125" s="14"/>
      <c r="K125" s="3" t="s">
        <v>770</v>
      </c>
      <c r="L125" s="3"/>
      <c r="M125" s="3" t="s">
        <v>770</v>
      </c>
      <c r="N125" s="3"/>
    </row>
    <row r="126" spans="1:14" x14ac:dyDescent="0.4">
      <c r="A126" s="3">
        <f t="shared" si="1"/>
        <v>122</v>
      </c>
      <c r="B126" s="16"/>
      <c r="C126" s="16"/>
      <c r="D126" s="16"/>
      <c r="E126" s="12" t="s">
        <v>2462</v>
      </c>
      <c r="F126" s="13"/>
      <c r="G126" s="13"/>
      <c r="H126" s="13"/>
      <c r="I126" s="13"/>
      <c r="J126" s="14"/>
      <c r="K126" s="11" t="s">
        <v>1240</v>
      </c>
      <c r="L126" s="11"/>
      <c r="M126" s="11" t="s">
        <v>1240</v>
      </c>
      <c r="N126" s="3"/>
    </row>
    <row r="127" spans="1:14" x14ac:dyDescent="0.4">
      <c r="A127" s="3">
        <f t="shared" si="1"/>
        <v>123</v>
      </c>
      <c r="B127" s="16"/>
      <c r="C127" s="16"/>
      <c r="D127" s="16"/>
      <c r="E127" s="12" t="s">
        <v>2463</v>
      </c>
      <c r="F127" s="13"/>
      <c r="G127" s="13"/>
      <c r="H127" s="13"/>
      <c r="I127" s="13"/>
      <c r="J127" s="14"/>
      <c r="K127" s="3" t="s">
        <v>2464</v>
      </c>
      <c r="L127" s="3"/>
      <c r="M127" s="3" t="s">
        <v>2464</v>
      </c>
      <c r="N127" s="3"/>
    </row>
    <row r="128" spans="1:14" x14ac:dyDescent="0.4">
      <c r="A128" s="3">
        <f t="shared" si="1"/>
        <v>124</v>
      </c>
      <c r="B128" s="16"/>
      <c r="C128" s="16"/>
      <c r="D128" s="16"/>
      <c r="E128" s="12" t="s">
        <v>2465</v>
      </c>
      <c r="F128" s="13"/>
      <c r="G128" s="13"/>
      <c r="H128" s="13"/>
      <c r="I128" s="13"/>
      <c r="J128" s="14"/>
      <c r="K128" s="3" t="s">
        <v>201</v>
      </c>
      <c r="L128" s="3"/>
      <c r="M128" s="3" t="s">
        <v>201</v>
      </c>
      <c r="N128" s="3"/>
    </row>
    <row r="129" spans="1:14" x14ac:dyDescent="0.4">
      <c r="A129" s="3">
        <f t="shared" si="1"/>
        <v>125</v>
      </c>
      <c r="B129" s="16"/>
      <c r="C129" s="16"/>
      <c r="D129" s="16"/>
      <c r="E129" s="12" t="s">
        <v>2466</v>
      </c>
      <c r="F129" s="13"/>
      <c r="G129" s="13"/>
      <c r="H129" s="13"/>
      <c r="I129" s="13"/>
      <c r="J129" s="14"/>
      <c r="K129" s="3" t="s">
        <v>182</v>
      </c>
      <c r="L129" s="3"/>
      <c r="M129" s="3" t="s">
        <v>182</v>
      </c>
      <c r="N129" s="3"/>
    </row>
    <row r="130" spans="1:14" x14ac:dyDescent="0.4">
      <c r="A130" s="3">
        <f t="shared" si="1"/>
        <v>126</v>
      </c>
      <c r="B130" s="16"/>
      <c r="C130" s="16"/>
      <c r="D130" s="16"/>
      <c r="E130" s="12" t="s">
        <v>2467</v>
      </c>
      <c r="F130" s="13"/>
      <c r="G130" s="13"/>
      <c r="H130" s="13"/>
      <c r="I130" s="13"/>
      <c r="J130" s="14"/>
      <c r="K130" s="3" t="s">
        <v>181</v>
      </c>
      <c r="L130" s="3"/>
      <c r="M130" s="3" t="s">
        <v>181</v>
      </c>
      <c r="N130" s="3"/>
    </row>
    <row r="131" spans="1:14" x14ac:dyDescent="0.4">
      <c r="A131" s="3">
        <f t="shared" si="1"/>
        <v>127</v>
      </c>
      <c r="B131" s="16"/>
      <c r="C131" s="16"/>
      <c r="D131" s="16"/>
      <c r="E131" s="12" t="s">
        <v>2468</v>
      </c>
      <c r="F131" s="13"/>
      <c r="G131" s="13"/>
      <c r="H131" s="13"/>
      <c r="I131" s="13"/>
      <c r="J131" s="14"/>
      <c r="K131" s="3" t="s">
        <v>201</v>
      </c>
      <c r="L131" s="3"/>
      <c r="M131" s="3" t="s">
        <v>201</v>
      </c>
      <c r="N131" s="3"/>
    </row>
    <row r="132" spans="1:14" x14ac:dyDescent="0.4">
      <c r="A132" s="3">
        <f t="shared" si="1"/>
        <v>128</v>
      </c>
      <c r="B132" s="16"/>
      <c r="C132" s="16"/>
      <c r="D132" s="16"/>
      <c r="E132" s="12" t="s">
        <v>2469</v>
      </c>
      <c r="F132" s="13"/>
      <c r="G132" s="13"/>
      <c r="H132" s="13"/>
      <c r="I132" s="13"/>
      <c r="J132" s="14"/>
      <c r="K132" s="3" t="s">
        <v>201</v>
      </c>
      <c r="L132" s="3"/>
      <c r="M132" s="3" t="s">
        <v>201</v>
      </c>
      <c r="N132" s="3"/>
    </row>
    <row r="133" spans="1:14" x14ac:dyDescent="0.4">
      <c r="A133" s="3">
        <f t="shared" si="1"/>
        <v>129</v>
      </c>
      <c r="B133" s="16"/>
      <c r="C133" s="16"/>
      <c r="D133" s="16"/>
      <c r="E133" s="12" t="s">
        <v>2470</v>
      </c>
      <c r="F133" s="13"/>
      <c r="G133" s="13"/>
      <c r="H133" s="13"/>
      <c r="I133" s="13"/>
      <c r="J133" s="14"/>
      <c r="K133" s="3" t="s">
        <v>201</v>
      </c>
      <c r="L133" s="3"/>
      <c r="M133" s="3" t="s">
        <v>201</v>
      </c>
      <c r="N133" s="3"/>
    </row>
    <row r="134" spans="1:14" x14ac:dyDescent="0.4">
      <c r="A134" s="3">
        <f t="shared" si="1"/>
        <v>130</v>
      </c>
      <c r="B134" s="16"/>
      <c r="C134" s="16"/>
      <c r="D134" s="16"/>
      <c r="E134" s="12" t="s">
        <v>2471</v>
      </c>
      <c r="F134" s="13"/>
      <c r="G134" s="13"/>
      <c r="H134" s="13"/>
      <c r="I134" s="13"/>
      <c r="J134" s="14"/>
      <c r="K134" s="3" t="s">
        <v>771</v>
      </c>
      <c r="L134" s="3"/>
      <c r="M134" s="3" t="s">
        <v>771</v>
      </c>
      <c r="N134" s="3"/>
    </row>
    <row r="135" spans="1:14" x14ac:dyDescent="0.4">
      <c r="A135" s="3">
        <f t="shared" si="1"/>
        <v>131</v>
      </c>
      <c r="B135" s="16"/>
      <c r="C135" s="16"/>
      <c r="D135" s="16"/>
      <c r="E135" s="12" t="s">
        <v>2472</v>
      </c>
      <c r="F135" s="13"/>
      <c r="G135" s="13"/>
      <c r="H135" s="13"/>
      <c r="I135" s="13"/>
      <c r="J135" s="14"/>
      <c r="K135" s="3" t="s">
        <v>771</v>
      </c>
      <c r="L135" s="3"/>
      <c r="M135" s="3" t="s">
        <v>771</v>
      </c>
      <c r="N135" s="3"/>
    </row>
    <row r="136" spans="1:14" x14ac:dyDescent="0.4">
      <c r="A136" s="3">
        <f t="shared" ref="A136:A176" si="2">A135+1</f>
        <v>132</v>
      </c>
      <c r="B136" s="16"/>
      <c r="C136" s="16"/>
      <c r="D136" s="16"/>
      <c r="E136" s="12" t="s">
        <v>2473</v>
      </c>
      <c r="F136" s="13"/>
      <c r="G136" s="13"/>
      <c r="H136" s="13"/>
      <c r="I136" s="13"/>
      <c r="J136" s="14"/>
      <c r="K136" s="3" t="s">
        <v>201</v>
      </c>
      <c r="L136" s="3"/>
      <c r="M136" s="3" t="s">
        <v>201</v>
      </c>
      <c r="N136" s="3"/>
    </row>
    <row r="137" spans="1:14" x14ac:dyDescent="0.4">
      <c r="A137" s="3">
        <f t="shared" si="2"/>
        <v>133</v>
      </c>
      <c r="B137" s="16"/>
      <c r="C137" s="16"/>
      <c r="D137" s="16"/>
      <c r="E137" s="12" t="s">
        <v>2474</v>
      </c>
      <c r="F137" s="13"/>
      <c r="G137" s="13"/>
      <c r="H137" s="13"/>
      <c r="I137" s="13"/>
      <c r="J137" s="14"/>
      <c r="K137" s="3" t="s">
        <v>201</v>
      </c>
      <c r="L137" s="3"/>
      <c r="M137" s="3" t="s">
        <v>201</v>
      </c>
      <c r="N137" s="3"/>
    </row>
    <row r="138" spans="1:14" x14ac:dyDescent="0.4">
      <c r="A138" s="3">
        <f t="shared" si="2"/>
        <v>134</v>
      </c>
      <c r="B138" s="16"/>
      <c r="C138" s="16"/>
      <c r="D138" s="16"/>
      <c r="E138" s="12" t="s">
        <v>2475</v>
      </c>
      <c r="F138" s="13"/>
      <c r="G138" s="13"/>
      <c r="H138" s="13"/>
      <c r="I138" s="13"/>
      <c r="J138" s="14"/>
      <c r="K138" s="3" t="s">
        <v>201</v>
      </c>
      <c r="L138" s="3"/>
      <c r="M138" s="3" t="s">
        <v>201</v>
      </c>
      <c r="N138" s="3"/>
    </row>
    <row r="139" spans="1:14" x14ac:dyDescent="0.4">
      <c r="A139" s="3">
        <f t="shared" si="2"/>
        <v>135</v>
      </c>
      <c r="B139" s="16"/>
      <c r="C139" s="16"/>
      <c r="D139" s="16"/>
      <c r="E139" s="12" t="s">
        <v>2476</v>
      </c>
      <c r="F139" s="13"/>
      <c r="G139" s="13"/>
      <c r="H139" s="13"/>
      <c r="I139" s="13"/>
      <c r="J139" s="14"/>
      <c r="K139" s="3" t="s">
        <v>201</v>
      </c>
      <c r="L139" s="3"/>
      <c r="M139" s="3" t="s">
        <v>201</v>
      </c>
      <c r="N139" s="3"/>
    </row>
    <row r="140" spans="1:14" x14ac:dyDescent="0.4">
      <c r="A140" s="3">
        <f t="shared" si="2"/>
        <v>136</v>
      </c>
      <c r="B140" s="16"/>
      <c r="C140" s="16"/>
      <c r="D140" s="16"/>
      <c r="E140" s="12" t="s">
        <v>2477</v>
      </c>
      <c r="F140" s="13"/>
      <c r="G140" s="13"/>
      <c r="H140" s="13"/>
      <c r="I140" s="13"/>
      <c r="J140" s="14"/>
      <c r="K140" s="3" t="s">
        <v>201</v>
      </c>
      <c r="L140" s="3"/>
      <c r="M140" s="3" t="s">
        <v>201</v>
      </c>
      <c r="N140" s="3"/>
    </row>
    <row r="141" spans="1:14" x14ac:dyDescent="0.4">
      <c r="A141" s="3">
        <f t="shared" si="2"/>
        <v>137</v>
      </c>
      <c r="B141" s="16"/>
      <c r="C141" s="16"/>
      <c r="D141" s="16"/>
      <c r="E141" s="12" t="s">
        <v>2478</v>
      </c>
      <c r="F141" s="13"/>
      <c r="G141" s="13"/>
      <c r="H141" s="13"/>
      <c r="I141" s="13"/>
      <c r="J141" s="14"/>
      <c r="K141" s="3" t="s">
        <v>201</v>
      </c>
      <c r="L141" s="3"/>
      <c r="M141" s="3" t="s">
        <v>201</v>
      </c>
      <c r="N141" s="3"/>
    </row>
    <row r="142" spans="1:14" x14ac:dyDescent="0.4">
      <c r="A142" s="3">
        <f t="shared" si="2"/>
        <v>138</v>
      </c>
      <c r="B142" s="16"/>
      <c r="C142" s="16"/>
      <c r="D142" s="16"/>
      <c r="E142" s="12" t="s">
        <v>2479</v>
      </c>
      <c r="F142" s="13"/>
      <c r="G142" s="13"/>
      <c r="H142" s="13"/>
      <c r="I142" s="13"/>
      <c r="J142" s="14"/>
      <c r="K142" s="3" t="s">
        <v>201</v>
      </c>
      <c r="L142" s="3"/>
      <c r="M142" s="3" t="s">
        <v>201</v>
      </c>
      <c r="N142" s="3"/>
    </row>
    <row r="143" spans="1:14" x14ac:dyDescent="0.4">
      <c r="A143" s="3">
        <f t="shared" si="2"/>
        <v>139</v>
      </c>
      <c r="B143" s="16"/>
      <c r="C143" s="16"/>
      <c r="D143" s="16"/>
      <c r="E143" s="12" t="s">
        <v>2480</v>
      </c>
      <c r="F143" s="13"/>
      <c r="G143" s="13"/>
      <c r="H143" s="13"/>
      <c r="I143" s="13"/>
      <c r="J143" s="14"/>
      <c r="K143" s="3" t="s">
        <v>201</v>
      </c>
      <c r="L143" s="3"/>
      <c r="M143" s="3" t="s">
        <v>201</v>
      </c>
      <c r="N143" s="3"/>
    </row>
    <row r="144" spans="1:14" x14ac:dyDescent="0.4">
      <c r="A144" s="3">
        <f t="shared" si="2"/>
        <v>140</v>
      </c>
      <c r="B144" s="16"/>
      <c r="C144" s="16"/>
      <c r="D144" s="16"/>
      <c r="E144" s="12" t="s">
        <v>2481</v>
      </c>
      <c r="F144" s="13"/>
      <c r="G144" s="13"/>
      <c r="H144" s="13"/>
      <c r="I144" s="13"/>
      <c r="J144" s="14"/>
      <c r="K144" s="3" t="s">
        <v>201</v>
      </c>
      <c r="L144" s="3"/>
      <c r="M144" s="3" t="s">
        <v>201</v>
      </c>
      <c r="N144" s="3"/>
    </row>
    <row r="145" spans="1:14" x14ac:dyDescent="0.4">
      <c r="A145" s="3">
        <f t="shared" si="2"/>
        <v>141</v>
      </c>
      <c r="B145" s="16"/>
      <c r="C145" s="16"/>
      <c r="D145" s="16"/>
      <c r="E145" s="12" t="s">
        <v>2482</v>
      </c>
      <c r="F145" s="13"/>
      <c r="G145" s="13"/>
      <c r="H145" s="13"/>
      <c r="I145" s="13"/>
      <c r="J145" s="14"/>
      <c r="K145" s="3" t="s">
        <v>182</v>
      </c>
      <c r="L145" s="3"/>
      <c r="M145" s="3" t="s">
        <v>182</v>
      </c>
      <c r="N145" s="3"/>
    </row>
    <row r="146" spans="1:14" x14ac:dyDescent="0.4">
      <c r="A146" s="3">
        <f t="shared" si="2"/>
        <v>142</v>
      </c>
      <c r="B146" s="16"/>
      <c r="C146" s="16"/>
      <c r="D146" s="16"/>
      <c r="E146" s="12" t="s">
        <v>2483</v>
      </c>
      <c r="F146" s="13"/>
      <c r="G146" s="13"/>
      <c r="H146" s="13"/>
      <c r="I146" s="13"/>
      <c r="J146" s="14"/>
      <c r="K146" s="3" t="s">
        <v>181</v>
      </c>
      <c r="L146" s="3"/>
      <c r="M146" s="3" t="s">
        <v>181</v>
      </c>
      <c r="N146" s="3"/>
    </row>
    <row r="147" spans="1:14" x14ac:dyDescent="0.4">
      <c r="A147" s="3">
        <f t="shared" si="2"/>
        <v>143</v>
      </c>
      <c r="B147" s="16"/>
      <c r="C147" s="16"/>
      <c r="D147" s="16"/>
      <c r="E147" s="12" t="s">
        <v>2484</v>
      </c>
      <c r="F147" s="13"/>
      <c r="G147" s="13"/>
      <c r="H147" s="13"/>
      <c r="I147" s="13"/>
      <c r="J147" s="14"/>
      <c r="K147" s="3" t="s">
        <v>2485</v>
      </c>
      <c r="L147" s="3"/>
      <c r="M147" s="3" t="s">
        <v>2485</v>
      </c>
      <c r="N147" s="3"/>
    </row>
    <row r="148" spans="1:14" x14ac:dyDescent="0.4">
      <c r="A148" s="3">
        <f t="shared" si="2"/>
        <v>144</v>
      </c>
      <c r="B148" s="16"/>
      <c r="C148" s="16"/>
      <c r="D148" s="16"/>
      <c r="E148" s="12" t="s">
        <v>2486</v>
      </c>
      <c r="F148" s="13"/>
      <c r="G148" s="13"/>
      <c r="H148" s="13"/>
      <c r="I148" s="13"/>
      <c r="J148" s="14"/>
      <c r="K148" s="3" t="s">
        <v>182</v>
      </c>
      <c r="L148" s="3"/>
      <c r="M148" s="3" t="s">
        <v>182</v>
      </c>
      <c r="N148" s="3"/>
    </row>
    <row r="149" spans="1:14" x14ac:dyDescent="0.4">
      <c r="A149" s="3">
        <f t="shared" si="2"/>
        <v>145</v>
      </c>
      <c r="B149" s="16"/>
      <c r="C149" s="16"/>
      <c r="D149" s="16"/>
      <c r="E149" s="12" t="s">
        <v>2487</v>
      </c>
      <c r="F149" s="13"/>
      <c r="G149" s="13"/>
      <c r="H149" s="13"/>
      <c r="I149" s="13"/>
      <c r="J149" s="14"/>
      <c r="K149" s="3" t="s">
        <v>181</v>
      </c>
      <c r="L149" s="3"/>
      <c r="M149" s="3" t="s">
        <v>181</v>
      </c>
      <c r="N149" s="3"/>
    </row>
    <row r="150" spans="1:14" x14ac:dyDescent="0.4">
      <c r="A150" s="3">
        <f t="shared" si="2"/>
        <v>146</v>
      </c>
      <c r="B150" s="16"/>
      <c r="C150" s="16"/>
      <c r="D150" s="16"/>
      <c r="E150" s="12" t="s">
        <v>2488</v>
      </c>
      <c r="F150" s="13"/>
      <c r="G150" s="13"/>
      <c r="H150" s="13"/>
      <c r="I150" s="13"/>
      <c r="J150" s="14"/>
      <c r="K150" s="3" t="s">
        <v>201</v>
      </c>
      <c r="L150" s="3"/>
      <c r="M150" s="3" t="s">
        <v>201</v>
      </c>
      <c r="N150" s="3"/>
    </row>
    <row r="151" spans="1:14" x14ac:dyDescent="0.4">
      <c r="A151" s="3">
        <f t="shared" si="2"/>
        <v>147</v>
      </c>
      <c r="B151" s="16"/>
      <c r="C151" s="16"/>
      <c r="D151" s="16"/>
      <c r="E151" s="12" t="s">
        <v>2489</v>
      </c>
      <c r="F151" s="13"/>
      <c r="G151" s="13"/>
      <c r="H151" s="13"/>
      <c r="I151" s="13"/>
      <c r="J151" s="14"/>
      <c r="K151" s="3" t="s">
        <v>181</v>
      </c>
      <c r="L151" s="3"/>
      <c r="M151" s="3" t="s">
        <v>181</v>
      </c>
      <c r="N151" s="3"/>
    </row>
    <row r="152" spans="1:14" x14ac:dyDescent="0.4">
      <c r="A152" s="3">
        <f t="shared" si="2"/>
        <v>148</v>
      </c>
      <c r="B152" s="16"/>
      <c r="C152" s="16"/>
      <c r="D152" s="16"/>
      <c r="E152" s="12" t="s">
        <v>2490</v>
      </c>
      <c r="F152" s="13"/>
      <c r="G152" s="13"/>
      <c r="H152" s="13"/>
      <c r="I152" s="13"/>
      <c r="J152" s="14"/>
      <c r="K152" s="3" t="s">
        <v>181</v>
      </c>
      <c r="L152" s="3"/>
      <c r="M152" s="3" t="s">
        <v>181</v>
      </c>
      <c r="N152" s="3"/>
    </row>
    <row r="153" spans="1:14" x14ac:dyDescent="0.4">
      <c r="A153" s="3">
        <f t="shared" si="2"/>
        <v>149</v>
      </c>
      <c r="B153" s="16"/>
      <c r="C153" s="16"/>
      <c r="D153" s="16"/>
      <c r="E153" s="12" t="s">
        <v>2491</v>
      </c>
      <c r="F153" s="13"/>
      <c r="G153" s="13"/>
      <c r="H153" s="13"/>
      <c r="I153" s="13"/>
      <c r="J153" s="14"/>
      <c r="K153" s="3" t="s">
        <v>181</v>
      </c>
      <c r="L153" s="3"/>
      <c r="M153" s="3" t="s">
        <v>181</v>
      </c>
      <c r="N153" s="3"/>
    </row>
    <row r="154" spans="1:14" x14ac:dyDescent="0.4">
      <c r="A154" s="3">
        <f t="shared" si="2"/>
        <v>150</v>
      </c>
      <c r="B154" s="16"/>
      <c r="C154" s="16"/>
      <c r="D154" s="16"/>
      <c r="E154" s="12" t="s">
        <v>2492</v>
      </c>
      <c r="F154" s="13"/>
      <c r="G154" s="13"/>
      <c r="H154" s="13"/>
      <c r="I154" s="13"/>
      <c r="J154" s="14"/>
      <c r="K154" s="3" t="s">
        <v>772</v>
      </c>
      <c r="L154" s="3"/>
      <c r="M154" s="3" t="s">
        <v>772</v>
      </c>
      <c r="N154" s="3"/>
    </row>
    <row r="155" spans="1:14" x14ac:dyDescent="0.4">
      <c r="A155" s="3">
        <f t="shared" si="2"/>
        <v>151</v>
      </c>
      <c r="B155" s="16"/>
      <c r="C155" s="16"/>
      <c r="D155" s="16"/>
      <c r="E155" s="12" t="s">
        <v>2493</v>
      </c>
      <c r="F155" s="13"/>
      <c r="G155" s="13"/>
      <c r="H155" s="13"/>
      <c r="I155" s="13"/>
      <c r="J155" s="14"/>
      <c r="K155" s="3" t="s">
        <v>182</v>
      </c>
      <c r="L155" s="3"/>
      <c r="M155" s="3" t="s">
        <v>182</v>
      </c>
      <c r="N155" s="3"/>
    </row>
    <row r="156" spans="1:14" x14ac:dyDescent="0.4">
      <c r="A156" s="3">
        <f t="shared" si="2"/>
        <v>152</v>
      </c>
      <c r="B156" s="16"/>
      <c r="C156" s="16"/>
      <c r="D156" s="16"/>
      <c r="E156" s="12" t="s">
        <v>2494</v>
      </c>
      <c r="F156" s="13"/>
      <c r="G156" s="13"/>
      <c r="H156" s="13"/>
      <c r="I156" s="13"/>
      <c r="J156" s="14"/>
      <c r="K156" s="3" t="s">
        <v>181</v>
      </c>
      <c r="L156" s="3"/>
      <c r="M156" s="3" t="s">
        <v>181</v>
      </c>
      <c r="N156" s="3"/>
    </row>
    <row r="157" spans="1:14" x14ac:dyDescent="0.4">
      <c r="A157" s="3">
        <f t="shared" si="2"/>
        <v>153</v>
      </c>
      <c r="B157" s="16"/>
      <c r="C157" s="16"/>
      <c r="D157" s="16"/>
      <c r="E157" s="12" t="s">
        <v>2495</v>
      </c>
      <c r="F157" s="13"/>
      <c r="G157" s="13"/>
      <c r="H157" s="13"/>
      <c r="I157" s="13"/>
      <c r="J157" s="14"/>
      <c r="K157" s="3" t="s">
        <v>773</v>
      </c>
      <c r="L157" s="3"/>
      <c r="M157" s="3" t="s">
        <v>773</v>
      </c>
      <c r="N157" s="3"/>
    </row>
    <row r="158" spans="1:14" x14ac:dyDescent="0.4">
      <c r="A158" s="3">
        <f t="shared" si="2"/>
        <v>154</v>
      </c>
      <c r="B158" s="16"/>
      <c r="C158" s="16"/>
      <c r="D158" s="16"/>
      <c r="E158" s="12" t="s">
        <v>2496</v>
      </c>
      <c r="F158" s="13"/>
      <c r="G158" s="13"/>
      <c r="H158" s="13"/>
      <c r="I158" s="13"/>
      <c r="J158" s="14"/>
      <c r="K158" s="3" t="s">
        <v>182</v>
      </c>
      <c r="L158" s="3"/>
      <c r="M158" s="3" t="s">
        <v>182</v>
      </c>
      <c r="N158" s="3"/>
    </row>
    <row r="159" spans="1:14" x14ac:dyDescent="0.4">
      <c r="A159" s="3">
        <f t="shared" si="2"/>
        <v>155</v>
      </c>
      <c r="B159" s="16"/>
      <c r="C159" s="16"/>
      <c r="D159" s="16"/>
      <c r="E159" s="12" t="s">
        <v>2497</v>
      </c>
      <c r="F159" s="13"/>
      <c r="G159" s="13"/>
      <c r="H159" s="13"/>
      <c r="I159" s="13"/>
      <c r="J159" s="14"/>
      <c r="K159" s="3" t="s">
        <v>182</v>
      </c>
      <c r="L159" s="3"/>
      <c r="M159" s="3" t="s">
        <v>182</v>
      </c>
      <c r="N159" s="3"/>
    </row>
    <row r="160" spans="1:14" x14ac:dyDescent="0.4">
      <c r="A160" s="3">
        <f t="shared" si="2"/>
        <v>156</v>
      </c>
      <c r="B160" s="16"/>
      <c r="C160" s="16"/>
      <c r="D160" s="16"/>
      <c r="E160" s="12" t="s">
        <v>2498</v>
      </c>
      <c r="F160" s="13"/>
      <c r="G160" s="13"/>
      <c r="H160" s="13"/>
      <c r="I160" s="13"/>
      <c r="J160" s="14"/>
      <c r="K160" s="3" t="s">
        <v>182</v>
      </c>
      <c r="L160" s="3"/>
      <c r="M160" s="3" t="s">
        <v>182</v>
      </c>
      <c r="N160" s="3"/>
    </row>
    <row r="161" spans="1:14" x14ac:dyDescent="0.4">
      <c r="A161" s="3">
        <f t="shared" si="2"/>
        <v>157</v>
      </c>
      <c r="B161" s="16"/>
      <c r="C161" s="16"/>
      <c r="D161" s="16"/>
      <c r="E161" s="12" t="s">
        <v>777</v>
      </c>
      <c r="F161" s="13"/>
      <c r="G161" s="13"/>
      <c r="H161" s="13"/>
      <c r="I161" s="13"/>
      <c r="J161" s="14"/>
      <c r="K161" s="3" t="s">
        <v>182</v>
      </c>
      <c r="L161" s="3"/>
      <c r="M161" s="3" t="s">
        <v>182</v>
      </c>
      <c r="N161" s="3"/>
    </row>
    <row r="162" spans="1:14" x14ac:dyDescent="0.4">
      <c r="A162" s="3">
        <f t="shared" si="2"/>
        <v>158</v>
      </c>
      <c r="B162" s="16"/>
      <c r="C162" s="16"/>
      <c r="D162" s="16"/>
      <c r="E162" s="12" t="s">
        <v>778</v>
      </c>
      <c r="F162" s="13"/>
      <c r="G162" s="13"/>
      <c r="H162" s="13"/>
      <c r="I162" s="13"/>
      <c r="J162" s="14"/>
      <c r="K162" s="3" t="s">
        <v>182</v>
      </c>
      <c r="L162" s="3"/>
      <c r="M162" s="3" t="s">
        <v>182</v>
      </c>
      <c r="N162" s="3"/>
    </row>
    <row r="163" spans="1:14" x14ac:dyDescent="0.4">
      <c r="A163" s="3">
        <f t="shared" si="2"/>
        <v>159</v>
      </c>
      <c r="B163" s="16"/>
      <c r="C163" s="16"/>
      <c r="D163" s="16"/>
      <c r="E163" s="12" t="s">
        <v>2499</v>
      </c>
      <c r="F163" s="13"/>
      <c r="G163" s="13"/>
      <c r="H163" s="13"/>
      <c r="I163" s="13"/>
      <c r="J163" s="14"/>
      <c r="K163" s="3" t="s">
        <v>201</v>
      </c>
      <c r="L163" s="3"/>
      <c r="M163" s="3" t="s">
        <v>201</v>
      </c>
      <c r="N163" s="3"/>
    </row>
    <row r="164" spans="1:14" x14ac:dyDescent="0.4">
      <c r="A164" s="3">
        <f t="shared" si="2"/>
        <v>160</v>
      </c>
      <c r="B164" s="16"/>
      <c r="C164" s="16"/>
      <c r="D164" s="16"/>
      <c r="E164" s="12" t="s">
        <v>779</v>
      </c>
      <c r="F164" s="13"/>
      <c r="G164" s="13"/>
      <c r="H164" s="13"/>
      <c r="I164" s="13"/>
      <c r="J164" s="14"/>
      <c r="K164" s="3" t="s">
        <v>182</v>
      </c>
      <c r="L164" s="3"/>
      <c r="M164" s="3" t="s">
        <v>182</v>
      </c>
      <c r="N164" s="3"/>
    </row>
    <row r="165" spans="1:14" x14ac:dyDescent="0.4">
      <c r="A165" s="3">
        <f t="shared" si="2"/>
        <v>161</v>
      </c>
      <c r="B165" s="16"/>
      <c r="C165" s="16"/>
      <c r="D165" s="16"/>
      <c r="E165" s="12" t="s">
        <v>2500</v>
      </c>
      <c r="F165" s="13"/>
      <c r="G165" s="13"/>
      <c r="H165" s="13"/>
      <c r="I165" s="13"/>
      <c r="J165" s="14"/>
      <c r="K165" s="3" t="s">
        <v>182</v>
      </c>
      <c r="L165" s="3"/>
      <c r="M165" s="3" t="s">
        <v>182</v>
      </c>
      <c r="N165" s="3"/>
    </row>
    <row r="166" spans="1:14" x14ac:dyDescent="0.4">
      <c r="A166" s="3">
        <f t="shared" si="2"/>
        <v>162</v>
      </c>
      <c r="B166" s="16"/>
      <c r="C166" s="16"/>
      <c r="D166" s="16"/>
      <c r="E166" s="12" t="s">
        <v>2501</v>
      </c>
      <c r="F166" s="13"/>
      <c r="G166" s="13"/>
      <c r="H166" s="13"/>
      <c r="I166" s="13"/>
      <c r="J166" s="14"/>
      <c r="K166" s="3" t="s">
        <v>182</v>
      </c>
      <c r="L166" s="3"/>
      <c r="M166" s="3" t="s">
        <v>182</v>
      </c>
      <c r="N166" s="3"/>
    </row>
    <row r="167" spans="1:14" x14ac:dyDescent="0.4">
      <c r="A167" s="3">
        <f t="shared" si="2"/>
        <v>163</v>
      </c>
      <c r="B167" s="16"/>
      <c r="C167" s="16"/>
      <c r="D167" s="16"/>
      <c r="E167" s="12" t="s">
        <v>2502</v>
      </c>
      <c r="F167" s="13"/>
      <c r="G167" s="13"/>
      <c r="H167" s="13"/>
      <c r="I167" s="13"/>
      <c r="J167" s="14"/>
      <c r="K167" s="3" t="s">
        <v>774</v>
      </c>
      <c r="L167" s="3"/>
      <c r="M167" s="3" t="s">
        <v>774</v>
      </c>
      <c r="N167" s="3"/>
    </row>
    <row r="168" spans="1:14" x14ac:dyDescent="0.4">
      <c r="A168" s="3">
        <f t="shared" si="2"/>
        <v>164</v>
      </c>
      <c r="B168" s="16"/>
      <c r="C168" s="16"/>
      <c r="D168" s="16"/>
      <c r="E168" s="12" t="s">
        <v>2503</v>
      </c>
      <c r="F168" s="13"/>
      <c r="G168" s="13"/>
      <c r="H168" s="13"/>
      <c r="I168" s="13"/>
      <c r="J168" s="14"/>
      <c r="K168" s="3" t="s">
        <v>201</v>
      </c>
      <c r="L168" s="3"/>
      <c r="M168" s="3" t="s">
        <v>201</v>
      </c>
      <c r="N168" s="3"/>
    </row>
    <row r="169" spans="1:14" x14ac:dyDescent="0.4">
      <c r="A169" s="3">
        <f t="shared" si="2"/>
        <v>165</v>
      </c>
      <c r="B169" s="16"/>
      <c r="C169" s="16"/>
      <c r="D169" s="16"/>
      <c r="E169" s="12" t="s">
        <v>2504</v>
      </c>
      <c r="F169" s="13"/>
      <c r="G169" s="13"/>
      <c r="H169" s="13"/>
      <c r="I169" s="13"/>
      <c r="J169" s="14"/>
      <c r="K169" s="3" t="s">
        <v>201</v>
      </c>
      <c r="L169" s="3"/>
      <c r="M169" s="3" t="s">
        <v>201</v>
      </c>
      <c r="N169" s="3"/>
    </row>
    <row r="170" spans="1:14" x14ac:dyDescent="0.4">
      <c r="A170" s="3">
        <f t="shared" si="2"/>
        <v>166</v>
      </c>
      <c r="B170" s="16"/>
      <c r="C170" s="16"/>
      <c r="D170" s="16"/>
      <c r="E170" s="12" t="s">
        <v>2505</v>
      </c>
      <c r="F170" s="13"/>
      <c r="G170" s="13"/>
      <c r="H170" s="13"/>
      <c r="I170" s="13"/>
      <c r="J170" s="14"/>
      <c r="K170" s="3" t="s">
        <v>201</v>
      </c>
      <c r="L170" s="3"/>
      <c r="M170" s="3" t="s">
        <v>201</v>
      </c>
      <c r="N170" s="3"/>
    </row>
    <row r="171" spans="1:14" x14ac:dyDescent="0.4">
      <c r="A171" s="3">
        <f t="shared" si="2"/>
        <v>167</v>
      </c>
      <c r="B171" s="16"/>
      <c r="C171" s="16"/>
      <c r="D171" s="16"/>
      <c r="E171" s="12" t="s">
        <v>2506</v>
      </c>
      <c r="F171" s="13"/>
      <c r="G171" s="13"/>
      <c r="H171" s="13"/>
      <c r="I171" s="13"/>
      <c r="J171" s="14"/>
      <c r="K171" s="3" t="s">
        <v>775</v>
      </c>
      <c r="L171" s="3"/>
      <c r="M171" s="3" t="s">
        <v>775</v>
      </c>
      <c r="N171" s="3"/>
    </row>
    <row r="172" spans="1:14" x14ac:dyDescent="0.4">
      <c r="A172" s="3">
        <f t="shared" si="2"/>
        <v>168</v>
      </c>
      <c r="B172" s="16"/>
      <c r="C172" s="16"/>
      <c r="D172" s="16"/>
      <c r="E172" s="12" t="s">
        <v>2507</v>
      </c>
      <c r="F172" s="13"/>
      <c r="G172" s="13"/>
      <c r="H172" s="13"/>
      <c r="I172" s="13"/>
      <c r="J172" s="14"/>
      <c r="K172" s="3" t="s">
        <v>201</v>
      </c>
      <c r="L172" s="3"/>
      <c r="M172" s="3" t="s">
        <v>201</v>
      </c>
      <c r="N172" s="3"/>
    </row>
    <row r="173" spans="1:14" x14ac:dyDescent="0.4">
      <c r="A173" s="3">
        <f t="shared" si="2"/>
        <v>169</v>
      </c>
      <c r="B173" s="16"/>
      <c r="C173" s="16"/>
      <c r="D173" s="16"/>
      <c r="E173" s="12" t="s">
        <v>2508</v>
      </c>
      <c r="F173" s="13"/>
      <c r="G173" s="13"/>
      <c r="H173" s="13"/>
      <c r="I173" s="13"/>
      <c r="J173" s="13"/>
      <c r="K173" s="3" t="s">
        <v>776</v>
      </c>
      <c r="L173" s="3"/>
      <c r="M173" s="3" t="s">
        <v>776</v>
      </c>
      <c r="N173" s="14"/>
    </row>
    <row r="174" spans="1:14" x14ac:dyDescent="0.4">
      <c r="A174" s="3">
        <f t="shared" si="2"/>
        <v>170</v>
      </c>
      <c r="B174" s="16"/>
      <c r="C174" s="16"/>
      <c r="D174" s="16"/>
      <c r="E174" s="12" t="s">
        <v>2509</v>
      </c>
      <c r="F174" s="13"/>
      <c r="G174" s="13"/>
      <c r="H174" s="13"/>
      <c r="I174" s="13"/>
      <c r="J174" s="13"/>
      <c r="K174" s="11" t="s">
        <v>1240</v>
      </c>
      <c r="L174" s="11"/>
      <c r="M174" s="11" t="s">
        <v>1240</v>
      </c>
      <c r="N174" s="14"/>
    </row>
    <row r="175" spans="1:14" x14ac:dyDescent="0.4">
      <c r="A175" s="3">
        <f t="shared" si="2"/>
        <v>171</v>
      </c>
      <c r="B175" s="16"/>
      <c r="C175" s="16"/>
      <c r="D175" s="16"/>
      <c r="E175" s="12" t="s">
        <v>2510</v>
      </c>
      <c r="F175" s="13"/>
      <c r="G175" s="13"/>
      <c r="H175" s="13"/>
      <c r="I175" s="13"/>
      <c r="J175" s="13"/>
      <c r="K175" s="11" t="s">
        <v>1240</v>
      </c>
      <c r="L175" s="11"/>
      <c r="M175" s="11" t="s">
        <v>1240</v>
      </c>
      <c r="N175" s="14"/>
    </row>
    <row r="176" spans="1:14" x14ac:dyDescent="0.4">
      <c r="A176" s="3">
        <f t="shared" si="2"/>
        <v>172</v>
      </c>
      <c r="B176" s="17"/>
      <c r="C176" s="17"/>
      <c r="D176" s="17"/>
      <c r="E176" s="12" t="s">
        <v>2511</v>
      </c>
      <c r="F176" s="13"/>
      <c r="G176" s="13"/>
      <c r="H176" s="13"/>
      <c r="I176" s="13"/>
      <c r="J176" s="13"/>
      <c r="K176" s="3" t="s">
        <v>182</v>
      </c>
      <c r="L176" s="3"/>
      <c r="M176" s="3" t="s">
        <v>182</v>
      </c>
      <c r="N176" s="14"/>
    </row>
  </sheetData>
  <phoneticPr fontId="1"/>
  <conditionalFormatting sqref="M5:M176">
    <cfRule type="expression" dxfId="4" priority="1">
      <formula>$K5&lt;&gt;$M5</formula>
    </cfRule>
  </conditionalFormatting>
  <dataValidations count="1">
    <dataValidation type="list" allowBlank="1" showInputMessage="1" showErrorMessage="1" sqref="L5:L176" xr:uid="{388BD9F8-0382-4251-B360-BEB61DBD5A70}">
      <formula1>"-,変更"</formula1>
    </dataValidation>
  </dataValidations>
  <pageMargins left="0.7" right="0.7" top="0.75" bottom="0.75" header="0.3" footer="0.3"/>
  <pageSetup paperSize="9" orientation="portrait" horizontalDpi="0" verticalDpi="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02712C-B432-B149-886C-B7AC05962680}">
  <dimension ref="A1:O610"/>
  <sheetViews>
    <sheetView topLeftCell="A619" zoomScale="90" zoomScaleNormal="90" workbookViewId="0">
      <selection activeCell="K537" sqref="K537"/>
    </sheetView>
  </sheetViews>
  <sheetFormatPr defaultColWidth="11.5546875" defaultRowHeight="19.5" x14ac:dyDescent="0.4"/>
  <cols>
    <col min="1" max="10" width="4.6640625" customWidth="1"/>
    <col min="11" max="11" width="70.6640625" customWidth="1"/>
    <col min="12" max="12" width="27.88671875" bestFit="1" customWidth="1"/>
    <col min="13" max="13" width="8.6640625" bestFit="1" customWidth="1"/>
    <col min="14" max="14" width="27.88671875" bestFit="1" customWidth="1"/>
    <col min="15" max="15" width="30.6640625" customWidth="1"/>
  </cols>
  <sheetData>
    <row r="1" spans="1:15" x14ac:dyDescent="0.4">
      <c r="A1" s="1" t="str">
        <f ca="1">RIGHT(CELL("filename",A1),LEN(CELL("filename",A1))-FIND("]",CELL("filename",A1)))</f>
        <v>10.1.ローカルセキュリティポリシー2</v>
      </c>
    </row>
    <row r="3" spans="1:15" x14ac:dyDescent="0.4">
      <c r="A3" s="62" t="s">
        <v>3</v>
      </c>
      <c r="B3" s="61" t="s">
        <v>4</v>
      </c>
      <c r="C3" s="82"/>
      <c r="D3" s="82"/>
      <c r="E3" s="82"/>
      <c r="F3" s="82"/>
      <c r="G3" s="82"/>
      <c r="H3" s="82"/>
      <c r="I3" s="82"/>
      <c r="J3" s="82"/>
      <c r="K3" s="113"/>
      <c r="L3" s="62" t="s">
        <v>14</v>
      </c>
      <c r="M3" s="207" t="s">
        <v>2915</v>
      </c>
      <c r="N3" s="207"/>
      <c r="O3" s="62" t="s">
        <v>5</v>
      </c>
    </row>
    <row r="4" spans="1:15" ht="20.25" thickBot="1" x14ac:dyDescent="0.45">
      <c r="A4" s="118"/>
      <c r="B4" s="119"/>
      <c r="C4" s="120"/>
      <c r="D4" s="120"/>
      <c r="E4" s="120"/>
      <c r="F4" s="120"/>
      <c r="G4" s="120"/>
      <c r="H4" s="120"/>
      <c r="I4" s="120"/>
      <c r="J4" s="120"/>
      <c r="K4" s="121"/>
      <c r="L4" s="118"/>
      <c r="M4" s="208" t="s">
        <v>2913</v>
      </c>
      <c r="N4" s="209" t="s">
        <v>2912</v>
      </c>
      <c r="O4" s="118"/>
    </row>
    <row r="5" spans="1:15" ht="20.25" thickTop="1" x14ac:dyDescent="0.4">
      <c r="A5" s="20">
        <v>1</v>
      </c>
      <c r="B5" s="21" t="s">
        <v>1330</v>
      </c>
      <c r="C5" s="33"/>
      <c r="D5" s="33"/>
      <c r="E5" s="33"/>
      <c r="F5" s="33"/>
      <c r="G5" s="33"/>
      <c r="H5" s="33"/>
      <c r="I5" s="33"/>
      <c r="J5" s="33"/>
      <c r="K5" s="29"/>
      <c r="L5" s="17"/>
      <c r="M5" s="17"/>
      <c r="N5" s="17"/>
      <c r="O5" s="17"/>
    </row>
    <row r="6" spans="1:15" x14ac:dyDescent="0.4">
      <c r="A6" s="3">
        <f t="shared" ref="A6:A69" si="0">A5+1</f>
        <v>2</v>
      </c>
      <c r="B6" s="17"/>
      <c r="C6" s="12"/>
      <c r="D6" s="13"/>
      <c r="E6" s="13"/>
      <c r="F6" s="13"/>
      <c r="G6" s="13"/>
      <c r="H6" s="13"/>
      <c r="I6" s="13"/>
      <c r="J6" s="13"/>
      <c r="K6" s="14"/>
      <c r="L6" s="11" t="s">
        <v>1240</v>
      </c>
      <c r="M6" s="11"/>
      <c r="N6" s="11" t="s">
        <v>1240</v>
      </c>
      <c r="O6" s="3"/>
    </row>
    <row r="7" spans="1:15" x14ac:dyDescent="0.4">
      <c r="A7" s="3">
        <f t="shared" si="0"/>
        <v>3</v>
      </c>
      <c r="B7" s="15" t="s">
        <v>1331</v>
      </c>
      <c r="C7" s="9"/>
      <c r="D7" s="9"/>
      <c r="E7" s="9"/>
      <c r="F7" s="9"/>
      <c r="G7" s="9"/>
      <c r="H7" s="9"/>
      <c r="I7" s="9"/>
      <c r="J7" s="9"/>
      <c r="K7" s="10"/>
      <c r="L7" s="8"/>
      <c r="M7" s="8"/>
      <c r="N7" s="8"/>
      <c r="O7" s="8"/>
    </row>
    <row r="8" spans="1:15" x14ac:dyDescent="0.4">
      <c r="A8" s="3">
        <f t="shared" si="0"/>
        <v>4</v>
      </c>
      <c r="B8" s="16"/>
      <c r="C8" s="15" t="s">
        <v>1344</v>
      </c>
      <c r="D8" s="9"/>
      <c r="E8" s="9"/>
      <c r="F8" s="9"/>
      <c r="G8" s="9"/>
      <c r="H8" s="9"/>
      <c r="I8" s="9"/>
      <c r="J8" s="9"/>
      <c r="K8" s="10"/>
      <c r="L8" s="2"/>
      <c r="M8" s="2"/>
      <c r="N8" s="2"/>
      <c r="O8" s="8"/>
    </row>
    <row r="9" spans="1:15" x14ac:dyDescent="0.4">
      <c r="A9" s="3">
        <f t="shared" si="0"/>
        <v>5</v>
      </c>
      <c r="B9" s="16"/>
      <c r="C9" s="16"/>
      <c r="D9" s="15" t="s">
        <v>1341</v>
      </c>
      <c r="E9" s="9"/>
      <c r="F9" s="9"/>
      <c r="G9" s="9"/>
      <c r="H9" s="9"/>
      <c r="I9" s="9"/>
      <c r="J9" s="9"/>
      <c r="K9" s="10"/>
      <c r="L9" s="8"/>
      <c r="M9" s="8"/>
      <c r="N9" s="8"/>
      <c r="O9" s="8"/>
    </row>
    <row r="10" spans="1:15" x14ac:dyDescent="0.4">
      <c r="A10" s="3">
        <f t="shared" si="0"/>
        <v>6</v>
      </c>
      <c r="B10" s="16"/>
      <c r="C10" s="16"/>
      <c r="D10" s="16"/>
      <c r="E10" s="27" t="s">
        <v>786</v>
      </c>
      <c r="F10" s="9"/>
      <c r="G10" s="9"/>
      <c r="H10" s="9"/>
      <c r="I10" s="9"/>
      <c r="J10" s="9"/>
      <c r="K10" s="10"/>
      <c r="L10" s="8"/>
      <c r="M10" s="8"/>
      <c r="N10" s="8"/>
      <c r="O10" s="8"/>
    </row>
    <row r="11" spans="1:15" x14ac:dyDescent="0.4">
      <c r="A11" s="3">
        <f t="shared" si="0"/>
        <v>7</v>
      </c>
      <c r="B11" s="16"/>
      <c r="C11" s="16"/>
      <c r="D11" s="16"/>
      <c r="E11" s="16"/>
      <c r="F11" s="13" t="s">
        <v>780</v>
      </c>
      <c r="G11" s="13"/>
      <c r="H11" s="13"/>
      <c r="I11" s="13"/>
      <c r="J11" s="13"/>
      <c r="K11" s="14"/>
      <c r="L11" s="11" t="s">
        <v>9</v>
      </c>
      <c r="M11" s="11"/>
      <c r="N11" s="11" t="s">
        <v>9</v>
      </c>
      <c r="O11" s="3"/>
    </row>
    <row r="12" spans="1:15" x14ac:dyDescent="0.4">
      <c r="A12" s="3">
        <f t="shared" si="0"/>
        <v>8</v>
      </c>
      <c r="B12" s="16"/>
      <c r="C12" s="16"/>
      <c r="D12" s="16"/>
      <c r="E12" s="16"/>
      <c r="F12" s="13" t="s">
        <v>1293</v>
      </c>
      <c r="G12" s="13"/>
      <c r="H12" s="13"/>
      <c r="I12" s="13"/>
      <c r="J12" s="13"/>
      <c r="K12" s="14"/>
      <c r="L12" s="11" t="s">
        <v>10</v>
      </c>
      <c r="M12" s="11"/>
      <c r="N12" s="11" t="s">
        <v>10</v>
      </c>
      <c r="O12" s="3"/>
    </row>
    <row r="13" spans="1:15" x14ac:dyDescent="0.4">
      <c r="A13" s="3">
        <f t="shared" si="0"/>
        <v>9</v>
      </c>
      <c r="B13" s="16"/>
      <c r="C13" s="16"/>
      <c r="D13" s="16"/>
      <c r="E13" s="17"/>
      <c r="F13" s="13" t="s">
        <v>96</v>
      </c>
      <c r="G13" s="13"/>
      <c r="H13" s="13"/>
      <c r="I13" s="13"/>
      <c r="J13" s="13"/>
      <c r="K13" s="14"/>
      <c r="L13" s="11" t="s">
        <v>10</v>
      </c>
      <c r="M13" s="11"/>
      <c r="N13" s="11" t="s">
        <v>10</v>
      </c>
      <c r="O13" s="3"/>
    </row>
    <row r="14" spans="1:15" x14ac:dyDescent="0.4">
      <c r="A14" s="3">
        <f t="shared" si="0"/>
        <v>10</v>
      </c>
      <c r="B14" s="16"/>
      <c r="C14" s="16"/>
      <c r="D14" s="16"/>
      <c r="E14" s="27" t="s">
        <v>1334</v>
      </c>
      <c r="F14" s="9"/>
      <c r="G14" s="9"/>
      <c r="H14" s="9"/>
      <c r="I14" s="9"/>
      <c r="J14" s="9"/>
      <c r="K14" s="10"/>
      <c r="L14" s="8"/>
      <c r="M14" s="8"/>
      <c r="N14" s="8"/>
      <c r="O14" s="8"/>
    </row>
    <row r="15" spans="1:15" x14ac:dyDescent="0.4">
      <c r="A15" s="3">
        <f t="shared" si="0"/>
        <v>11</v>
      </c>
      <c r="B15" s="16"/>
      <c r="C15" s="16"/>
      <c r="D15" s="16"/>
      <c r="E15" s="16"/>
      <c r="F15" s="13" t="s">
        <v>780</v>
      </c>
      <c r="G15" s="13"/>
      <c r="H15" s="13"/>
      <c r="I15" s="13"/>
      <c r="J15" s="13"/>
      <c r="K15" s="14"/>
      <c r="L15" s="11" t="s">
        <v>9</v>
      </c>
      <c r="M15" s="11"/>
      <c r="N15" s="11" t="s">
        <v>9</v>
      </c>
      <c r="O15" s="3"/>
    </row>
    <row r="16" spans="1:15" x14ac:dyDescent="0.4">
      <c r="A16" s="3">
        <f t="shared" si="0"/>
        <v>12</v>
      </c>
      <c r="B16" s="16"/>
      <c r="C16" s="16"/>
      <c r="D16" s="16"/>
      <c r="E16" s="16"/>
      <c r="F16" s="13" t="s">
        <v>1342</v>
      </c>
      <c r="G16" s="13"/>
      <c r="H16" s="13"/>
      <c r="I16" s="13"/>
      <c r="J16" s="13"/>
      <c r="K16" s="14"/>
      <c r="L16" s="11" t="s">
        <v>10</v>
      </c>
      <c r="M16" s="11"/>
      <c r="N16" s="11" t="s">
        <v>10</v>
      </c>
      <c r="O16" s="3"/>
    </row>
    <row r="17" spans="1:15" x14ac:dyDescent="0.4">
      <c r="A17" s="3">
        <f t="shared" si="0"/>
        <v>13</v>
      </c>
      <c r="B17" s="16"/>
      <c r="C17" s="16"/>
      <c r="D17" s="16"/>
      <c r="E17" s="17"/>
      <c r="F17" s="13" t="s">
        <v>1343</v>
      </c>
      <c r="G17" s="13"/>
      <c r="H17" s="13"/>
      <c r="I17" s="13"/>
      <c r="J17" s="13"/>
      <c r="K17" s="14"/>
      <c r="L17" s="11" t="s">
        <v>10</v>
      </c>
      <c r="M17" s="11"/>
      <c r="N17" s="11" t="s">
        <v>10</v>
      </c>
      <c r="O17" s="3"/>
    </row>
    <row r="18" spans="1:15" x14ac:dyDescent="0.4">
      <c r="A18" s="3">
        <f t="shared" si="0"/>
        <v>14</v>
      </c>
      <c r="B18" s="16"/>
      <c r="C18" s="15" t="s">
        <v>1345</v>
      </c>
      <c r="D18" s="9"/>
      <c r="E18" s="9"/>
      <c r="F18" s="9"/>
      <c r="G18" s="9"/>
      <c r="H18" s="9"/>
      <c r="I18" s="9"/>
      <c r="J18" s="9"/>
      <c r="K18" s="10"/>
      <c r="L18" s="8"/>
      <c r="M18" s="8"/>
      <c r="N18" s="8"/>
      <c r="O18" s="8"/>
    </row>
    <row r="19" spans="1:15" x14ac:dyDescent="0.4">
      <c r="A19" s="3">
        <f t="shared" si="0"/>
        <v>15</v>
      </c>
      <c r="B19" s="16"/>
      <c r="C19" s="16"/>
      <c r="D19" s="27" t="s">
        <v>1340</v>
      </c>
      <c r="E19" s="9"/>
      <c r="F19" s="9"/>
      <c r="G19" s="9"/>
      <c r="H19" s="9"/>
      <c r="I19" s="9"/>
      <c r="J19" s="9"/>
      <c r="K19" s="10"/>
      <c r="L19" s="8"/>
      <c r="M19" s="8"/>
      <c r="N19" s="8"/>
      <c r="O19" s="8"/>
    </row>
    <row r="20" spans="1:15" x14ac:dyDescent="0.4">
      <c r="A20" s="3">
        <f t="shared" si="0"/>
        <v>16</v>
      </c>
      <c r="B20" s="16"/>
      <c r="C20" s="16"/>
      <c r="D20" s="25"/>
      <c r="E20" s="15" t="s">
        <v>787</v>
      </c>
      <c r="F20" s="9"/>
      <c r="G20" s="9"/>
      <c r="H20" s="9"/>
      <c r="I20" s="9"/>
      <c r="J20" s="9"/>
      <c r="K20" s="10"/>
      <c r="L20" s="8"/>
      <c r="M20" s="8"/>
      <c r="N20" s="8"/>
      <c r="O20" s="8"/>
    </row>
    <row r="21" spans="1:15" x14ac:dyDescent="0.4">
      <c r="A21" s="3">
        <f t="shared" si="0"/>
        <v>17</v>
      </c>
      <c r="B21" s="16"/>
      <c r="C21" s="16"/>
      <c r="D21" s="16"/>
      <c r="E21" s="16"/>
      <c r="F21" s="13" t="s">
        <v>780</v>
      </c>
      <c r="G21" s="13"/>
      <c r="H21" s="13"/>
      <c r="I21" s="13"/>
      <c r="J21" s="13"/>
      <c r="K21" s="14"/>
      <c r="L21" s="11" t="s">
        <v>9</v>
      </c>
      <c r="M21" s="11"/>
      <c r="N21" s="11" t="s">
        <v>9</v>
      </c>
      <c r="O21" s="3"/>
    </row>
    <row r="22" spans="1:15" x14ac:dyDescent="0.4">
      <c r="A22" s="3">
        <f t="shared" si="0"/>
        <v>18</v>
      </c>
      <c r="B22" s="16"/>
      <c r="C22" s="16"/>
      <c r="D22" s="16"/>
      <c r="E22" s="16"/>
      <c r="F22" s="13" t="s">
        <v>1293</v>
      </c>
      <c r="G22" s="13"/>
      <c r="H22" s="13"/>
      <c r="I22" s="13"/>
      <c r="J22" s="13"/>
      <c r="K22" s="14"/>
      <c r="L22" s="11" t="s">
        <v>10</v>
      </c>
      <c r="M22" s="11"/>
      <c r="N22" s="11" t="s">
        <v>10</v>
      </c>
      <c r="O22" s="3"/>
    </row>
    <row r="23" spans="1:15" x14ac:dyDescent="0.4">
      <c r="A23" s="3">
        <f t="shared" si="0"/>
        <v>19</v>
      </c>
      <c r="B23" s="16"/>
      <c r="C23" s="17"/>
      <c r="D23" s="17"/>
      <c r="E23" s="17"/>
      <c r="F23" s="13" t="s">
        <v>96</v>
      </c>
      <c r="G23" s="13"/>
      <c r="H23" s="13"/>
      <c r="I23" s="13"/>
      <c r="J23" s="13"/>
      <c r="K23" s="14"/>
      <c r="L23" s="11" t="s">
        <v>10</v>
      </c>
      <c r="M23" s="11"/>
      <c r="N23" s="11" t="s">
        <v>10</v>
      </c>
      <c r="O23" s="3"/>
    </row>
    <row r="24" spans="1:15" x14ac:dyDescent="0.4">
      <c r="A24" s="3">
        <f t="shared" si="0"/>
        <v>20</v>
      </c>
      <c r="B24" s="16"/>
      <c r="C24" s="15" t="s">
        <v>1346</v>
      </c>
      <c r="D24" s="9"/>
      <c r="E24" s="9"/>
      <c r="F24" s="9"/>
      <c r="G24" s="9"/>
      <c r="H24" s="9"/>
      <c r="I24" s="9"/>
      <c r="J24" s="9"/>
      <c r="K24" s="10"/>
      <c r="L24" s="8"/>
      <c r="M24" s="8"/>
      <c r="N24" s="8"/>
      <c r="O24" s="8"/>
    </row>
    <row r="25" spans="1:15" x14ac:dyDescent="0.4">
      <c r="A25" s="3">
        <f t="shared" si="0"/>
        <v>21</v>
      </c>
      <c r="B25" s="16"/>
      <c r="C25" s="21"/>
      <c r="D25" s="15" t="s">
        <v>1334</v>
      </c>
      <c r="E25" s="9"/>
      <c r="F25" s="9"/>
      <c r="G25" s="9"/>
      <c r="H25" s="9"/>
      <c r="I25" s="9"/>
      <c r="J25" s="9"/>
      <c r="K25" s="10"/>
      <c r="L25" s="8"/>
      <c r="M25" s="8"/>
      <c r="N25" s="8"/>
      <c r="O25" s="8"/>
    </row>
    <row r="26" spans="1:15" x14ac:dyDescent="0.4">
      <c r="A26" s="3">
        <f t="shared" si="0"/>
        <v>22</v>
      </c>
      <c r="B26" s="16"/>
      <c r="C26" s="16"/>
      <c r="D26" s="21"/>
      <c r="E26" s="15" t="s">
        <v>1333</v>
      </c>
      <c r="F26" s="9"/>
      <c r="G26" s="9"/>
      <c r="H26" s="9"/>
      <c r="I26" s="9"/>
      <c r="J26" s="9"/>
      <c r="K26" s="10"/>
      <c r="L26" s="8"/>
      <c r="M26" s="8"/>
      <c r="N26" s="8"/>
      <c r="O26" s="8"/>
    </row>
    <row r="27" spans="1:15" x14ac:dyDescent="0.4">
      <c r="A27" s="3">
        <f t="shared" si="0"/>
        <v>23</v>
      </c>
      <c r="B27" s="16"/>
      <c r="C27" s="16"/>
      <c r="D27" s="16"/>
      <c r="E27" s="16"/>
      <c r="F27" s="13" t="s">
        <v>780</v>
      </c>
      <c r="G27" s="13"/>
      <c r="H27" s="13"/>
      <c r="I27" s="13"/>
      <c r="J27" s="13"/>
      <c r="K27" s="14"/>
      <c r="L27" s="11" t="s">
        <v>9</v>
      </c>
      <c r="M27" s="11"/>
      <c r="N27" s="11" t="s">
        <v>9</v>
      </c>
      <c r="O27" s="3"/>
    </row>
    <row r="28" spans="1:15" x14ac:dyDescent="0.4">
      <c r="A28" s="3">
        <f t="shared" si="0"/>
        <v>24</v>
      </c>
      <c r="B28" s="16"/>
      <c r="C28" s="16"/>
      <c r="D28" s="16"/>
      <c r="E28" s="16"/>
      <c r="F28" s="13" t="s">
        <v>1335</v>
      </c>
      <c r="G28" s="13"/>
      <c r="H28" s="13"/>
      <c r="I28" s="13"/>
      <c r="J28" s="13"/>
      <c r="K28" s="14"/>
      <c r="L28" s="11" t="s">
        <v>10</v>
      </c>
      <c r="M28" s="11"/>
      <c r="N28" s="11" t="s">
        <v>10</v>
      </c>
      <c r="O28" s="3"/>
    </row>
    <row r="29" spans="1:15" x14ac:dyDescent="0.4">
      <c r="A29" s="3">
        <f t="shared" si="0"/>
        <v>25</v>
      </c>
      <c r="B29" s="16"/>
      <c r="C29" s="16"/>
      <c r="D29" s="16"/>
      <c r="E29" s="17"/>
      <c r="F29" s="13" t="s">
        <v>1336</v>
      </c>
      <c r="G29" s="13"/>
      <c r="H29" s="13"/>
      <c r="I29" s="13"/>
      <c r="J29" s="13"/>
      <c r="K29" s="14"/>
      <c r="L29" s="11" t="s">
        <v>10</v>
      </c>
      <c r="M29" s="11"/>
      <c r="N29" s="11" t="s">
        <v>10</v>
      </c>
      <c r="O29" s="3"/>
    </row>
    <row r="30" spans="1:15" x14ac:dyDescent="0.4">
      <c r="A30" s="3">
        <f t="shared" si="0"/>
        <v>26</v>
      </c>
      <c r="B30" s="16"/>
      <c r="C30" s="16"/>
      <c r="D30" s="16"/>
      <c r="E30" s="27" t="s">
        <v>1347</v>
      </c>
      <c r="F30" s="9"/>
      <c r="G30" s="9"/>
      <c r="H30" s="9"/>
      <c r="I30" s="9"/>
      <c r="J30" s="9"/>
      <c r="K30" s="10"/>
      <c r="L30" s="8"/>
      <c r="M30" s="8"/>
      <c r="N30" s="8"/>
      <c r="O30" s="8"/>
    </row>
    <row r="31" spans="1:15" x14ac:dyDescent="0.4">
      <c r="A31" s="3">
        <f t="shared" si="0"/>
        <v>27</v>
      </c>
      <c r="B31" s="16"/>
      <c r="C31" s="16"/>
      <c r="D31" s="16"/>
      <c r="E31" s="28"/>
      <c r="F31" s="13" t="s">
        <v>780</v>
      </c>
      <c r="G31" s="13"/>
      <c r="H31" s="13"/>
      <c r="I31" s="13"/>
      <c r="J31" s="13"/>
      <c r="K31" s="14"/>
      <c r="L31" s="11" t="s">
        <v>9</v>
      </c>
      <c r="M31" s="11"/>
      <c r="N31" s="11" t="s">
        <v>9</v>
      </c>
      <c r="O31" s="3"/>
    </row>
    <row r="32" spans="1:15" x14ac:dyDescent="0.4">
      <c r="A32" s="3">
        <f t="shared" si="0"/>
        <v>28</v>
      </c>
      <c r="B32" s="16"/>
      <c r="C32" s="16"/>
      <c r="D32" s="16"/>
      <c r="E32" s="28"/>
      <c r="F32" s="13" t="s">
        <v>1342</v>
      </c>
      <c r="G32" s="13"/>
      <c r="H32" s="13"/>
      <c r="I32" s="13"/>
      <c r="J32" s="13"/>
      <c r="K32" s="14"/>
      <c r="L32" s="11" t="s">
        <v>10</v>
      </c>
      <c r="M32" s="11"/>
      <c r="N32" s="11" t="s">
        <v>10</v>
      </c>
      <c r="O32" s="3"/>
    </row>
    <row r="33" spans="1:15" x14ac:dyDescent="0.4">
      <c r="A33" s="3">
        <f t="shared" si="0"/>
        <v>29</v>
      </c>
      <c r="B33" s="16"/>
      <c r="C33" s="16"/>
      <c r="D33" s="16"/>
      <c r="E33" s="29"/>
      <c r="F33" s="13" t="s">
        <v>1343</v>
      </c>
      <c r="G33" s="13"/>
      <c r="H33" s="13"/>
      <c r="I33" s="13"/>
      <c r="J33" s="13"/>
      <c r="K33" s="14"/>
      <c r="L33" s="11" t="s">
        <v>10</v>
      </c>
      <c r="M33" s="11"/>
      <c r="N33" s="11" t="s">
        <v>10</v>
      </c>
      <c r="O33" s="3"/>
    </row>
    <row r="34" spans="1:15" x14ac:dyDescent="0.4">
      <c r="A34" s="3">
        <f t="shared" si="0"/>
        <v>30</v>
      </c>
      <c r="B34" s="16"/>
      <c r="C34" s="16"/>
      <c r="D34" s="16"/>
      <c r="E34" s="27" t="s">
        <v>1337</v>
      </c>
      <c r="F34" s="9"/>
      <c r="G34" s="9"/>
      <c r="H34" s="9"/>
      <c r="I34" s="9"/>
      <c r="J34" s="9"/>
      <c r="K34" s="10"/>
      <c r="L34" s="8"/>
      <c r="M34" s="8"/>
      <c r="N34" s="8"/>
      <c r="O34" s="8"/>
    </row>
    <row r="35" spans="1:15" x14ac:dyDescent="0.4">
      <c r="A35" s="3">
        <f t="shared" si="0"/>
        <v>31</v>
      </c>
      <c r="B35" s="16"/>
      <c r="C35" s="16"/>
      <c r="D35" s="16"/>
      <c r="E35" s="28"/>
      <c r="F35" s="13" t="s">
        <v>780</v>
      </c>
      <c r="G35" s="13"/>
      <c r="H35" s="13"/>
      <c r="I35" s="13"/>
      <c r="J35" s="13"/>
      <c r="K35" s="14"/>
      <c r="L35" s="11" t="s">
        <v>9</v>
      </c>
      <c r="M35" s="11"/>
      <c r="N35" s="11" t="s">
        <v>9</v>
      </c>
      <c r="O35" s="3"/>
    </row>
    <row r="36" spans="1:15" x14ac:dyDescent="0.4">
      <c r="A36" s="3">
        <f t="shared" si="0"/>
        <v>32</v>
      </c>
      <c r="B36" s="16"/>
      <c r="C36" s="16"/>
      <c r="D36" s="16"/>
      <c r="E36" s="28"/>
      <c r="F36" s="13" t="s">
        <v>1338</v>
      </c>
      <c r="G36" s="13"/>
      <c r="H36" s="13"/>
      <c r="I36" s="13"/>
      <c r="J36" s="13"/>
      <c r="K36" s="14"/>
      <c r="L36" s="11" t="s">
        <v>10</v>
      </c>
      <c r="M36" s="11"/>
      <c r="N36" s="11" t="s">
        <v>10</v>
      </c>
      <c r="O36" s="3"/>
    </row>
    <row r="37" spans="1:15" x14ac:dyDescent="0.4">
      <c r="A37" s="3">
        <f t="shared" si="0"/>
        <v>33</v>
      </c>
      <c r="B37" s="16"/>
      <c r="C37" s="17"/>
      <c r="D37" s="17"/>
      <c r="E37" s="29"/>
      <c r="F37" s="13" t="s">
        <v>1339</v>
      </c>
      <c r="G37" s="13"/>
      <c r="H37" s="13"/>
      <c r="I37" s="13"/>
      <c r="J37" s="13"/>
      <c r="K37" s="14"/>
      <c r="L37" s="11" t="s">
        <v>10</v>
      </c>
      <c r="M37" s="11"/>
      <c r="N37" s="11" t="s">
        <v>10</v>
      </c>
      <c r="O37" s="3"/>
    </row>
    <row r="38" spans="1:15" x14ac:dyDescent="0.4">
      <c r="A38" s="3">
        <f t="shared" si="0"/>
        <v>34</v>
      </c>
      <c r="B38" s="16"/>
      <c r="C38" s="30" t="s">
        <v>1332</v>
      </c>
      <c r="D38" s="31"/>
      <c r="E38" s="9"/>
      <c r="F38" s="9"/>
      <c r="G38" s="9"/>
      <c r="H38" s="9"/>
      <c r="I38" s="9"/>
      <c r="J38" s="9"/>
      <c r="K38" s="10"/>
      <c r="L38" s="8"/>
      <c r="M38" s="8"/>
      <c r="N38" s="8"/>
      <c r="O38" s="8"/>
    </row>
    <row r="39" spans="1:15" x14ac:dyDescent="0.4">
      <c r="A39" s="3">
        <f t="shared" si="0"/>
        <v>35</v>
      </c>
      <c r="B39" s="16"/>
      <c r="C39" s="16"/>
      <c r="D39" s="15" t="s">
        <v>1333</v>
      </c>
      <c r="E39" s="9"/>
      <c r="F39" s="9"/>
      <c r="G39" s="9"/>
      <c r="H39" s="9"/>
      <c r="I39" s="9"/>
      <c r="J39" s="9"/>
      <c r="K39" s="10"/>
      <c r="L39" s="8"/>
      <c r="M39" s="8"/>
      <c r="N39" s="8"/>
      <c r="O39" s="8"/>
    </row>
    <row r="40" spans="1:15" x14ac:dyDescent="0.4">
      <c r="A40" s="3">
        <f t="shared" si="0"/>
        <v>36</v>
      </c>
      <c r="B40" s="16"/>
      <c r="C40" s="16"/>
      <c r="D40" s="16"/>
      <c r="E40" s="27" t="s">
        <v>15</v>
      </c>
      <c r="F40" s="9"/>
      <c r="G40" s="9"/>
      <c r="H40" s="9"/>
      <c r="I40" s="9"/>
      <c r="J40" s="9"/>
      <c r="K40" s="10"/>
      <c r="L40" s="8"/>
      <c r="M40" s="8"/>
      <c r="N40" s="8"/>
      <c r="O40" s="8"/>
    </row>
    <row r="41" spans="1:15" x14ac:dyDescent="0.4">
      <c r="A41" s="3">
        <f t="shared" si="0"/>
        <v>37</v>
      </c>
      <c r="B41" s="16"/>
      <c r="C41" s="16"/>
      <c r="D41" s="16"/>
      <c r="E41" s="28"/>
      <c r="F41" s="13" t="s">
        <v>780</v>
      </c>
      <c r="G41" s="13"/>
      <c r="H41" s="13"/>
      <c r="I41" s="13"/>
      <c r="J41" s="13"/>
      <c r="K41" s="14"/>
      <c r="L41" s="11" t="s">
        <v>9</v>
      </c>
      <c r="M41" s="11"/>
      <c r="N41" s="11" t="s">
        <v>9</v>
      </c>
      <c r="O41" s="3"/>
    </row>
    <row r="42" spans="1:15" x14ac:dyDescent="0.4">
      <c r="A42" s="3">
        <f t="shared" si="0"/>
        <v>38</v>
      </c>
      <c r="B42" s="16"/>
      <c r="C42" s="16"/>
      <c r="D42" s="16"/>
      <c r="E42" s="28"/>
      <c r="F42" s="26" t="s">
        <v>15</v>
      </c>
      <c r="G42" s="13"/>
      <c r="H42" s="13"/>
      <c r="I42" s="13"/>
      <c r="J42" s="13"/>
      <c r="K42" s="14"/>
      <c r="L42" s="11" t="s">
        <v>10</v>
      </c>
      <c r="M42" s="11"/>
      <c r="N42" s="11" t="s">
        <v>10</v>
      </c>
      <c r="O42" s="3"/>
    </row>
    <row r="43" spans="1:15" x14ac:dyDescent="0.4">
      <c r="A43" s="3">
        <f t="shared" si="0"/>
        <v>39</v>
      </c>
      <c r="B43" s="16"/>
      <c r="C43" s="16"/>
      <c r="D43" s="16"/>
      <c r="E43" s="29"/>
      <c r="F43" s="20"/>
      <c r="G43" s="13"/>
      <c r="H43" s="13"/>
      <c r="I43" s="13"/>
      <c r="J43" s="13"/>
      <c r="K43" s="14"/>
      <c r="L43" s="11" t="s">
        <v>1240</v>
      </c>
      <c r="M43" s="11"/>
      <c r="N43" s="11" t="s">
        <v>1240</v>
      </c>
      <c r="O43" s="3"/>
    </row>
    <row r="44" spans="1:15" x14ac:dyDescent="0.4">
      <c r="A44" s="3">
        <f t="shared" si="0"/>
        <v>40</v>
      </c>
      <c r="B44" s="16"/>
      <c r="C44" s="16"/>
      <c r="D44" s="16"/>
      <c r="E44" s="27" t="s">
        <v>1334</v>
      </c>
      <c r="F44" s="9"/>
      <c r="G44" s="9"/>
      <c r="H44" s="9"/>
      <c r="I44" s="9"/>
      <c r="J44" s="9"/>
      <c r="K44" s="10"/>
      <c r="L44" s="8"/>
      <c r="M44" s="8"/>
      <c r="N44" s="8"/>
      <c r="O44" s="8"/>
    </row>
    <row r="45" spans="1:15" x14ac:dyDescent="0.4">
      <c r="A45" s="3">
        <f t="shared" si="0"/>
        <v>41</v>
      </c>
      <c r="B45" s="16"/>
      <c r="C45" s="16"/>
      <c r="D45" s="16"/>
      <c r="E45" s="28"/>
      <c r="F45" s="13" t="s">
        <v>780</v>
      </c>
      <c r="G45" s="13"/>
      <c r="H45" s="13"/>
      <c r="I45" s="13"/>
      <c r="J45" s="13"/>
      <c r="K45" s="14"/>
      <c r="L45" s="11" t="s">
        <v>9</v>
      </c>
      <c r="M45" s="11"/>
      <c r="N45" s="11" t="s">
        <v>9</v>
      </c>
      <c r="O45" s="3"/>
    </row>
    <row r="46" spans="1:15" x14ac:dyDescent="0.4">
      <c r="A46" s="3">
        <f t="shared" si="0"/>
        <v>42</v>
      </c>
      <c r="B46" s="16"/>
      <c r="C46" s="16"/>
      <c r="D46" s="16"/>
      <c r="E46" s="28"/>
      <c r="F46" s="13" t="s">
        <v>1335</v>
      </c>
      <c r="G46" s="13"/>
      <c r="H46" s="13"/>
      <c r="I46" s="13"/>
      <c r="J46" s="13"/>
      <c r="K46" s="14"/>
      <c r="L46" s="11" t="s">
        <v>10</v>
      </c>
      <c r="M46" s="11"/>
      <c r="N46" s="11" t="s">
        <v>10</v>
      </c>
      <c r="O46" s="3"/>
    </row>
    <row r="47" spans="1:15" x14ac:dyDescent="0.4">
      <c r="A47" s="3">
        <f t="shared" si="0"/>
        <v>43</v>
      </c>
      <c r="B47" s="16"/>
      <c r="C47" s="16"/>
      <c r="D47" s="17"/>
      <c r="E47" s="29"/>
      <c r="F47" s="13" t="s">
        <v>1336</v>
      </c>
      <c r="G47" s="13"/>
      <c r="H47" s="13"/>
      <c r="I47" s="13"/>
      <c r="J47" s="13"/>
      <c r="K47" s="14"/>
      <c r="L47" s="11" t="s">
        <v>10</v>
      </c>
      <c r="M47" s="11"/>
      <c r="N47" s="11" t="s">
        <v>10</v>
      </c>
      <c r="O47" s="3"/>
    </row>
    <row r="48" spans="1:15" x14ac:dyDescent="0.4">
      <c r="A48" s="3">
        <f t="shared" si="0"/>
        <v>44</v>
      </c>
      <c r="B48" s="16"/>
      <c r="C48" s="16"/>
      <c r="D48" s="21" t="s">
        <v>1337</v>
      </c>
      <c r="E48" s="9"/>
      <c r="F48" s="9"/>
      <c r="G48" s="9"/>
      <c r="H48" s="9"/>
      <c r="I48" s="9"/>
      <c r="J48" s="9"/>
      <c r="K48" s="10"/>
      <c r="L48" s="2"/>
      <c r="M48" s="2"/>
      <c r="N48" s="2"/>
      <c r="O48" s="8"/>
    </row>
    <row r="49" spans="1:15" x14ac:dyDescent="0.4">
      <c r="A49" s="3">
        <f t="shared" si="0"/>
        <v>45</v>
      </c>
      <c r="B49" s="16"/>
      <c r="C49" s="16"/>
      <c r="D49" s="16"/>
      <c r="E49" s="16" t="s">
        <v>781</v>
      </c>
      <c r="F49" s="9"/>
      <c r="G49" s="9"/>
      <c r="H49" s="9"/>
      <c r="I49" s="9"/>
      <c r="J49" s="9"/>
      <c r="K49" s="10"/>
      <c r="L49" s="2"/>
      <c r="M49" s="2"/>
      <c r="N49" s="2"/>
      <c r="O49" s="8"/>
    </row>
    <row r="50" spans="1:15" x14ac:dyDescent="0.4">
      <c r="A50" s="3">
        <f t="shared" si="0"/>
        <v>46</v>
      </c>
      <c r="B50" s="16"/>
      <c r="C50" s="16"/>
      <c r="D50" s="16"/>
      <c r="E50" s="16"/>
      <c r="F50" s="13" t="s">
        <v>782</v>
      </c>
      <c r="G50" s="13"/>
      <c r="H50" s="13"/>
      <c r="I50" s="13"/>
      <c r="J50" s="13"/>
      <c r="K50" s="14"/>
      <c r="L50" s="11" t="s">
        <v>9</v>
      </c>
      <c r="M50" s="11"/>
      <c r="N50" s="11" t="s">
        <v>9</v>
      </c>
      <c r="O50" s="3"/>
    </row>
    <row r="51" spans="1:15" x14ac:dyDescent="0.4">
      <c r="A51" s="3">
        <f t="shared" si="0"/>
        <v>47</v>
      </c>
      <c r="B51" s="16"/>
      <c r="C51" s="16"/>
      <c r="D51" s="16"/>
      <c r="E51" s="16"/>
      <c r="F51" s="26" t="s">
        <v>781</v>
      </c>
      <c r="G51" s="13"/>
      <c r="H51" s="13"/>
      <c r="I51" s="13"/>
      <c r="J51" s="13"/>
      <c r="K51" s="14"/>
      <c r="L51" s="11" t="s">
        <v>10</v>
      </c>
      <c r="M51" s="11"/>
      <c r="N51" s="11" t="s">
        <v>10</v>
      </c>
      <c r="O51" s="3"/>
    </row>
    <row r="52" spans="1:15" x14ac:dyDescent="0.4">
      <c r="A52" s="3">
        <f t="shared" si="0"/>
        <v>48</v>
      </c>
      <c r="B52" s="16"/>
      <c r="C52" s="16"/>
      <c r="D52" s="16"/>
      <c r="E52" s="17"/>
      <c r="F52" s="20"/>
      <c r="G52" s="13" t="s">
        <v>783</v>
      </c>
      <c r="H52" s="13"/>
      <c r="I52" s="13"/>
      <c r="J52" s="13"/>
      <c r="K52" s="14"/>
      <c r="L52" s="3" t="s">
        <v>784</v>
      </c>
      <c r="M52" s="3"/>
      <c r="N52" s="3" t="s">
        <v>784</v>
      </c>
      <c r="O52" s="3"/>
    </row>
    <row r="53" spans="1:15" x14ac:dyDescent="0.4">
      <c r="A53" s="3">
        <f t="shared" si="0"/>
        <v>49</v>
      </c>
      <c r="B53" s="16"/>
      <c r="C53" s="16"/>
      <c r="D53" s="16"/>
      <c r="E53" s="21" t="s">
        <v>1334</v>
      </c>
      <c r="F53" s="9"/>
      <c r="G53" s="9"/>
      <c r="H53" s="9"/>
      <c r="I53" s="9"/>
      <c r="J53" s="9"/>
      <c r="K53" s="10"/>
      <c r="L53" s="2"/>
      <c r="M53" s="2"/>
      <c r="N53" s="2"/>
      <c r="O53" s="8"/>
    </row>
    <row r="54" spans="1:15" x14ac:dyDescent="0.4">
      <c r="A54" s="3">
        <f t="shared" si="0"/>
        <v>50</v>
      </c>
      <c r="B54" s="16"/>
      <c r="C54" s="16"/>
      <c r="D54" s="16"/>
      <c r="E54" s="16"/>
      <c r="F54" s="13" t="s">
        <v>780</v>
      </c>
      <c r="G54" s="13"/>
      <c r="H54" s="13"/>
      <c r="I54" s="13"/>
      <c r="J54" s="13"/>
      <c r="K54" s="14"/>
      <c r="L54" s="11" t="s">
        <v>9</v>
      </c>
      <c r="M54" s="11"/>
      <c r="N54" s="11" t="s">
        <v>9</v>
      </c>
      <c r="O54" s="3"/>
    </row>
    <row r="55" spans="1:15" x14ac:dyDescent="0.4">
      <c r="A55" s="3">
        <f t="shared" si="0"/>
        <v>51</v>
      </c>
      <c r="B55" s="16"/>
      <c r="C55" s="16"/>
      <c r="D55" s="16"/>
      <c r="E55" s="16"/>
      <c r="F55" s="13" t="s">
        <v>1338</v>
      </c>
      <c r="G55" s="13"/>
      <c r="H55" s="13"/>
      <c r="I55" s="13"/>
      <c r="J55" s="13"/>
      <c r="K55" s="14"/>
      <c r="L55" s="11" t="s">
        <v>10</v>
      </c>
      <c r="M55" s="11"/>
      <c r="N55" s="11" t="s">
        <v>10</v>
      </c>
      <c r="O55" s="3"/>
    </row>
    <row r="56" spans="1:15" x14ac:dyDescent="0.4">
      <c r="A56" s="3">
        <f t="shared" si="0"/>
        <v>52</v>
      </c>
      <c r="B56" s="16"/>
      <c r="C56" s="16"/>
      <c r="D56" s="17"/>
      <c r="E56" s="17"/>
      <c r="F56" s="13" t="s">
        <v>1339</v>
      </c>
      <c r="G56" s="13"/>
      <c r="H56" s="13"/>
      <c r="I56" s="13"/>
      <c r="J56" s="13"/>
      <c r="K56" s="14"/>
      <c r="L56" s="11" t="s">
        <v>10</v>
      </c>
      <c r="M56" s="11"/>
      <c r="N56" s="11" t="s">
        <v>10</v>
      </c>
      <c r="O56" s="3"/>
    </row>
    <row r="57" spans="1:15" x14ac:dyDescent="0.4">
      <c r="A57" s="3">
        <f t="shared" si="0"/>
        <v>53</v>
      </c>
      <c r="B57" s="16"/>
      <c r="C57" s="16"/>
      <c r="D57" s="21" t="s">
        <v>1341</v>
      </c>
      <c r="E57" s="9"/>
      <c r="F57" s="9"/>
      <c r="G57" s="9"/>
      <c r="H57" s="9"/>
      <c r="I57" s="9"/>
      <c r="J57" s="9"/>
      <c r="K57" s="10"/>
      <c r="L57" s="2"/>
      <c r="M57" s="2"/>
      <c r="N57" s="2"/>
      <c r="O57" s="8"/>
    </row>
    <row r="58" spans="1:15" x14ac:dyDescent="0.4">
      <c r="A58" s="3">
        <f t="shared" si="0"/>
        <v>54</v>
      </c>
      <c r="B58" s="16"/>
      <c r="C58" s="16"/>
      <c r="D58" s="16"/>
      <c r="E58" s="15" t="s">
        <v>785</v>
      </c>
      <c r="F58" s="9"/>
      <c r="G58" s="9"/>
      <c r="H58" s="9"/>
      <c r="I58" s="9"/>
      <c r="J58" s="9"/>
      <c r="K58" s="10"/>
      <c r="L58" s="2"/>
      <c r="M58" s="2"/>
      <c r="N58" s="2"/>
      <c r="O58" s="8"/>
    </row>
    <row r="59" spans="1:15" x14ac:dyDescent="0.4">
      <c r="A59" s="3">
        <f t="shared" si="0"/>
        <v>55</v>
      </c>
      <c r="B59" s="16"/>
      <c r="C59" s="16"/>
      <c r="D59" s="16"/>
      <c r="E59" s="16"/>
      <c r="F59" s="13" t="s">
        <v>780</v>
      </c>
      <c r="G59" s="13"/>
      <c r="H59" s="13"/>
      <c r="I59" s="13"/>
      <c r="J59" s="13"/>
      <c r="K59" s="14"/>
      <c r="L59" s="11" t="s">
        <v>9</v>
      </c>
      <c r="M59" s="11"/>
      <c r="N59" s="11" t="s">
        <v>9</v>
      </c>
      <c r="O59" s="3"/>
    </row>
    <row r="60" spans="1:15" x14ac:dyDescent="0.4">
      <c r="A60" s="3">
        <f t="shared" si="0"/>
        <v>56</v>
      </c>
      <c r="B60" s="16"/>
      <c r="C60" s="16"/>
      <c r="D60" s="16"/>
      <c r="E60" s="16"/>
      <c r="F60" s="13" t="s">
        <v>1293</v>
      </c>
      <c r="G60" s="13"/>
      <c r="H60" s="13"/>
      <c r="I60" s="13"/>
      <c r="J60" s="13"/>
      <c r="K60" s="14"/>
      <c r="L60" s="11" t="s">
        <v>10</v>
      </c>
      <c r="M60" s="11"/>
      <c r="N60" s="11" t="s">
        <v>10</v>
      </c>
      <c r="O60" s="3"/>
    </row>
    <row r="61" spans="1:15" x14ac:dyDescent="0.4">
      <c r="A61" s="3">
        <f t="shared" si="0"/>
        <v>57</v>
      </c>
      <c r="B61" s="16"/>
      <c r="C61" s="16"/>
      <c r="D61" s="16"/>
      <c r="E61" s="17"/>
      <c r="F61" s="13" t="s">
        <v>96</v>
      </c>
      <c r="G61" s="13"/>
      <c r="H61" s="13"/>
      <c r="I61" s="13"/>
      <c r="J61" s="13"/>
      <c r="K61" s="14"/>
      <c r="L61" s="11" t="s">
        <v>10</v>
      </c>
      <c r="M61" s="11"/>
      <c r="N61" s="11" t="s">
        <v>10</v>
      </c>
      <c r="O61" s="3"/>
    </row>
    <row r="62" spans="1:15" x14ac:dyDescent="0.4">
      <c r="A62" s="3">
        <f t="shared" si="0"/>
        <v>58</v>
      </c>
      <c r="B62" s="16"/>
      <c r="C62" s="16"/>
      <c r="D62" s="16"/>
      <c r="E62" s="15" t="s">
        <v>1334</v>
      </c>
      <c r="F62" s="9"/>
      <c r="G62" s="9"/>
      <c r="H62" s="9"/>
      <c r="I62" s="9"/>
      <c r="J62" s="9"/>
      <c r="K62" s="10"/>
      <c r="L62" s="2"/>
      <c r="M62" s="2"/>
      <c r="N62" s="2"/>
      <c r="O62" s="8"/>
    </row>
    <row r="63" spans="1:15" x14ac:dyDescent="0.4">
      <c r="A63" s="3">
        <f t="shared" si="0"/>
        <v>59</v>
      </c>
      <c r="B63" s="16"/>
      <c r="C63" s="16"/>
      <c r="D63" s="16"/>
      <c r="E63" s="16"/>
      <c r="F63" s="13" t="s">
        <v>780</v>
      </c>
      <c r="G63" s="13"/>
      <c r="H63" s="13"/>
      <c r="I63" s="13"/>
      <c r="J63" s="13"/>
      <c r="K63" s="14"/>
      <c r="L63" s="11" t="s">
        <v>9</v>
      </c>
      <c r="M63" s="11"/>
      <c r="N63" s="11" t="s">
        <v>9</v>
      </c>
      <c r="O63" s="3"/>
    </row>
    <row r="64" spans="1:15" x14ac:dyDescent="0.4">
      <c r="A64" s="3">
        <f t="shared" si="0"/>
        <v>60</v>
      </c>
      <c r="B64" s="16"/>
      <c r="C64" s="16"/>
      <c r="D64" s="16"/>
      <c r="E64" s="16"/>
      <c r="F64" s="13" t="s">
        <v>1342</v>
      </c>
      <c r="G64" s="13"/>
      <c r="H64" s="13"/>
      <c r="I64" s="13"/>
      <c r="J64" s="13"/>
      <c r="K64" s="14"/>
      <c r="L64" s="11" t="s">
        <v>10</v>
      </c>
      <c r="M64" s="11"/>
      <c r="N64" s="11" t="s">
        <v>10</v>
      </c>
      <c r="O64" s="3"/>
    </row>
    <row r="65" spans="1:15" x14ac:dyDescent="0.4">
      <c r="A65" s="3">
        <f t="shared" si="0"/>
        <v>61</v>
      </c>
      <c r="B65" s="16"/>
      <c r="C65" s="16"/>
      <c r="D65" s="17"/>
      <c r="E65" s="17"/>
      <c r="F65" s="13" t="s">
        <v>1343</v>
      </c>
      <c r="G65" s="13"/>
      <c r="H65" s="13"/>
      <c r="I65" s="13"/>
      <c r="J65" s="13"/>
      <c r="K65" s="14"/>
      <c r="L65" s="11" t="s">
        <v>10</v>
      </c>
      <c r="M65" s="11"/>
      <c r="N65" s="11" t="s">
        <v>10</v>
      </c>
      <c r="O65" s="3"/>
    </row>
    <row r="66" spans="1:15" x14ac:dyDescent="0.4">
      <c r="A66" s="3">
        <f t="shared" si="0"/>
        <v>62</v>
      </c>
      <c r="B66" s="15" t="s">
        <v>1348</v>
      </c>
      <c r="C66" s="9"/>
      <c r="D66" s="9"/>
      <c r="E66" s="9"/>
      <c r="F66" s="9"/>
      <c r="G66" s="9"/>
      <c r="H66" s="9"/>
      <c r="I66" s="9"/>
      <c r="J66" s="9"/>
      <c r="K66" s="10"/>
      <c r="L66" s="8"/>
      <c r="M66" s="8"/>
      <c r="N66" s="8"/>
      <c r="O66" s="8"/>
    </row>
    <row r="67" spans="1:15" x14ac:dyDescent="0.4">
      <c r="A67" s="3">
        <f t="shared" si="0"/>
        <v>63</v>
      </c>
      <c r="B67" s="16"/>
      <c r="C67" s="15" t="s">
        <v>788</v>
      </c>
      <c r="D67" s="9"/>
      <c r="E67" s="9"/>
      <c r="F67" s="9"/>
      <c r="G67" s="9"/>
      <c r="H67" s="9"/>
      <c r="I67" s="9"/>
      <c r="J67" s="9"/>
      <c r="K67" s="10"/>
      <c r="L67" s="8"/>
      <c r="M67" s="8"/>
      <c r="N67" s="8"/>
      <c r="O67" s="8"/>
    </row>
    <row r="68" spans="1:15" x14ac:dyDescent="0.4">
      <c r="A68" s="3">
        <f t="shared" si="0"/>
        <v>64</v>
      </c>
      <c r="B68" s="16"/>
      <c r="C68" s="17"/>
      <c r="D68" s="12"/>
      <c r="E68" s="13"/>
      <c r="F68" s="13"/>
      <c r="G68" s="13"/>
      <c r="H68" s="13"/>
      <c r="I68" s="13"/>
      <c r="J68" s="13"/>
      <c r="K68" s="14"/>
      <c r="L68" s="3"/>
      <c r="M68" s="3"/>
      <c r="N68" s="3"/>
      <c r="O68" s="3"/>
    </row>
    <row r="69" spans="1:15" x14ac:dyDescent="0.4">
      <c r="A69" s="3">
        <f t="shared" si="0"/>
        <v>65</v>
      </c>
      <c r="B69" s="16"/>
      <c r="C69" s="21" t="s">
        <v>1349</v>
      </c>
      <c r="D69" s="9"/>
      <c r="E69" s="9"/>
      <c r="F69" s="9"/>
      <c r="G69" s="9"/>
      <c r="H69" s="9"/>
      <c r="I69" s="9"/>
      <c r="J69" s="9"/>
      <c r="K69" s="10"/>
      <c r="L69" s="8"/>
      <c r="M69" s="8"/>
      <c r="N69" s="8"/>
      <c r="O69" s="8"/>
    </row>
    <row r="70" spans="1:15" x14ac:dyDescent="0.4">
      <c r="A70" s="3">
        <f t="shared" ref="A70:A83" si="1">A69+1</f>
        <v>66</v>
      </c>
      <c r="B70" s="16"/>
      <c r="C70" s="17"/>
      <c r="D70" s="13"/>
      <c r="E70" s="13"/>
      <c r="F70" s="13"/>
      <c r="G70" s="13"/>
      <c r="H70" s="13"/>
      <c r="I70" s="13"/>
      <c r="J70" s="13"/>
      <c r="K70" s="14"/>
      <c r="L70" s="3"/>
      <c r="M70" s="3"/>
      <c r="N70" s="3"/>
      <c r="O70" s="3"/>
    </row>
    <row r="71" spans="1:15" x14ac:dyDescent="0.4">
      <c r="A71" s="3">
        <f t="shared" si="1"/>
        <v>67</v>
      </c>
      <c r="B71" s="16"/>
      <c r="C71" s="21" t="s">
        <v>789</v>
      </c>
      <c r="D71" s="9"/>
      <c r="E71" s="9"/>
      <c r="F71" s="9"/>
      <c r="G71" s="9"/>
      <c r="H71" s="9"/>
      <c r="I71" s="9"/>
      <c r="J71" s="9"/>
      <c r="K71" s="10"/>
      <c r="L71" s="8"/>
      <c r="M71" s="8"/>
      <c r="N71" s="8"/>
      <c r="O71" s="8"/>
    </row>
    <row r="72" spans="1:15" x14ac:dyDescent="0.4">
      <c r="A72" s="3">
        <f t="shared" si="1"/>
        <v>68</v>
      </c>
      <c r="B72" s="16"/>
      <c r="C72" s="17"/>
      <c r="D72" s="13"/>
      <c r="E72" s="13"/>
      <c r="F72" s="13"/>
      <c r="G72" s="13"/>
      <c r="H72" s="13"/>
      <c r="I72" s="13"/>
      <c r="J72" s="13"/>
      <c r="K72" s="14"/>
      <c r="L72" s="3"/>
      <c r="M72" s="3"/>
      <c r="N72" s="3"/>
      <c r="O72" s="3"/>
    </row>
    <row r="73" spans="1:15" x14ac:dyDescent="0.4">
      <c r="A73" s="3">
        <f t="shared" si="1"/>
        <v>69</v>
      </c>
      <c r="B73" s="16"/>
      <c r="C73" s="21" t="s">
        <v>1350</v>
      </c>
      <c r="D73" s="9"/>
      <c r="E73" s="9"/>
      <c r="F73" s="9"/>
      <c r="G73" s="9"/>
      <c r="H73" s="9"/>
      <c r="I73" s="9"/>
      <c r="J73" s="9"/>
      <c r="K73" s="10"/>
      <c r="L73" s="8"/>
      <c r="M73" s="8"/>
      <c r="N73" s="8"/>
      <c r="O73" s="8"/>
    </row>
    <row r="74" spans="1:15" x14ac:dyDescent="0.4">
      <c r="A74" s="3">
        <f t="shared" si="1"/>
        <v>70</v>
      </c>
      <c r="B74" s="16"/>
      <c r="C74" s="21"/>
      <c r="D74" s="15" t="s">
        <v>1351</v>
      </c>
      <c r="E74" s="9"/>
      <c r="F74" s="9"/>
      <c r="G74" s="9"/>
      <c r="H74" s="9"/>
      <c r="I74" s="9"/>
      <c r="J74" s="9"/>
      <c r="K74" s="10"/>
      <c r="L74" s="8"/>
      <c r="M74" s="8"/>
      <c r="N74" s="8"/>
      <c r="O74" s="8"/>
    </row>
    <row r="75" spans="1:15" x14ac:dyDescent="0.4">
      <c r="A75" s="3">
        <f t="shared" si="1"/>
        <v>71</v>
      </c>
      <c r="B75" s="16"/>
      <c r="C75" s="21"/>
      <c r="D75" s="16"/>
      <c r="E75" s="27" t="s">
        <v>790</v>
      </c>
      <c r="F75" s="9"/>
      <c r="G75" s="9"/>
      <c r="H75" s="9"/>
      <c r="I75" s="9"/>
      <c r="J75" s="9"/>
      <c r="K75" s="10"/>
      <c r="L75" s="8"/>
      <c r="M75" s="8"/>
      <c r="N75" s="8"/>
      <c r="O75" s="8"/>
    </row>
    <row r="76" spans="1:15" x14ac:dyDescent="0.4">
      <c r="A76" s="3">
        <f t="shared" si="1"/>
        <v>72</v>
      </c>
      <c r="B76" s="16"/>
      <c r="C76" s="21"/>
      <c r="D76" s="16"/>
      <c r="E76" s="28"/>
      <c r="F76" s="13" t="s">
        <v>780</v>
      </c>
      <c r="G76" s="13"/>
      <c r="H76" s="13"/>
      <c r="I76" s="13"/>
      <c r="J76" s="13"/>
      <c r="K76" s="14"/>
      <c r="L76" s="11" t="s">
        <v>9</v>
      </c>
      <c r="M76" s="11"/>
      <c r="N76" s="11" t="s">
        <v>9</v>
      </c>
      <c r="O76" s="3"/>
    </row>
    <row r="77" spans="1:15" x14ac:dyDescent="0.4">
      <c r="A77" s="3">
        <f t="shared" si="1"/>
        <v>73</v>
      </c>
      <c r="B77" s="16"/>
      <c r="C77" s="21"/>
      <c r="D77" s="17"/>
      <c r="E77" s="29"/>
      <c r="F77" s="13" t="s">
        <v>21</v>
      </c>
      <c r="G77" s="13"/>
      <c r="H77" s="13"/>
      <c r="I77" s="13"/>
      <c r="J77" s="13"/>
      <c r="K77" s="14"/>
      <c r="L77" s="11" t="s">
        <v>10</v>
      </c>
      <c r="M77" s="11"/>
      <c r="N77" s="11" t="s">
        <v>10</v>
      </c>
      <c r="O77" s="3"/>
    </row>
    <row r="78" spans="1:15" x14ac:dyDescent="0.4">
      <c r="A78" s="3">
        <f t="shared" si="1"/>
        <v>74</v>
      </c>
      <c r="B78" s="16"/>
      <c r="C78" s="15" t="s">
        <v>791</v>
      </c>
      <c r="D78" s="9"/>
      <c r="E78" s="9"/>
      <c r="F78" s="9"/>
      <c r="G78" s="9"/>
      <c r="H78" s="9"/>
      <c r="I78" s="9"/>
      <c r="J78" s="9"/>
      <c r="K78" s="10"/>
      <c r="L78" s="8"/>
      <c r="M78" s="8"/>
      <c r="N78" s="8"/>
      <c r="O78" s="8"/>
    </row>
    <row r="79" spans="1:15" x14ac:dyDescent="0.4">
      <c r="A79" s="3">
        <f t="shared" si="1"/>
        <v>75</v>
      </c>
      <c r="B79" s="16"/>
      <c r="C79" s="21"/>
      <c r="D79" s="15" t="s">
        <v>792</v>
      </c>
      <c r="E79" s="9"/>
      <c r="F79" s="9"/>
      <c r="G79" s="9"/>
      <c r="H79" s="9"/>
      <c r="I79" s="9"/>
      <c r="J79" s="9"/>
      <c r="K79" s="10"/>
      <c r="L79" s="8"/>
      <c r="M79" s="8"/>
      <c r="N79" s="8"/>
      <c r="O79" s="8"/>
    </row>
    <row r="80" spans="1:15" x14ac:dyDescent="0.4">
      <c r="A80" s="3">
        <f t="shared" si="1"/>
        <v>76</v>
      </c>
      <c r="B80" s="16"/>
      <c r="C80" s="21"/>
      <c r="D80" s="16"/>
      <c r="E80" s="26" t="s">
        <v>1353</v>
      </c>
      <c r="F80" s="13"/>
      <c r="G80" s="13"/>
      <c r="H80" s="13"/>
      <c r="I80" s="13"/>
      <c r="J80" s="13"/>
      <c r="K80" s="14"/>
      <c r="L80" s="11" t="s">
        <v>36</v>
      </c>
      <c r="M80" s="11"/>
      <c r="N80" s="11" t="s">
        <v>36</v>
      </c>
      <c r="O80" s="3"/>
    </row>
    <row r="81" spans="1:15" x14ac:dyDescent="0.4">
      <c r="A81" s="3">
        <f t="shared" si="1"/>
        <v>77</v>
      </c>
      <c r="B81" s="16"/>
      <c r="C81" s="21"/>
      <c r="D81" s="16"/>
      <c r="E81" s="19"/>
      <c r="F81" s="27" t="s">
        <v>1354</v>
      </c>
      <c r="G81" s="9"/>
      <c r="H81" s="9"/>
      <c r="I81" s="9"/>
      <c r="J81" s="9"/>
      <c r="K81" s="10"/>
      <c r="L81" s="8"/>
      <c r="M81" s="8"/>
      <c r="N81" s="8"/>
      <c r="O81" s="8"/>
    </row>
    <row r="82" spans="1:15" x14ac:dyDescent="0.4">
      <c r="A82" s="3">
        <f t="shared" si="1"/>
        <v>78</v>
      </c>
      <c r="B82" s="16"/>
      <c r="C82" s="21"/>
      <c r="D82" s="16"/>
      <c r="E82" s="19"/>
      <c r="F82" s="28"/>
      <c r="G82" s="13" t="s">
        <v>1355</v>
      </c>
      <c r="H82" s="13"/>
      <c r="I82" s="13"/>
      <c r="J82" s="13"/>
      <c r="K82" s="14"/>
      <c r="L82" s="11" t="s">
        <v>20</v>
      </c>
      <c r="M82" s="11"/>
      <c r="N82" s="11" t="s">
        <v>20</v>
      </c>
      <c r="O82" s="3"/>
    </row>
    <row r="83" spans="1:15" x14ac:dyDescent="0.4">
      <c r="A83" s="3">
        <f t="shared" si="1"/>
        <v>79</v>
      </c>
      <c r="B83" s="16"/>
      <c r="C83" s="21"/>
      <c r="D83" s="16"/>
      <c r="E83" s="19"/>
      <c r="F83" s="29"/>
      <c r="G83" s="13" t="s">
        <v>1356</v>
      </c>
      <c r="H83" s="13"/>
      <c r="I83" s="13"/>
      <c r="J83" s="13"/>
      <c r="K83" s="14"/>
      <c r="L83" s="11" t="s">
        <v>20</v>
      </c>
      <c r="M83" s="11"/>
      <c r="N83" s="11" t="s">
        <v>20</v>
      </c>
      <c r="O83" s="3"/>
    </row>
    <row r="84" spans="1:15" x14ac:dyDescent="0.4">
      <c r="A84" s="3">
        <f t="shared" ref="A84:A122" si="2">A83+1</f>
        <v>80</v>
      </c>
      <c r="B84" s="16"/>
      <c r="C84" s="21"/>
      <c r="D84" s="16"/>
      <c r="E84" s="19"/>
      <c r="F84" s="45" t="s">
        <v>1357</v>
      </c>
      <c r="G84" s="9"/>
      <c r="H84" s="9"/>
      <c r="I84" s="9"/>
      <c r="J84" s="9"/>
      <c r="K84" s="10"/>
      <c r="L84" s="8"/>
      <c r="M84" s="8"/>
      <c r="N84" s="8"/>
      <c r="O84" s="8"/>
    </row>
    <row r="85" spans="1:15" x14ac:dyDescent="0.4">
      <c r="A85" s="3">
        <f t="shared" si="2"/>
        <v>81</v>
      </c>
      <c r="B85" s="16"/>
      <c r="C85" s="21"/>
      <c r="D85" s="16"/>
      <c r="E85" s="19"/>
      <c r="F85" s="28"/>
      <c r="G85" s="27" t="s">
        <v>1358</v>
      </c>
      <c r="H85" s="9"/>
      <c r="I85" s="9"/>
      <c r="J85" s="9"/>
      <c r="K85" s="10"/>
      <c r="L85" s="8"/>
      <c r="M85" s="8"/>
      <c r="N85" s="8"/>
      <c r="O85" s="8"/>
    </row>
    <row r="86" spans="1:15" x14ac:dyDescent="0.4">
      <c r="A86" s="3">
        <f t="shared" si="2"/>
        <v>82</v>
      </c>
      <c r="B86" s="16"/>
      <c r="C86" s="21"/>
      <c r="D86" s="16"/>
      <c r="E86" s="19"/>
      <c r="F86" s="28"/>
      <c r="G86" s="16"/>
      <c r="H86" s="13" t="s">
        <v>1359</v>
      </c>
      <c r="I86" s="13"/>
      <c r="J86" s="13"/>
      <c r="K86" s="14"/>
      <c r="L86" s="11" t="s">
        <v>9</v>
      </c>
      <c r="M86" s="11"/>
      <c r="N86" s="11" t="s">
        <v>9</v>
      </c>
      <c r="O86" s="3"/>
    </row>
    <row r="87" spans="1:15" x14ac:dyDescent="0.4">
      <c r="A87" s="3">
        <f t="shared" si="2"/>
        <v>83</v>
      </c>
      <c r="B87" s="16"/>
      <c r="C87" s="21"/>
      <c r="D87" s="16"/>
      <c r="E87" s="19"/>
      <c r="F87" s="29"/>
      <c r="G87" s="17"/>
      <c r="H87" s="13" t="s">
        <v>1360</v>
      </c>
      <c r="I87" s="13"/>
      <c r="J87" s="13"/>
      <c r="K87" s="14"/>
      <c r="L87" s="11" t="s">
        <v>10</v>
      </c>
      <c r="M87" s="11"/>
      <c r="N87" s="11" t="s">
        <v>10</v>
      </c>
      <c r="O87" s="3"/>
    </row>
    <row r="88" spans="1:15" x14ac:dyDescent="0.4">
      <c r="A88" s="3">
        <f t="shared" si="2"/>
        <v>84</v>
      </c>
      <c r="B88" s="16"/>
      <c r="C88" s="21"/>
      <c r="D88" s="16"/>
      <c r="E88" s="20"/>
      <c r="F88" s="13" t="s">
        <v>1361</v>
      </c>
      <c r="G88" s="13"/>
      <c r="H88" s="13"/>
      <c r="I88" s="13"/>
      <c r="J88" s="13"/>
      <c r="K88" s="14"/>
      <c r="L88" s="11" t="s">
        <v>36</v>
      </c>
      <c r="M88" s="11"/>
      <c r="N88" s="11" t="s">
        <v>36</v>
      </c>
      <c r="O88" s="3"/>
    </row>
    <row r="89" spans="1:15" x14ac:dyDescent="0.4">
      <c r="A89" s="3">
        <f t="shared" si="2"/>
        <v>85</v>
      </c>
      <c r="B89" s="16"/>
      <c r="C89" s="21"/>
      <c r="D89" s="15" t="s">
        <v>793</v>
      </c>
      <c r="E89" s="9"/>
      <c r="F89" s="9"/>
      <c r="G89" s="9"/>
      <c r="H89" s="9"/>
      <c r="I89" s="9"/>
      <c r="J89" s="9"/>
      <c r="K89" s="10"/>
      <c r="L89" s="8"/>
      <c r="M89" s="8"/>
      <c r="N89" s="8"/>
      <c r="O89" s="8"/>
    </row>
    <row r="90" spans="1:15" x14ac:dyDescent="0.4">
      <c r="A90" s="3">
        <f t="shared" si="2"/>
        <v>86</v>
      </c>
      <c r="B90" s="16"/>
      <c r="C90" s="21"/>
      <c r="D90" s="16"/>
      <c r="E90" s="26" t="s">
        <v>1353</v>
      </c>
      <c r="F90" s="13"/>
      <c r="G90" s="13"/>
      <c r="H90" s="13"/>
      <c r="I90" s="13"/>
      <c r="J90" s="13"/>
      <c r="K90" s="14"/>
      <c r="L90" s="11" t="s">
        <v>36</v>
      </c>
      <c r="M90" s="11"/>
      <c r="N90" s="11" t="s">
        <v>36</v>
      </c>
      <c r="O90" s="3"/>
    </row>
    <row r="91" spans="1:15" x14ac:dyDescent="0.4">
      <c r="A91" s="3">
        <f t="shared" si="2"/>
        <v>87</v>
      </c>
      <c r="B91" s="16"/>
      <c r="C91" s="21"/>
      <c r="D91" s="16"/>
      <c r="E91" s="19"/>
      <c r="F91" s="27" t="s">
        <v>794</v>
      </c>
      <c r="G91" s="9"/>
      <c r="H91" s="9"/>
      <c r="I91" s="9"/>
      <c r="J91" s="9"/>
      <c r="K91" s="10"/>
      <c r="L91" s="8"/>
      <c r="M91" s="8"/>
      <c r="N91" s="8"/>
      <c r="O91" s="8"/>
    </row>
    <row r="92" spans="1:15" x14ac:dyDescent="0.4">
      <c r="A92" s="3">
        <f t="shared" si="2"/>
        <v>88</v>
      </c>
      <c r="B92" s="16"/>
      <c r="C92" s="21"/>
      <c r="D92" s="16"/>
      <c r="E92" s="19"/>
      <c r="F92" s="28"/>
      <c r="G92" s="13" t="s">
        <v>1362</v>
      </c>
      <c r="H92" s="13"/>
      <c r="I92" s="13"/>
      <c r="J92" s="13"/>
      <c r="K92" s="14"/>
      <c r="L92" s="11" t="s">
        <v>9</v>
      </c>
      <c r="M92" s="11"/>
      <c r="N92" s="11" t="s">
        <v>9</v>
      </c>
      <c r="O92" s="3"/>
    </row>
    <row r="93" spans="1:15" x14ac:dyDescent="0.4">
      <c r="A93" s="3">
        <f t="shared" si="2"/>
        <v>89</v>
      </c>
      <c r="B93" s="16"/>
      <c r="C93" s="21"/>
      <c r="D93" s="16"/>
      <c r="E93" s="19"/>
      <c r="F93" s="28"/>
      <c r="G93" s="13" t="s">
        <v>795</v>
      </c>
      <c r="H93" s="13"/>
      <c r="I93" s="13"/>
      <c r="J93" s="13"/>
      <c r="K93" s="14"/>
      <c r="L93" s="11" t="s">
        <v>10</v>
      </c>
      <c r="M93" s="11"/>
      <c r="N93" s="11" t="s">
        <v>10</v>
      </c>
      <c r="O93" s="3"/>
    </row>
    <row r="94" spans="1:15" x14ac:dyDescent="0.4">
      <c r="A94" s="3">
        <f t="shared" si="2"/>
        <v>90</v>
      </c>
      <c r="B94" s="16"/>
      <c r="C94" s="21"/>
      <c r="D94" s="16"/>
      <c r="E94" s="19"/>
      <c r="F94" s="17"/>
      <c r="G94" s="13" t="s">
        <v>1363</v>
      </c>
      <c r="H94" s="13"/>
      <c r="I94" s="13"/>
      <c r="J94" s="13"/>
      <c r="K94" s="14"/>
      <c r="L94" s="11" t="s">
        <v>10</v>
      </c>
      <c r="M94" s="11"/>
      <c r="N94" s="11" t="s">
        <v>10</v>
      </c>
      <c r="O94" s="3"/>
    </row>
    <row r="95" spans="1:15" x14ac:dyDescent="0.4">
      <c r="A95" s="3">
        <f t="shared" si="2"/>
        <v>91</v>
      </c>
      <c r="B95" s="16"/>
      <c r="C95" s="21"/>
      <c r="D95" s="16"/>
      <c r="E95" s="19"/>
      <c r="F95" s="15" t="s">
        <v>796</v>
      </c>
      <c r="G95" s="9"/>
      <c r="H95" s="9"/>
      <c r="I95" s="9"/>
      <c r="J95" s="9"/>
      <c r="K95" s="10"/>
      <c r="L95" s="2"/>
      <c r="M95" s="2"/>
      <c r="N95" s="2"/>
      <c r="O95" s="8"/>
    </row>
    <row r="96" spans="1:15" x14ac:dyDescent="0.4">
      <c r="A96" s="3">
        <f t="shared" si="2"/>
        <v>92</v>
      </c>
      <c r="B96" s="16"/>
      <c r="C96" s="21"/>
      <c r="D96" s="16"/>
      <c r="E96" s="19"/>
      <c r="F96" s="16"/>
      <c r="G96" s="13" t="s">
        <v>797</v>
      </c>
      <c r="H96" s="13"/>
      <c r="I96" s="13"/>
      <c r="J96" s="13"/>
      <c r="K96" s="14"/>
      <c r="L96" s="11" t="s">
        <v>36</v>
      </c>
      <c r="M96" s="11"/>
      <c r="N96" s="11" t="s">
        <v>36</v>
      </c>
      <c r="O96" s="3"/>
    </row>
    <row r="97" spans="1:15" x14ac:dyDescent="0.4">
      <c r="A97" s="3">
        <f t="shared" si="2"/>
        <v>93</v>
      </c>
      <c r="B97" s="16"/>
      <c r="C97" s="21"/>
      <c r="D97" s="17"/>
      <c r="E97" s="20"/>
      <c r="F97" s="17"/>
      <c r="G97" s="13" t="s">
        <v>798</v>
      </c>
      <c r="H97" s="13"/>
      <c r="I97" s="13"/>
      <c r="J97" s="13"/>
      <c r="K97" s="14"/>
      <c r="L97" s="11" t="s">
        <v>36</v>
      </c>
      <c r="M97" s="11"/>
      <c r="N97" s="11" t="s">
        <v>36</v>
      </c>
      <c r="O97" s="3"/>
    </row>
    <row r="98" spans="1:15" x14ac:dyDescent="0.4">
      <c r="A98" s="3">
        <f t="shared" si="2"/>
        <v>94</v>
      </c>
      <c r="B98" s="16"/>
      <c r="C98" s="21"/>
      <c r="D98" s="21" t="s">
        <v>1364</v>
      </c>
      <c r="E98" s="9"/>
      <c r="F98" s="9"/>
      <c r="G98" s="9"/>
      <c r="H98" s="9"/>
      <c r="I98" s="9"/>
      <c r="J98" s="9"/>
      <c r="K98" s="10"/>
      <c r="L98" s="2"/>
      <c r="M98" s="2"/>
      <c r="N98" s="2"/>
      <c r="O98" s="8"/>
    </row>
    <row r="99" spans="1:15" x14ac:dyDescent="0.4">
      <c r="A99" s="3">
        <f t="shared" si="2"/>
        <v>95</v>
      </c>
      <c r="B99" s="16"/>
      <c r="C99" s="21"/>
      <c r="D99" s="16"/>
      <c r="E99" s="26" t="s">
        <v>1353</v>
      </c>
      <c r="F99" s="13"/>
      <c r="G99" s="13"/>
      <c r="H99" s="13"/>
      <c r="I99" s="13"/>
      <c r="J99" s="13"/>
      <c r="K99" s="14"/>
      <c r="L99" s="11" t="s">
        <v>36</v>
      </c>
      <c r="M99" s="11"/>
      <c r="N99" s="11" t="s">
        <v>36</v>
      </c>
      <c r="O99" s="3"/>
    </row>
    <row r="100" spans="1:15" x14ac:dyDescent="0.4">
      <c r="A100" s="3">
        <f t="shared" si="2"/>
        <v>96</v>
      </c>
      <c r="B100" s="16"/>
      <c r="C100" s="21"/>
      <c r="D100" s="16"/>
      <c r="E100" s="19"/>
      <c r="F100" s="12" t="s">
        <v>1365</v>
      </c>
      <c r="G100" s="13"/>
      <c r="H100" s="13"/>
      <c r="I100" s="13"/>
      <c r="J100" s="13"/>
      <c r="K100" s="14"/>
      <c r="L100" s="11" t="s">
        <v>20</v>
      </c>
      <c r="M100" s="11"/>
      <c r="N100" s="11" t="s">
        <v>20</v>
      </c>
      <c r="O100" s="3"/>
    </row>
    <row r="101" spans="1:15" x14ac:dyDescent="0.4">
      <c r="A101" s="3">
        <f t="shared" si="2"/>
        <v>97</v>
      </c>
      <c r="B101" s="16"/>
      <c r="C101" s="21"/>
      <c r="D101" s="16"/>
      <c r="E101" s="19"/>
      <c r="F101" s="15" t="s">
        <v>799</v>
      </c>
      <c r="G101" s="9"/>
      <c r="H101" s="9"/>
      <c r="I101" s="9"/>
      <c r="J101" s="9"/>
      <c r="K101" s="10"/>
      <c r="L101" s="2"/>
      <c r="M101" s="2"/>
      <c r="N101" s="2"/>
      <c r="O101" s="8"/>
    </row>
    <row r="102" spans="1:15" x14ac:dyDescent="0.4">
      <c r="A102" s="3">
        <f t="shared" si="2"/>
        <v>98</v>
      </c>
      <c r="B102" s="16"/>
      <c r="C102" s="21"/>
      <c r="D102" s="16"/>
      <c r="E102" s="19"/>
      <c r="F102" s="16"/>
      <c r="G102" s="13" t="s">
        <v>800</v>
      </c>
      <c r="H102" s="13"/>
      <c r="I102" s="13"/>
      <c r="J102" s="13"/>
      <c r="K102" s="14"/>
      <c r="L102" s="11">
        <v>15</v>
      </c>
      <c r="M102" s="11"/>
      <c r="N102" s="11">
        <v>15</v>
      </c>
      <c r="O102" s="3"/>
    </row>
    <row r="103" spans="1:15" x14ac:dyDescent="0.4">
      <c r="A103" s="3">
        <f t="shared" si="2"/>
        <v>99</v>
      </c>
      <c r="B103" s="16"/>
      <c r="C103" s="21"/>
      <c r="D103" s="16"/>
      <c r="E103" s="19"/>
      <c r="F103" s="17"/>
      <c r="G103" s="13" t="s">
        <v>801</v>
      </c>
      <c r="H103" s="13"/>
      <c r="I103" s="13"/>
      <c r="J103" s="13"/>
      <c r="K103" s="14"/>
      <c r="L103" s="11">
        <v>20</v>
      </c>
      <c r="M103" s="11"/>
      <c r="N103" s="11">
        <v>20</v>
      </c>
      <c r="O103" s="3"/>
    </row>
    <row r="104" spans="1:15" x14ac:dyDescent="0.4">
      <c r="A104" s="3">
        <f t="shared" si="2"/>
        <v>100</v>
      </c>
      <c r="B104" s="16"/>
      <c r="C104" s="21"/>
      <c r="D104" s="16"/>
      <c r="E104" s="19"/>
      <c r="F104" s="20" t="s">
        <v>802</v>
      </c>
      <c r="G104" s="13"/>
      <c r="H104" s="13"/>
      <c r="I104" s="13"/>
      <c r="J104" s="13"/>
      <c r="K104" s="14"/>
      <c r="L104" s="11" t="s">
        <v>20</v>
      </c>
      <c r="M104" s="11"/>
      <c r="N104" s="11" t="s">
        <v>20</v>
      </c>
      <c r="O104" s="3"/>
    </row>
    <row r="105" spans="1:15" x14ac:dyDescent="0.4">
      <c r="A105" s="3">
        <f t="shared" si="2"/>
        <v>101</v>
      </c>
      <c r="B105" s="16"/>
      <c r="C105" s="21"/>
      <c r="D105" s="17"/>
      <c r="E105" s="20"/>
      <c r="F105" s="34" t="s">
        <v>1366</v>
      </c>
      <c r="G105" s="13"/>
      <c r="H105" s="13"/>
      <c r="I105" s="13"/>
      <c r="J105" s="13"/>
      <c r="K105" s="14"/>
      <c r="L105" s="11">
        <v>168</v>
      </c>
      <c r="M105" s="11"/>
      <c r="N105" s="11">
        <v>168</v>
      </c>
      <c r="O105" s="3"/>
    </row>
    <row r="106" spans="1:15" x14ac:dyDescent="0.4">
      <c r="A106" s="3">
        <f t="shared" si="2"/>
        <v>102</v>
      </c>
      <c r="B106" s="16"/>
      <c r="C106" s="21"/>
      <c r="D106" s="15" t="s">
        <v>803</v>
      </c>
      <c r="E106" s="33"/>
      <c r="F106" s="33"/>
      <c r="G106" s="9"/>
      <c r="H106" s="9"/>
      <c r="I106" s="9"/>
      <c r="J106" s="9"/>
      <c r="K106" s="10"/>
      <c r="L106" s="2"/>
      <c r="M106" s="2"/>
      <c r="N106" s="2"/>
      <c r="O106" s="8"/>
    </row>
    <row r="107" spans="1:15" x14ac:dyDescent="0.4">
      <c r="A107" s="3">
        <f t="shared" si="2"/>
        <v>103</v>
      </c>
      <c r="B107" s="16"/>
      <c r="C107" s="21"/>
      <c r="D107" s="16"/>
      <c r="E107" t="s">
        <v>1352</v>
      </c>
      <c r="F107" s="34"/>
      <c r="G107" s="13"/>
      <c r="H107" s="13"/>
      <c r="I107" s="13"/>
      <c r="J107" s="13"/>
      <c r="K107" s="14"/>
      <c r="L107" s="11" t="s">
        <v>36</v>
      </c>
      <c r="M107" s="11"/>
      <c r="N107" s="11" t="s">
        <v>36</v>
      </c>
      <c r="O107" s="3"/>
    </row>
    <row r="108" spans="1:15" x14ac:dyDescent="0.4">
      <c r="A108" s="3">
        <f t="shared" si="2"/>
        <v>104</v>
      </c>
      <c r="B108" s="16"/>
      <c r="C108" s="21"/>
      <c r="D108" s="16"/>
      <c r="E108" s="19"/>
      <c r="F108" s="34" t="s">
        <v>804</v>
      </c>
      <c r="G108" s="13"/>
      <c r="H108" s="13"/>
      <c r="I108" s="13"/>
      <c r="J108" s="13"/>
      <c r="K108" s="14"/>
      <c r="L108" s="11" t="s">
        <v>36</v>
      </c>
      <c r="M108" s="11"/>
      <c r="N108" s="11" t="s">
        <v>36</v>
      </c>
      <c r="O108" s="3"/>
    </row>
    <row r="109" spans="1:15" x14ac:dyDescent="0.4">
      <c r="A109" s="3">
        <f t="shared" si="2"/>
        <v>105</v>
      </c>
      <c r="B109" s="16"/>
      <c r="C109" s="21"/>
      <c r="D109" s="16"/>
      <c r="E109" s="19"/>
      <c r="F109" s="34" t="s">
        <v>805</v>
      </c>
      <c r="G109" s="13"/>
      <c r="H109" s="13"/>
      <c r="I109" s="13"/>
      <c r="J109" s="13"/>
      <c r="K109" s="14"/>
      <c r="L109" s="11">
        <v>50</v>
      </c>
      <c r="M109" s="11"/>
      <c r="N109" s="11">
        <v>50</v>
      </c>
      <c r="O109" s="3"/>
    </row>
    <row r="110" spans="1:15" x14ac:dyDescent="0.4">
      <c r="A110" s="3">
        <f t="shared" si="2"/>
        <v>106</v>
      </c>
      <c r="B110" s="16"/>
      <c r="C110" s="21"/>
      <c r="D110" s="16"/>
      <c r="E110" s="19"/>
      <c r="F110" t="s">
        <v>806</v>
      </c>
      <c r="G110" s="13"/>
      <c r="H110" s="13"/>
      <c r="I110" s="13"/>
      <c r="J110" s="13"/>
      <c r="K110" s="14"/>
      <c r="L110" s="11" t="s">
        <v>36</v>
      </c>
      <c r="M110" s="11"/>
      <c r="N110" s="11" t="s">
        <v>36</v>
      </c>
      <c r="O110" s="3"/>
    </row>
    <row r="111" spans="1:15" x14ac:dyDescent="0.4">
      <c r="A111" s="3">
        <f t="shared" si="2"/>
        <v>107</v>
      </c>
      <c r="B111" s="16"/>
      <c r="C111" s="24"/>
      <c r="D111" s="17"/>
      <c r="E111" s="20"/>
      <c r="F111" s="20"/>
      <c r="G111" s="13" t="s">
        <v>807</v>
      </c>
      <c r="H111" s="13"/>
      <c r="I111" s="13"/>
      <c r="J111" s="13"/>
      <c r="K111" s="14"/>
      <c r="L111" s="11">
        <v>12</v>
      </c>
      <c r="M111" s="11"/>
      <c r="N111" s="11">
        <v>12</v>
      </c>
      <c r="O111" s="3"/>
    </row>
    <row r="112" spans="1:15" x14ac:dyDescent="0.4">
      <c r="A112" s="3">
        <f t="shared" si="2"/>
        <v>108</v>
      </c>
      <c r="B112" s="16"/>
      <c r="C112" s="15" t="s">
        <v>1367</v>
      </c>
      <c r="D112" s="9"/>
      <c r="E112" s="9"/>
      <c r="F112" s="9"/>
      <c r="G112" s="9"/>
      <c r="H112" s="9"/>
      <c r="I112" s="9"/>
      <c r="J112" s="9"/>
      <c r="K112" s="10"/>
      <c r="L112" s="2"/>
      <c r="M112" s="2"/>
      <c r="N112" s="2"/>
      <c r="O112" s="8"/>
    </row>
    <row r="113" spans="1:15" x14ac:dyDescent="0.4">
      <c r="A113" s="3">
        <f t="shared" si="2"/>
        <v>109</v>
      </c>
      <c r="B113" s="16"/>
      <c r="C113" s="21"/>
      <c r="D113" s="16" t="s">
        <v>1368</v>
      </c>
      <c r="E113" s="16"/>
      <c r="F113" s="33"/>
      <c r="G113" s="9"/>
      <c r="H113" s="9"/>
      <c r="I113" s="9"/>
      <c r="J113" s="9"/>
      <c r="K113" s="10"/>
      <c r="L113" s="2"/>
      <c r="M113" s="2"/>
      <c r="N113" s="2"/>
      <c r="O113" s="8"/>
    </row>
    <row r="114" spans="1:15" x14ac:dyDescent="0.4">
      <c r="A114" s="3">
        <f t="shared" si="2"/>
        <v>110</v>
      </c>
      <c r="B114" s="16"/>
      <c r="C114" s="21"/>
      <c r="D114" s="16"/>
      <c r="E114" s="15" t="s">
        <v>790</v>
      </c>
      <c r="F114" s="33"/>
      <c r="G114" s="9"/>
      <c r="H114" s="9"/>
      <c r="I114" s="9"/>
      <c r="J114" s="9"/>
      <c r="K114" s="10"/>
      <c r="L114" s="2"/>
      <c r="M114" s="2"/>
      <c r="N114" s="2"/>
      <c r="O114" s="8"/>
    </row>
    <row r="115" spans="1:15" x14ac:dyDescent="0.4">
      <c r="A115" s="3">
        <f t="shared" si="2"/>
        <v>111</v>
      </c>
      <c r="B115" s="16"/>
      <c r="C115" s="21"/>
      <c r="D115" s="16"/>
      <c r="E115" s="16"/>
      <c r="F115" s="34" t="s">
        <v>782</v>
      </c>
      <c r="G115" s="13"/>
      <c r="H115" s="13"/>
      <c r="I115" s="13"/>
      <c r="J115" s="13"/>
      <c r="K115" s="14"/>
      <c r="L115" s="11" t="s">
        <v>9</v>
      </c>
      <c r="M115" s="11"/>
      <c r="N115" s="11" t="s">
        <v>9</v>
      </c>
      <c r="O115" s="3"/>
    </row>
    <row r="116" spans="1:15" x14ac:dyDescent="0.4">
      <c r="A116" s="3">
        <f t="shared" si="2"/>
        <v>112</v>
      </c>
      <c r="B116" s="16"/>
      <c r="C116" s="21"/>
      <c r="D116" s="16"/>
      <c r="E116" s="16"/>
      <c r="F116" s="34" t="s">
        <v>97</v>
      </c>
      <c r="G116" s="13"/>
      <c r="H116" s="13"/>
      <c r="I116" s="13"/>
      <c r="J116" s="13"/>
      <c r="K116" s="14"/>
      <c r="L116" s="11" t="s">
        <v>10</v>
      </c>
      <c r="M116" s="11"/>
      <c r="N116" s="11" t="s">
        <v>10</v>
      </c>
      <c r="O116" s="3"/>
    </row>
    <row r="117" spans="1:15" x14ac:dyDescent="0.4">
      <c r="A117" s="3">
        <f t="shared" si="2"/>
        <v>113</v>
      </c>
      <c r="B117" s="17"/>
      <c r="C117" s="17"/>
      <c r="D117" s="17"/>
      <c r="E117" s="17"/>
      <c r="F117" s="13" t="s">
        <v>22</v>
      </c>
      <c r="G117" s="13"/>
      <c r="H117" s="13"/>
      <c r="I117" s="13"/>
      <c r="J117" s="13"/>
      <c r="K117" s="14"/>
      <c r="L117" s="11" t="s">
        <v>10</v>
      </c>
      <c r="M117" s="11"/>
      <c r="N117" s="11" t="s">
        <v>10</v>
      </c>
      <c r="O117" s="3"/>
    </row>
    <row r="118" spans="1:15" x14ac:dyDescent="0.4">
      <c r="A118" s="3">
        <f t="shared" si="2"/>
        <v>114</v>
      </c>
      <c r="B118" s="21" t="s">
        <v>1369</v>
      </c>
      <c r="C118" s="9"/>
      <c r="D118" s="9"/>
      <c r="E118" s="9"/>
      <c r="F118" s="9"/>
      <c r="G118" s="9"/>
      <c r="H118" s="9"/>
      <c r="I118" s="9"/>
      <c r="J118" s="9"/>
      <c r="K118" s="10"/>
      <c r="L118" s="8"/>
      <c r="M118" s="8"/>
      <c r="N118" s="8"/>
      <c r="O118" s="8"/>
    </row>
    <row r="119" spans="1:15" x14ac:dyDescent="0.4">
      <c r="A119" s="3">
        <f t="shared" si="2"/>
        <v>115</v>
      </c>
      <c r="B119" s="17"/>
      <c r="C119" s="12"/>
      <c r="D119" s="13"/>
      <c r="E119" s="13"/>
      <c r="F119" s="13"/>
      <c r="G119" s="13"/>
      <c r="H119" s="13"/>
      <c r="I119" s="13"/>
      <c r="J119" s="13"/>
      <c r="K119" s="14"/>
      <c r="L119" s="11" t="s">
        <v>1240</v>
      </c>
      <c r="M119" s="11"/>
      <c r="N119" s="11" t="s">
        <v>1240</v>
      </c>
      <c r="O119" s="3"/>
    </row>
    <row r="120" spans="1:15" x14ac:dyDescent="0.4">
      <c r="A120" s="3">
        <f t="shared" si="2"/>
        <v>116</v>
      </c>
      <c r="B120" s="21" t="s">
        <v>1370</v>
      </c>
      <c r="C120" s="9"/>
      <c r="D120" s="9"/>
      <c r="E120" s="9"/>
      <c r="F120" s="9"/>
      <c r="G120" s="9"/>
      <c r="H120" s="9"/>
      <c r="I120" s="9"/>
      <c r="J120" s="9"/>
      <c r="K120" s="10"/>
      <c r="L120" s="8"/>
      <c r="M120" s="8"/>
      <c r="N120" s="8"/>
      <c r="O120" s="8"/>
    </row>
    <row r="121" spans="1:15" x14ac:dyDescent="0.4">
      <c r="A121" s="3">
        <f t="shared" si="2"/>
        <v>117</v>
      </c>
      <c r="B121" s="16"/>
      <c r="C121" s="15" t="s">
        <v>808</v>
      </c>
      <c r="D121" s="9"/>
      <c r="E121" s="9"/>
      <c r="F121" s="9"/>
      <c r="G121" s="9"/>
      <c r="H121" s="9"/>
      <c r="I121" s="9"/>
      <c r="J121" s="9"/>
      <c r="K121" s="10"/>
      <c r="L121" s="8"/>
      <c r="M121" s="8"/>
      <c r="N121" s="8"/>
      <c r="O121" s="8"/>
    </row>
    <row r="122" spans="1:15" x14ac:dyDescent="0.4">
      <c r="A122" s="3">
        <f t="shared" si="2"/>
        <v>118</v>
      </c>
      <c r="B122" s="16"/>
      <c r="C122" s="21"/>
      <c r="D122" s="15" t="s">
        <v>826</v>
      </c>
      <c r="E122" s="9"/>
      <c r="F122" s="9"/>
      <c r="G122" s="9"/>
      <c r="H122" s="9"/>
      <c r="I122" s="9"/>
      <c r="J122" s="9"/>
      <c r="K122" s="10"/>
      <c r="L122" s="8"/>
      <c r="M122" s="8"/>
      <c r="N122" s="8"/>
      <c r="O122" s="8"/>
    </row>
    <row r="123" spans="1:15" x14ac:dyDescent="0.4">
      <c r="A123" s="3">
        <f t="shared" ref="A123:A176" si="3">A122+1</f>
        <v>119</v>
      </c>
      <c r="B123" s="16"/>
      <c r="C123" s="21"/>
      <c r="D123" s="16"/>
      <c r="E123" s="27" t="s">
        <v>827</v>
      </c>
      <c r="F123" s="9"/>
      <c r="G123" s="9"/>
      <c r="H123" s="9"/>
      <c r="I123" s="9"/>
      <c r="J123" s="9"/>
      <c r="K123" s="10"/>
      <c r="L123" s="8"/>
      <c r="M123" s="8"/>
      <c r="N123" s="8"/>
      <c r="O123" s="8"/>
    </row>
    <row r="124" spans="1:15" x14ac:dyDescent="0.4">
      <c r="A124" s="3">
        <f t="shared" si="3"/>
        <v>120</v>
      </c>
      <c r="B124" s="16"/>
      <c r="C124" s="21"/>
      <c r="D124" s="16"/>
      <c r="E124" s="16"/>
      <c r="F124" s="27" t="s">
        <v>828</v>
      </c>
      <c r="G124" s="9"/>
      <c r="H124" s="9"/>
      <c r="I124" s="9"/>
      <c r="J124" s="9"/>
      <c r="K124" s="10"/>
      <c r="L124" s="8"/>
      <c r="M124" s="8"/>
      <c r="N124" s="8"/>
      <c r="O124" s="8"/>
    </row>
    <row r="125" spans="1:15" x14ac:dyDescent="0.4">
      <c r="A125" s="3">
        <f t="shared" si="3"/>
        <v>121</v>
      </c>
      <c r="B125" s="16"/>
      <c r="C125" s="21"/>
      <c r="D125" s="16"/>
      <c r="E125" s="16"/>
      <c r="F125" s="16"/>
      <c r="G125" s="26" t="s">
        <v>829</v>
      </c>
      <c r="H125" s="13"/>
      <c r="I125" s="13"/>
      <c r="J125" s="13"/>
      <c r="K125" s="14"/>
      <c r="L125" s="11" t="s">
        <v>36</v>
      </c>
      <c r="M125" s="11"/>
      <c r="N125" s="11" t="s">
        <v>36</v>
      </c>
      <c r="O125" s="3"/>
    </row>
    <row r="126" spans="1:15" x14ac:dyDescent="0.4">
      <c r="A126" s="3">
        <f t="shared" si="3"/>
        <v>122</v>
      </c>
      <c r="B126" s="16"/>
      <c r="C126" s="21"/>
      <c r="D126" s="16"/>
      <c r="E126" s="16"/>
      <c r="F126" s="16"/>
      <c r="G126" s="32"/>
      <c r="H126" s="13" t="s">
        <v>830</v>
      </c>
      <c r="I126" s="13"/>
      <c r="J126" s="13"/>
      <c r="K126" s="14"/>
      <c r="L126" s="11" t="s">
        <v>9</v>
      </c>
      <c r="M126" s="11"/>
      <c r="N126" s="11" t="s">
        <v>9</v>
      </c>
      <c r="O126" s="3"/>
    </row>
    <row r="127" spans="1:15" x14ac:dyDescent="0.4">
      <c r="A127" s="3">
        <f t="shared" si="3"/>
        <v>123</v>
      </c>
      <c r="B127" s="16"/>
      <c r="C127" s="21"/>
      <c r="D127" s="16"/>
      <c r="E127" s="16"/>
      <c r="F127" s="17"/>
      <c r="G127" s="37"/>
      <c r="H127" s="13" t="s">
        <v>831</v>
      </c>
      <c r="I127" s="13"/>
      <c r="J127" s="13"/>
      <c r="K127" s="14"/>
      <c r="L127" s="11" t="s">
        <v>10</v>
      </c>
      <c r="M127" s="11"/>
      <c r="N127" s="11" t="s">
        <v>10</v>
      </c>
      <c r="O127" s="3"/>
    </row>
    <row r="128" spans="1:15" x14ac:dyDescent="0.4">
      <c r="A128" s="3">
        <f>A127+1</f>
        <v>124</v>
      </c>
      <c r="B128" s="16"/>
      <c r="C128" s="21"/>
      <c r="D128" s="16"/>
      <c r="E128" s="16"/>
      <c r="F128" s="27" t="s">
        <v>1371</v>
      </c>
      <c r="G128" s="9"/>
      <c r="H128" s="9"/>
      <c r="I128" s="9"/>
      <c r="J128" s="9"/>
      <c r="K128" s="10"/>
      <c r="L128" s="8"/>
      <c r="M128" s="8"/>
      <c r="N128" s="8"/>
      <c r="O128" s="8"/>
    </row>
    <row r="129" spans="1:15" x14ac:dyDescent="0.4">
      <c r="A129" s="3">
        <f t="shared" si="3"/>
        <v>125</v>
      </c>
      <c r="B129" s="16"/>
      <c r="C129" s="21"/>
      <c r="D129" s="16"/>
      <c r="E129" s="16"/>
      <c r="F129" s="16"/>
      <c r="G129" s="26" t="s">
        <v>829</v>
      </c>
      <c r="H129" s="13"/>
      <c r="I129" s="13"/>
      <c r="J129" s="13"/>
      <c r="K129" s="14"/>
      <c r="L129" s="11" t="s">
        <v>36</v>
      </c>
      <c r="M129" s="11"/>
      <c r="N129" s="11" t="s">
        <v>36</v>
      </c>
      <c r="O129" s="3"/>
    </row>
    <row r="130" spans="1:15" x14ac:dyDescent="0.4">
      <c r="A130" s="3">
        <f t="shared" si="3"/>
        <v>126</v>
      </c>
      <c r="B130" s="16"/>
      <c r="C130" s="21"/>
      <c r="D130" s="16"/>
      <c r="E130" s="16"/>
      <c r="F130" s="16"/>
      <c r="G130" s="32"/>
      <c r="H130" s="13" t="s">
        <v>830</v>
      </c>
      <c r="I130" s="13"/>
      <c r="J130" s="13"/>
      <c r="K130" s="14"/>
      <c r="L130" s="11" t="s">
        <v>9</v>
      </c>
      <c r="M130" s="11"/>
      <c r="N130" s="11" t="s">
        <v>9</v>
      </c>
      <c r="O130" s="3"/>
    </row>
    <row r="131" spans="1:15" x14ac:dyDescent="0.4">
      <c r="A131" s="3">
        <f t="shared" si="3"/>
        <v>127</v>
      </c>
      <c r="B131" s="16"/>
      <c r="C131" s="21"/>
      <c r="D131" s="16"/>
      <c r="E131" s="16"/>
      <c r="F131" s="17"/>
      <c r="G131" s="37"/>
      <c r="H131" s="13" t="s">
        <v>831</v>
      </c>
      <c r="I131" s="13"/>
      <c r="J131" s="13"/>
      <c r="K131" s="14"/>
      <c r="L131" s="11" t="s">
        <v>10</v>
      </c>
      <c r="M131" s="11"/>
      <c r="N131" s="11" t="s">
        <v>10</v>
      </c>
      <c r="O131" s="3"/>
    </row>
    <row r="132" spans="1:15" x14ac:dyDescent="0.4">
      <c r="A132" s="3">
        <f>A131+1</f>
        <v>128</v>
      </c>
      <c r="B132" s="16"/>
      <c r="C132" s="21"/>
      <c r="D132" s="16"/>
      <c r="E132" s="16"/>
      <c r="F132" s="27" t="s">
        <v>810</v>
      </c>
      <c r="G132" s="9"/>
      <c r="H132" s="9"/>
      <c r="I132" s="9"/>
      <c r="J132" s="9"/>
      <c r="K132" s="10"/>
      <c r="L132" s="8"/>
      <c r="M132" s="8"/>
      <c r="N132" s="8"/>
      <c r="O132" s="8"/>
    </row>
    <row r="133" spans="1:15" x14ac:dyDescent="0.4">
      <c r="A133" s="3">
        <f t="shared" si="3"/>
        <v>129</v>
      </c>
      <c r="B133" s="16"/>
      <c r="C133" s="21"/>
      <c r="D133" s="16"/>
      <c r="E133" s="16"/>
      <c r="F133" s="16"/>
      <c r="G133" s="26" t="s">
        <v>829</v>
      </c>
      <c r="H133" s="13"/>
      <c r="I133" s="13"/>
      <c r="J133" s="13"/>
      <c r="K133" s="14"/>
      <c r="L133" s="11" t="s">
        <v>36</v>
      </c>
      <c r="M133" s="11"/>
      <c r="N133" s="11" t="s">
        <v>36</v>
      </c>
      <c r="O133" s="3"/>
    </row>
    <row r="134" spans="1:15" x14ac:dyDescent="0.4">
      <c r="A134" s="3">
        <f t="shared" si="3"/>
        <v>130</v>
      </c>
      <c r="B134" s="16"/>
      <c r="C134" s="21"/>
      <c r="D134" s="16"/>
      <c r="E134" s="16"/>
      <c r="F134" s="16"/>
      <c r="G134" s="32"/>
      <c r="H134" s="13" t="s">
        <v>830</v>
      </c>
      <c r="I134" s="13"/>
      <c r="J134" s="13"/>
      <c r="K134" s="14"/>
      <c r="L134" s="11" t="s">
        <v>9</v>
      </c>
      <c r="M134" s="11"/>
      <c r="N134" s="11" t="s">
        <v>9</v>
      </c>
      <c r="O134" s="3"/>
    </row>
    <row r="135" spans="1:15" x14ac:dyDescent="0.4">
      <c r="A135" s="3">
        <f t="shared" si="3"/>
        <v>131</v>
      </c>
      <c r="B135" s="16"/>
      <c r="C135" s="21"/>
      <c r="D135" s="16"/>
      <c r="E135" s="16"/>
      <c r="F135" s="17"/>
      <c r="G135" s="37"/>
      <c r="H135" s="13" t="s">
        <v>831</v>
      </c>
      <c r="I135" s="13"/>
      <c r="J135" s="13"/>
      <c r="K135" s="14"/>
      <c r="L135" s="11" t="s">
        <v>10</v>
      </c>
      <c r="M135" s="11"/>
      <c r="N135" s="11" t="s">
        <v>10</v>
      </c>
      <c r="O135" s="3"/>
    </row>
    <row r="136" spans="1:15" x14ac:dyDescent="0.4">
      <c r="A136" s="3">
        <f>A135+1</f>
        <v>132</v>
      </c>
      <c r="B136" s="16"/>
      <c r="C136" s="21"/>
      <c r="D136" s="16"/>
      <c r="E136" s="16"/>
      <c r="F136" s="27" t="s">
        <v>1372</v>
      </c>
      <c r="G136" s="9"/>
      <c r="H136" s="9"/>
      <c r="I136" s="9"/>
      <c r="J136" s="9"/>
      <c r="K136" s="10"/>
      <c r="L136" s="8"/>
      <c r="M136" s="8"/>
      <c r="N136" s="8"/>
      <c r="O136" s="8"/>
    </row>
    <row r="137" spans="1:15" x14ac:dyDescent="0.4">
      <c r="A137" s="3">
        <f t="shared" si="3"/>
        <v>133</v>
      </c>
      <c r="B137" s="16"/>
      <c r="C137" s="21"/>
      <c r="D137" s="16"/>
      <c r="E137" s="16"/>
      <c r="F137" s="16"/>
      <c r="G137" s="26" t="s">
        <v>829</v>
      </c>
      <c r="H137" s="13"/>
      <c r="I137" s="13"/>
      <c r="J137" s="13"/>
      <c r="K137" s="14"/>
      <c r="L137" s="11" t="s">
        <v>36</v>
      </c>
      <c r="M137" s="11"/>
      <c r="N137" s="11" t="s">
        <v>36</v>
      </c>
      <c r="O137" s="3"/>
    </row>
    <row r="138" spans="1:15" x14ac:dyDescent="0.4">
      <c r="A138" s="3">
        <f t="shared" si="3"/>
        <v>134</v>
      </c>
      <c r="B138" s="16"/>
      <c r="C138" s="21"/>
      <c r="D138" s="16"/>
      <c r="E138" s="16"/>
      <c r="F138" s="16"/>
      <c r="G138" s="32"/>
      <c r="H138" s="13" t="s">
        <v>830</v>
      </c>
      <c r="I138" s="13"/>
      <c r="J138" s="13"/>
      <c r="K138" s="14"/>
      <c r="L138" s="11" t="s">
        <v>9</v>
      </c>
      <c r="M138" s="11"/>
      <c r="N138" s="11" t="s">
        <v>9</v>
      </c>
      <c r="O138" s="3"/>
    </row>
    <row r="139" spans="1:15" x14ac:dyDescent="0.4">
      <c r="A139" s="3">
        <f t="shared" si="3"/>
        <v>135</v>
      </c>
      <c r="B139" s="16"/>
      <c r="C139" s="21"/>
      <c r="D139" s="16"/>
      <c r="E139" s="16"/>
      <c r="F139" s="17"/>
      <c r="G139" s="37"/>
      <c r="H139" s="13" t="s">
        <v>831</v>
      </c>
      <c r="I139" s="13"/>
      <c r="J139" s="13"/>
      <c r="K139" s="14"/>
      <c r="L139" s="11" t="s">
        <v>10</v>
      </c>
      <c r="M139" s="11"/>
      <c r="N139" s="11" t="s">
        <v>10</v>
      </c>
      <c r="O139" s="3"/>
    </row>
    <row r="140" spans="1:15" x14ac:dyDescent="0.4">
      <c r="A140" s="3">
        <f>A139+1</f>
        <v>136</v>
      </c>
      <c r="B140" s="16"/>
      <c r="C140" s="21"/>
      <c r="D140" s="16"/>
      <c r="E140" s="15" t="s">
        <v>31</v>
      </c>
      <c r="F140" s="9"/>
      <c r="G140" s="9"/>
      <c r="H140" s="9"/>
      <c r="I140" s="9"/>
      <c r="J140" s="9"/>
      <c r="K140" s="10"/>
      <c r="L140" s="8"/>
      <c r="M140" s="8"/>
      <c r="N140" s="8"/>
      <c r="O140" s="8"/>
    </row>
    <row r="141" spans="1:15" x14ac:dyDescent="0.4">
      <c r="A141" s="3">
        <f t="shared" si="3"/>
        <v>137</v>
      </c>
      <c r="B141" s="16"/>
      <c r="C141" s="21"/>
      <c r="D141" s="17"/>
      <c r="E141" s="17"/>
      <c r="F141" s="13" t="s">
        <v>832</v>
      </c>
      <c r="G141" s="13"/>
      <c r="H141" s="13"/>
      <c r="I141" s="13"/>
      <c r="J141" s="13"/>
      <c r="K141" s="14"/>
      <c r="L141" s="11" t="s">
        <v>36</v>
      </c>
      <c r="M141" s="11"/>
      <c r="N141" s="11" t="s">
        <v>36</v>
      </c>
      <c r="O141" s="3"/>
    </row>
    <row r="142" spans="1:15" x14ac:dyDescent="0.4">
      <c r="A142" s="3">
        <f t="shared" si="3"/>
        <v>138</v>
      </c>
      <c r="B142" s="16"/>
      <c r="C142" s="16"/>
      <c r="D142" s="15" t="s">
        <v>809</v>
      </c>
      <c r="E142" s="9"/>
      <c r="F142" s="9"/>
      <c r="G142" s="9"/>
      <c r="H142" s="9"/>
      <c r="I142" s="9"/>
      <c r="J142" s="9"/>
      <c r="K142" s="10"/>
      <c r="L142" s="8"/>
      <c r="M142" s="8"/>
      <c r="N142" s="8"/>
      <c r="O142" s="8"/>
    </row>
    <row r="143" spans="1:15" x14ac:dyDescent="0.4">
      <c r="A143" s="3">
        <f t="shared" si="3"/>
        <v>139</v>
      </c>
      <c r="B143" s="16"/>
      <c r="C143" s="16"/>
      <c r="D143" s="16"/>
      <c r="E143" s="26">
        <v>1</v>
      </c>
      <c r="F143" s="13"/>
      <c r="G143" s="13"/>
      <c r="H143" s="13"/>
      <c r="I143" s="13"/>
      <c r="J143" s="13"/>
      <c r="K143" s="14"/>
      <c r="L143" s="11" t="s">
        <v>1240</v>
      </c>
      <c r="M143" s="11"/>
      <c r="N143" s="11" t="s">
        <v>1240</v>
      </c>
      <c r="O143" s="3"/>
    </row>
    <row r="144" spans="1:15" x14ac:dyDescent="0.4">
      <c r="A144" s="3">
        <f t="shared" si="3"/>
        <v>140</v>
      </c>
      <c r="B144" s="16"/>
      <c r="C144" s="16"/>
      <c r="D144" s="16"/>
      <c r="E144" s="19"/>
      <c r="F144" s="27" t="s">
        <v>110</v>
      </c>
      <c r="G144" s="9"/>
      <c r="H144" s="9"/>
      <c r="I144" s="9"/>
      <c r="J144" s="9"/>
      <c r="K144" s="10"/>
      <c r="L144" s="8"/>
      <c r="M144" s="8"/>
      <c r="N144" s="8"/>
      <c r="O144" s="8"/>
    </row>
    <row r="145" spans="1:15" x14ac:dyDescent="0.4">
      <c r="A145" s="3">
        <f t="shared" si="3"/>
        <v>141</v>
      </c>
      <c r="B145" s="16"/>
      <c r="C145" s="16"/>
      <c r="D145" s="16"/>
      <c r="E145" s="19"/>
      <c r="F145" s="16"/>
      <c r="G145" s="13" t="s">
        <v>15</v>
      </c>
      <c r="H145" s="13"/>
      <c r="I145" s="13"/>
      <c r="J145" s="13"/>
      <c r="K145" s="14"/>
      <c r="L145" s="3" t="s">
        <v>1373</v>
      </c>
      <c r="M145" s="3"/>
      <c r="N145" s="3" t="s">
        <v>1373</v>
      </c>
      <c r="O145" s="3"/>
    </row>
    <row r="146" spans="1:15" x14ac:dyDescent="0.4">
      <c r="A146" s="3">
        <f t="shared" si="3"/>
        <v>142</v>
      </c>
      <c r="B146" s="16"/>
      <c r="C146" s="16"/>
      <c r="D146" s="16"/>
      <c r="E146" s="19"/>
      <c r="F146" s="16"/>
      <c r="G146" s="13" t="s">
        <v>811</v>
      </c>
      <c r="H146" s="13"/>
      <c r="I146" s="13"/>
      <c r="J146" s="13"/>
      <c r="K146" s="14"/>
      <c r="L146" s="3" t="s">
        <v>1374</v>
      </c>
      <c r="M146" s="3"/>
      <c r="N146" s="3" t="s">
        <v>1374</v>
      </c>
      <c r="O146" s="3"/>
    </row>
    <row r="147" spans="1:15" x14ac:dyDescent="0.4">
      <c r="A147" s="3">
        <f t="shared" si="3"/>
        <v>143</v>
      </c>
      <c r="B147" s="16"/>
      <c r="C147" s="16"/>
      <c r="D147" s="16"/>
      <c r="E147" s="19"/>
      <c r="F147" s="16"/>
      <c r="G147" s="27" t="s">
        <v>812</v>
      </c>
      <c r="H147" s="9"/>
      <c r="I147" s="9"/>
      <c r="J147" s="9"/>
      <c r="K147" s="10"/>
      <c r="L147" s="8"/>
      <c r="M147" s="8"/>
      <c r="N147" s="8"/>
      <c r="O147" s="8"/>
    </row>
    <row r="148" spans="1:15" x14ac:dyDescent="0.4">
      <c r="A148" s="3">
        <f t="shared" si="3"/>
        <v>144</v>
      </c>
      <c r="B148" s="16"/>
      <c r="C148" s="16"/>
      <c r="D148" s="16"/>
      <c r="E148" s="19"/>
      <c r="F148" s="16"/>
      <c r="G148" s="16"/>
      <c r="H148" s="13" t="s">
        <v>100</v>
      </c>
      <c r="I148" s="13"/>
      <c r="J148" s="13"/>
      <c r="K148" s="14"/>
      <c r="L148" s="11" t="s">
        <v>9</v>
      </c>
      <c r="M148" s="11"/>
      <c r="N148" s="11" t="s">
        <v>9</v>
      </c>
      <c r="O148" s="3"/>
    </row>
    <row r="149" spans="1:15" x14ac:dyDescent="0.4">
      <c r="A149" s="3">
        <f t="shared" si="3"/>
        <v>145</v>
      </c>
      <c r="B149" s="16"/>
      <c r="C149" s="16"/>
      <c r="D149" s="16"/>
      <c r="E149" s="19"/>
      <c r="F149" s="16"/>
      <c r="G149" s="17"/>
      <c r="H149" s="13" t="s">
        <v>813</v>
      </c>
      <c r="I149" s="13"/>
      <c r="J149" s="13"/>
      <c r="K149" s="14"/>
      <c r="L149" s="11" t="s">
        <v>10</v>
      </c>
      <c r="M149" s="11"/>
      <c r="N149" s="11" t="s">
        <v>10</v>
      </c>
      <c r="O149" s="3"/>
    </row>
    <row r="150" spans="1:15" x14ac:dyDescent="0.4">
      <c r="A150" s="3">
        <f t="shared" si="3"/>
        <v>146</v>
      </c>
      <c r="B150" s="16"/>
      <c r="C150" s="16"/>
      <c r="D150" s="16"/>
      <c r="E150" s="19"/>
      <c r="F150" s="17"/>
      <c r="G150" s="13" t="s">
        <v>1375</v>
      </c>
      <c r="H150" s="13"/>
      <c r="I150" s="13"/>
      <c r="J150" s="13"/>
      <c r="K150" s="14"/>
      <c r="L150" s="3" t="s">
        <v>814</v>
      </c>
      <c r="M150" s="3"/>
      <c r="N150" s="3" t="s">
        <v>814</v>
      </c>
      <c r="O150" s="3"/>
    </row>
    <row r="151" spans="1:15" x14ac:dyDescent="0.4">
      <c r="A151" s="3">
        <f t="shared" si="3"/>
        <v>147</v>
      </c>
      <c r="B151" s="16"/>
      <c r="C151" s="16"/>
      <c r="D151" s="16"/>
      <c r="E151" s="19"/>
      <c r="F151" s="15" t="s">
        <v>815</v>
      </c>
      <c r="G151" s="9"/>
      <c r="H151" s="9"/>
      <c r="I151" s="9"/>
      <c r="J151" s="9"/>
      <c r="K151" s="10"/>
      <c r="L151" s="8"/>
      <c r="M151" s="8"/>
      <c r="N151" s="8"/>
      <c r="O151" s="8"/>
    </row>
    <row r="152" spans="1:15" x14ac:dyDescent="0.4">
      <c r="A152" s="3">
        <f t="shared" si="3"/>
        <v>148</v>
      </c>
      <c r="B152" s="16"/>
      <c r="C152" s="16"/>
      <c r="D152" s="16"/>
      <c r="E152" s="19"/>
      <c r="F152" s="17"/>
      <c r="G152" s="13" t="s">
        <v>815</v>
      </c>
      <c r="H152" s="13"/>
      <c r="I152" s="13"/>
      <c r="J152" s="13"/>
      <c r="K152" s="14"/>
      <c r="L152" s="3" t="s">
        <v>816</v>
      </c>
      <c r="M152" s="3"/>
      <c r="N152" s="3" t="s">
        <v>816</v>
      </c>
      <c r="O152" s="3"/>
    </row>
    <row r="153" spans="1:15" x14ac:dyDescent="0.4">
      <c r="A153" s="3">
        <f t="shared" si="3"/>
        <v>149</v>
      </c>
      <c r="B153" s="16"/>
      <c r="C153" s="16"/>
      <c r="D153" s="16"/>
      <c r="E153" s="19"/>
      <c r="F153" s="15" t="s">
        <v>623</v>
      </c>
      <c r="G153" s="9"/>
      <c r="H153" s="9"/>
      <c r="I153" s="9"/>
      <c r="J153" s="9"/>
      <c r="K153" s="10"/>
      <c r="L153" s="8"/>
      <c r="M153" s="8"/>
      <c r="N153" s="8"/>
      <c r="O153" s="8"/>
    </row>
    <row r="154" spans="1:15" x14ac:dyDescent="0.4">
      <c r="A154" s="3">
        <f t="shared" si="3"/>
        <v>150</v>
      </c>
      <c r="B154" s="16"/>
      <c r="C154" s="16"/>
      <c r="D154" s="16"/>
      <c r="E154" s="20"/>
      <c r="F154" s="17"/>
      <c r="G154" s="13"/>
      <c r="H154" s="13"/>
      <c r="I154" s="13"/>
      <c r="J154" s="13"/>
      <c r="K154" s="14"/>
      <c r="L154" s="11" t="s">
        <v>1240</v>
      </c>
      <c r="M154" s="11"/>
      <c r="N154" s="11" t="s">
        <v>1240</v>
      </c>
      <c r="O154" s="3"/>
    </row>
    <row r="155" spans="1:15" x14ac:dyDescent="0.4">
      <c r="A155" s="3">
        <f t="shared" si="3"/>
        <v>151</v>
      </c>
      <c r="B155" s="16"/>
      <c r="C155" s="16"/>
      <c r="D155" s="16"/>
      <c r="E155" s="22">
        <v>2</v>
      </c>
      <c r="F155" s="13"/>
      <c r="G155" s="13"/>
      <c r="H155" s="13"/>
      <c r="I155" s="13"/>
      <c r="J155" s="13"/>
      <c r="K155" s="14"/>
      <c r="L155" s="11" t="s">
        <v>1240</v>
      </c>
      <c r="M155" s="11"/>
      <c r="N155" s="11" t="s">
        <v>1240</v>
      </c>
      <c r="O155" s="3"/>
    </row>
    <row r="156" spans="1:15" x14ac:dyDescent="0.4">
      <c r="A156" s="3">
        <f t="shared" si="3"/>
        <v>152</v>
      </c>
      <c r="B156" s="16"/>
      <c r="C156" s="16"/>
      <c r="D156" s="16"/>
      <c r="E156" s="19"/>
      <c r="F156" s="27" t="s">
        <v>110</v>
      </c>
      <c r="G156" s="9"/>
      <c r="H156" s="9"/>
      <c r="I156" s="9"/>
      <c r="J156" s="9"/>
      <c r="K156" s="10"/>
      <c r="L156" s="8"/>
      <c r="M156" s="8"/>
      <c r="N156" s="8"/>
      <c r="O156" s="8"/>
    </row>
    <row r="157" spans="1:15" x14ac:dyDescent="0.4">
      <c r="A157" s="3">
        <f t="shared" si="3"/>
        <v>153</v>
      </c>
      <c r="B157" s="16"/>
      <c r="C157" s="16"/>
      <c r="D157" s="16"/>
      <c r="E157" s="19"/>
      <c r="F157" s="16"/>
      <c r="G157" s="13" t="s">
        <v>15</v>
      </c>
      <c r="H157" s="13"/>
      <c r="I157" s="13"/>
      <c r="J157" s="13"/>
      <c r="K157" s="14"/>
      <c r="L157" s="3" t="s">
        <v>1376</v>
      </c>
      <c r="M157" s="3"/>
      <c r="N157" s="3" t="s">
        <v>1376</v>
      </c>
      <c r="O157" s="3"/>
    </row>
    <row r="158" spans="1:15" x14ac:dyDescent="0.4">
      <c r="A158" s="3">
        <f t="shared" si="3"/>
        <v>154</v>
      </c>
      <c r="B158" s="16"/>
      <c r="C158" s="16"/>
      <c r="D158" s="16"/>
      <c r="E158" s="19"/>
      <c r="F158" s="16"/>
      <c r="G158" s="13" t="s">
        <v>811</v>
      </c>
      <c r="H158" s="13"/>
      <c r="I158" s="13"/>
      <c r="J158" s="13"/>
      <c r="K158" s="14"/>
      <c r="L158" s="3" t="s">
        <v>1377</v>
      </c>
      <c r="M158" s="3"/>
      <c r="N158" s="3" t="s">
        <v>1377</v>
      </c>
      <c r="O158" s="3"/>
    </row>
    <row r="159" spans="1:15" x14ac:dyDescent="0.4">
      <c r="A159" s="3">
        <f t="shared" si="3"/>
        <v>155</v>
      </c>
      <c r="B159" s="16"/>
      <c r="C159" s="16"/>
      <c r="D159" s="16"/>
      <c r="E159" s="19"/>
      <c r="F159" s="16"/>
      <c r="G159" s="27" t="s">
        <v>812</v>
      </c>
      <c r="H159" s="9"/>
      <c r="I159" s="9"/>
      <c r="J159" s="9"/>
      <c r="K159" s="10"/>
      <c r="L159" s="8"/>
      <c r="M159" s="8"/>
      <c r="N159" s="8"/>
      <c r="O159" s="8"/>
    </row>
    <row r="160" spans="1:15" x14ac:dyDescent="0.4">
      <c r="A160" s="3">
        <f t="shared" si="3"/>
        <v>156</v>
      </c>
      <c r="B160" s="16"/>
      <c r="C160" s="16"/>
      <c r="D160" s="16"/>
      <c r="E160" s="19"/>
      <c r="F160" s="16"/>
      <c r="G160" s="16"/>
      <c r="H160" s="13" t="s">
        <v>100</v>
      </c>
      <c r="I160" s="13"/>
      <c r="J160" s="13"/>
      <c r="K160" s="14"/>
      <c r="L160" s="11" t="s">
        <v>9</v>
      </c>
      <c r="M160" s="11"/>
      <c r="N160" s="11" t="s">
        <v>9</v>
      </c>
      <c r="O160" s="3"/>
    </row>
    <row r="161" spans="1:15" x14ac:dyDescent="0.4">
      <c r="A161" s="3">
        <f t="shared" si="3"/>
        <v>157</v>
      </c>
      <c r="B161" s="16"/>
      <c r="C161" s="16"/>
      <c r="D161" s="16"/>
      <c r="E161" s="19"/>
      <c r="F161" s="16"/>
      <c r="G161" s="17"/>
      <c r="H161" s="13" t="s">
        <v>813</v>
      </c>
      <c r="I161" s="13"/>
      <c r="J161" s="13"/>
      <c r="K161" s="14"/>
      <c r="L161" s="11" t="s">
        <v>10</v>
      </c>
      <c r="M161" s="11"/>
      <c r="N161" s="11" t="s">
        <v>10</v>
      </c>
      <c r="O161" s="3"/>
    </row>
    <row r="162" spans="1:15" x14ac:dyDescent="0.4">
      <c r="A162" s="3">
        <f t="shared" si="3"/>
        <v>158</v>
      </c>
      <c r="B162" s="16"/>
      <c r="C162" s="16"/>
      <c r="D162" s="16"/>
      <c r="E162" s="19"/>
      <c r="F162" s="17"/>
      <c r="G162" s="13" t="s">
        <v>1375</v>
      </c>
      <c r="H162" s="13"/>
      <c r="I162" s="13"/>
      <c r="J162" s="13"/>
      <c r="K162" s="14"/>
      <c r="L162" s="3" t="s">
        <v>814</v>
      </c>
      <c r="M162" s="3"/>
      <c r="N162" s="3" t="s">
        <v>814</v>
      </c>
      <c r="O162" s="3"/>
    </row>
    <row r="163" spans="1:15" x14ac:dyDescent="0.4">
      <c r="A163" s="3">
        <f t="shared" si="3"/>
        <v>159</v>
      </c>
      <c r="B163" s="16"/>
      <c r="C163" s="16"/>
      <c r="D163" s="16"/>
      <c r="E163" s="19"/>
      <c r="F163" s="15" t="s">
        <v>815</v>
      </c>
      <c r="G163" s="9"/>
      <c r="H163" s="9"/>
      <c r="I163" s="9"/>
      <c r="J163" s="9"/>
      <c r="K163" s="10"/>
      <c r="L163" s="8"/>
      <c r="M163" s="8"/>
      <c r="N163" s="8"/>
      <c r="O163" s="8"/>
    </row>
    <row r="164" spans="1:15" x14ac:dyDescent="0.4">
      <c r="A164" s="3">
        <f t="shared" si="3"/>
        <v>160</v>
      </c>
      <c r="B164" s="16"/>
      <c r="C164" s="16"/>
      <c r="D164" s="16"/>
      <c r="E164" s="19"/>
      <c r="F164" s="17"/>
      <c r="G164" s="13" t="s">
        <v>815</v>
      </c>
      <c r="H164" s="13"/>
      <c r="I164" s="13"/>
      <c r="J164" s="13"/>
      <c r="K164" s="14"/>
      <c r="L164" s="3" t="s">
        <v>818</v>
      </c>
      <c r="M164" s="3"/>
      <c r="N164" s="3" t="s">
        <v>818</v>
      </c>
      <c r="O164" s="3"/>
    </row>
    <row r="165" spans="1:15" x14ac:dyDescent="0.4">
      <c r="A165" s="3">
        <f t="shared" si="3"/>
        <v>161</v>
      </c>
      <c r="B165" s="16"/>
      <c r="C165" s="16"/>
      <c r="D165" s="16"/>
      <c r="E165" s="19"/>
      <c r="F165" s="15" t="s">
        <v>623</v>
      </c>
      <c r="G165" s="9"/>
      <c r="H165" s="9"/>
      <c r="I165" s="9"/>
      <c r="J165" s="9"/>
      <c r="K165" s="10"/>
      <c r="L165" s="8"/>
      <c r="M165" s="8"/>
      <c r="N165" s="8"/>
      <c r="O165" s="8"/>
    </row>
    <row r="166" spans="1:15" x14ac:dyDescent="0.4">
      <c r="A166" s="3">
        <f t="shared" si="3"/>
        <v>162</v>
      </c>
      <c r="B166" s="16"/>
      <c r="C166" s="16"/>
      <c r="D166" s="16"/>
      <c r="E166" s="20"/>
      <c r="F166" s="17"/>
      <c r="G166" s="13"/>
      <c r="H166" s="13"/>
      <c r="I166" s="13"/>
      <c r="J166" s="13"/>
      <c r="K166" s="14"/>
      <c r="L166" s="11" t="s">
        <v>1240</v>
      </c>
      <c r="M166" s="11"/>
      <c r="N166" s="11" t="s">
        <v>1240</v>
      </c>
      <c r="O166" s="3"/>
    </row>
    <row r="167" spans="1:15" x14ac:dyDescent="0.4">
      <c r="A167" s="3">
        <f t="shared" si="3"/>
        <v>163</v>
      </c>
      <c r="B167" s="16"/>
      <c r="C167" s="16"/>
      <c r="D167" s="16"/>
      <c r="E167" s="22">
        <v>3</v>
      </c>
      <c r="F167" s="13"/>
      <c r="G167" s="13"/>
      <c r="H167" s="13"/>
      <c r="I167" s="13"/>
      <c r="J167" s="13"/>
      <c r="K167" s="14"/>
      <c r="L167" s="11" t="s">
        <v>1240</v>
      </c>
      <c r="M167" s="11"/>
      <c r="N167" s="11" t="s">
        <v>1240</v>
      </c>
      <c r="O167" s="3"/>
    </row>
    <row r="168" spans="1:15" x14ac:dyDescent="0.4">
      <c r="A168" s="3">
        <f t="shared" si="3"/>
        <v>164</v>
      </c>
      <c r="B168" s="16"/>
      <c r="C168" s="16"/>
      <c r="D168" s="16"/>
      <c r="E168" s="19"/>
      <c r="F168" s="27" t="s">
        <v>110</v>
      </c>
      <c r="G168" s="9"/>
      <c r="H168" s="9"/>
      <c r="I168" s="9"/>
      <c r="J168" s="9"/>
      <c r="K168" s="10"/>
      <c r="L168" s="8"/>
      <c r="M168" s="8"/>
      <c r="N168" s="8"/>
      <c r="O168" s="8"/>
    </row>
    <row r="169" spans="1:15" x14ac:dyDescent="0.4">
      <c r="A169" s="3">
        <f t="shared" si="3"/>
        <v>165</v>
      </c>
      <c r="B169" s="16"/>
      <c r="C169" s="16"/>
      <c r="D169" s="16"/>
      <c r="E169" s="19"/>
      <c r="F169" s="16"/>
      <c r="G169" s="13" t="s">
        <v>15</v>
      </c>
      <c r="H169" s="13"/>
      <c r="I169" s="13"/>
      <c r="J169" s="13"/>
      <c r="K169" s="14"/>
      <c r="L169" s="3" t="s">
        <v>819</v>
      </c>
      <c r="M169" s="3"/>
      <c r="N169" s="3" t="s">
        <v>819</v>
      </c>
      <c r="O169" s="3"/>
    </row>
    <row r="170" spans="1:15" x14ac:dyDescent="0.4">
      <c r="A170" s="3">
        <f t="shared" si="3"/>
        <v>166</v>
      </c>
      <c r="B170" s="16"/>
      <c r="C170" s="16"/>
      <c r="D170" s="16"/>
      <c r="E170" s="19"/>
      <c r="F170" s="16"/>
      <c r="G170" s="13" t="s">
        <v>811</v>
      </c>
      <c r="H170" s="13"/>
      <c r="I170" s="13"/>
      <c r="J170" s="13"/>
      <c r="K170" s="14"/>
      <c r="L170" s="3" t="s">
        <v>1378</v>
      </c>
      <c r="M170" s="3"/>
      <c r="N170" s="3" t="s">
        <v>1378</v>
      </c>
      <c r="O170" s="3"/>
    </row>
    <row r="171" spans="1:15" x14ac:dyDescent="0.4">
      <c r="A171" s="3">
        <f t="shared" si="3"/>
        <v>167</v>
      </c>
      <c r="B171" s="16"/>
      <c r="C171" s="16"/>
      <c r="D171" s="16"/>
      <c r="E171" s="19"/>
      <c r="F171" s="16"/>
      <c r="G171" s="27" t="s">
        <v>812</v>
      </c>
      <c r="H171" s="9"/>
      <c r="I171" s="9"/>
      <c r="J171" s="9"/>
      <c r="K171" s="10"/>
      <c r="L171" s="8"/>
      <c r="M171" s="8"/>
      <c r="N171" s="8"/>
      <c r="O171" s="8"/>
    </row>
    <row r="172" spans="1:15" x14ac:dyDescent="0.4">
      <c r="A172" s="3">
        <f t="shared" si="3"/>
        <v>168</v>
      </c>
      <c r="B172" s="16"/>
      <c r="C172" s="16"/>
      <c r="D172" s="16"/>
      <c r="E172" s="19"/>
      <c r="F172" s="16"/>
      <c r="G172" s="16"/>
      <c r="H172" s="13" t="s">
        <v>100</v>
      </c>
      <c r="I172" s="13"/>
      <c r="J172" s="13"/>
      <c r="K172" s="14"/>
      <c r="L172" s="11" t="s">
        <v>9</v>
      </c>
      <c r="M172" s="11"/>
      <c r="N172" s="11" t="s">
        <v>9</v>
      </c>
      <c r="O172" s="3"/>
    </row>
    <row r="173" spans="1:15" x14ac:dyDescent="0.4">
      <c r="A173" s="3">
        <f t="shared" si="3"/>
        <v>169</v>
      </c>
      <c r="B173" s="16"/>
      <c r="C173" s="16"/>
      <c r="D173" s="16"/>
      <c r="E173" s="19"/>
      <c r="F173" s="16"/>
      <c r="G173" s="17"/>
      <c r="H173" s="13" t="s">
        <v>813</v>
      </c>
      <c r="I173" s="13"/>
      <c r="J173" s="13"/>
      <c r="K173" s="14"/>
      <c r="L173" s="11" t="s">
        <v>10</v>
      </c>
      <c r="M173" s="11"/>
      <c r="N173" s="11" t="s">
        <v>10</v>
      </c>
      <c r="O173" s="3"/>
    </row>
    <row r="174" spans="1:15" x14ac:dyDescent="0.4">
      <c r="A174" s="3">
        <f t="shared" si="3"/>
        <v>170</v>
      </c>
      <c r="B174" s="16"/>
      <c r="C174" s="16"/>
      <c r="D174" s="16"/>
      <c r="E174" s="19"/>
      <c r="F174" s="17"/>
      <c r="G174" s="13" t="s">
        <v>1375</v>
      </c>
      <c r="H174" s="13"/>
      <c r="I174" s="13"/>
      <c r="J174" s="13"/>
      <c r="K174" s="14"/>
      <c r="L174" s="3" t="s">
        <v>820</v>
      </c>
      <c r="M174" s="3"/>
      <c r="N174" s="3" t="s">
        <v>820</v>
      </c>
      <c r="O174" s="3"/>
    </row>
    <row r="175" spans="1:15" x14ac:dyDescent="0.4">
      <c r="A175" s="3">
        <f t="shared" si="3"/>
        <v>171</v>
      </c>
      <c r="B175" s="16"/>
      <c r="C175" s="16"/>
      <c r="D175" s="16"/>
      <c r="E175" s="19"/>
      <c r="F175" s="15" t="s">
        <v>815</v>
      </c>
      <c r="G175" s="9"/>
      <c r="H175" s="9"/>
      <c r="I175" s="9"/>
      <c r="J175" s="9"/>
      <c r="K175" s="10"/>
      <c r="L175" s="8"/>
      <c r="M175" s="8"/>
      <c r="N175" s="8"/>
      <c r="O175" s="8"/>
    </row>
    <row r="176" spans="1:15" x14ac:dyDescent="0.4">
      <c r="A176" s="3">
        <f t="shared" si="3"/>
        <v>172</v>
      </c>
      <c r="B176" s="16"/>
      <c r="C176" s="16"/>
      <c r="D176" s="16"/>
      <c r="E176" s="19"/>
      <c r="F176" s="17"/>
      <c r="G176" s="13" t="s">
        <v>815</v>
      </c>
      <c r="H176" s="13"/>
      <c r="I176" s="13"/>
      <c r="J176" s="13"/>
      <c r="K176" s="14"/>
      <c r="L176" s="3" t="s">
        <v>821</v>
      </c>
      <c r="M176" s="3"/>
      <c r="N176" s="3" t="s">
        <v>821</v>
      </c>
      <c r="O176" s="3"/>
    </row>
    <row r="177" spans="1:15" x14ac:dyDescent="0.4">
      <c r="A177" s="3">
        <f t="shared" ref="A177:A240" si="4">A176+1</f>
        <v>173</v>
      </c>
      <c r="B177" s="16"/>
      <c r="C177" s="16"/>
      <c r="D177" s="16"/>
      <c r="E177" s="19"/>
      <c r="F177" s="15" t="s">
        <v>623</v>
      </c>
      <c r="G177" s="9"/>
      <c r="H177" s="9"/>
      <c r="I177" s="9"/>
      <c r="J177" s="9"/>
      <c r="K177" s="10"/>
      <c r="L177" s="8"/>
      <c r="M177" s="8"/>
      <c r="N177" s="8"/>
      <c r="O177" s="8"/>
    </row>
    <row r="178" spans="1:15" x14ac:dyDescent="0.4">
      <c r="A178" s="3">
        <f t="shared" si="4"/>
        <v>174</v>
      </c>
      <c r="B178" s="16"/>
      <c r="C178" s="16"/>
      <c r="D178" s="17"/>
      <c r="E178" s="20"/>
      <c r="F178" s="17"/>
      <c r="G178" s="13"/>
      <c r="H178" s="13"/>
      <c r="I178" s="13"/>
      <c r="J178" s="13"/>
      <c r="K178" s="14"/>
      <c r="L178" s="11" t="s">
        <v>1240</v>
      </c>
      <c r="M178" s="11"/>
      <c r="N178" s="11" t="s">
        <v>1240</v>
      </c>
      <c r="O178" s="3"/>
    </row>
    <row r="179" spans="1:15" x14ac:dyDescent="0.4">
      <c r="A179" s="3">
        <f t="shared" si="4"/>
        <v>175</v>
      </c>
      <c r="B179" s="16"/>
      <c r="C179" s="16"/>
      <c r="D179" s="21" t="s">
        <v>1371</v>
      </c>
      <c r="E179" s="9"/>
      <c r="F179" s="9"/>
      <c r="G179" s="9"/>
      <c r="H179" s="9"/>
      <c r="I179" s="9"/>
      <c r="J179" s="9"/>
      <c r="K179" s="10"/>
      <c r="L179" s="8"/>
      <c r="M179" s="8"/>
      <c r="N179" s="8"/>
      <c r="O179" s="8"/>
    </row>
    <row r="180" spans="1:15" x14ac:dyDescent="0.4">
      <c r="A180" s="3">
        <f t="shared" si="4"/>
        <v>176</v>
      </c>
      <c r="B180" s="16"/>
      <c r="C180" s="16"/>
      <c r="D180" s="16"/>
      <c r="E180" s="22">
        <v>1</v>
      </c>
      <c r="F180" s="13"/>
      <c r="G180" s="13"/>
      <c r="H180" s="13"/>
      <c r="I180" s="13"/>
      <c r="J180" s="13"/>
      <c r="K180" s="14"/>
      <c r="L180" s="11" t="s">
        <v>1240</v>
      </c>
      <c r="M180" s="11"/>
      <c r="N180" s="11" t="s">
        <v>1240</v>
      </c>
      <c r="O180" s="3"/>
    </row>
    <row r="181" spans="1:15" x14ac:dyDescent="0.4">
      <c r="A181" s="3">
        <f t="shared" si="4"/>
        <v>177</v>
      </c>
      <c r="B181" s="16"/>
      <c r="C181" s="16"/>
      <c r="D181" s="16"/>
      <c r="E181" s="19"/>
      <c r="F181" s="15" t="s">
        <v>110</v>
      </c>
      <c r="G181" s="9"/>
      <c r="H181" s="9"/>
      <c r="I181" s="9"/>
      <c r="J181" s="9"/>
      <c r="K181" s="10"/>
      <c r="L181" s="8"/>
      <c r="M181" s="8"/>
      <c r="N181" s="8"/>
      <c r="O181" s="8"/>
    </row>
    <row r="182" spans="1:15" x14ac:dyDescent="0.4">
      <c r="A182" s="3">
        <f t="shared" si="4"/>
        <v>178</v>
      </c>
      <c r="B182" s="16"/>
      <c r="C182" s="16"/>
      <c r="D182" s="16"/>
      <c r="E182" s="19"/>
      <c r="F182" s="16"/>
      <c r="G182" s="13" t="s">
        <v>15</v>
      </c>
      <c r="H182" s="13"/>
      <c r="I182" s="13"/>
      <c r="J182" s="13"/>
      <c r="K182" s="14"/>
      <c r="L182" s="3" t="s">
        <v>1379</v>
      </c>
      <c r="M182" s="3"/>
      <c r="N182" s="3" t="s">
        <v>1379</v>
      </c>
      <c r="O182" s="3"/>
    </row>
    <row r="183" spans="1:15" x14ac:dyDescent="0.4">
      <c r="A183" s="3">
        <f t="shared" si="4"/>
        <v>179</v>
      </c>
      <c r="B183" s="16"/>
      <c r="C183" s="16"/>
      <c r="D183" s="16"/>
      <c r="E183" s="19"/>
      <c r="F183" s="16"/>
      <c r="G183" s="13" t="s">
        <v>811</v>
      </c>
      <c r="H183" s="13"/>
      <c r="I183" s="13"/>
      <c r="J183" s="13"/>
      <c r="K183" s="14"/>
      <c r="L183" s="3" t="s">
        <v>1380</v>
      </c>
      <c r="M183" s="3"/>
      <c r="N183" s="3" t="s">
        <v>1380</v>
      </c>
      <c r="O183" s="3"/>
    </row>
    <row r="184" spans="1:15" x14ac:dyDescent="0.4">
      <c r="A184" s="3">
        <f t="shared" si="4"/>
        <v>180</v>
      </c>
      <c r="B184" s="16"/>
      <c r="C184" s="16"/>
      <c r="D184" s="16"/>
      <c r="E184" s="19"/>
      <c r="F184" s="16"/>
      <c r="G184" s="27" t="s">
        <v>812</v>
      </c>
      <c r="H184" s="9"/>
      <c r="I184" s="9"/>
      <c r="J184" s="9"/>
      <c r="K184" s="10"/>
      <c r="L184" s="8"/>
      <c r="M184" s="8"/>
      <c r="N184" s="8"/>
      <c r="O184" s="8"/>
    </row>
    <row r="185" spans="1:15" x14ac:dyDescent="0.4">
      <c r="A185" s="3">
        <f t="shared" si="4"/>
        <v>181</v>
      </c>
      <c r="B185" s="16"/>
      <c r="C185" s="16"/>
      <c r="D185" s="16"/>
      <c r="E185" s="19"/>
      <c r="F185" s="16"/>
      <c r="G185" s="16"/>
      <c r="H185" s="13" t="s">
        <v>100</v>
      </c>
      <c r="I185" s="13"/>
      <c r="J185" s="13"/>
      <c r="K185" s="14"/>
      <c r="L185" s="11" t="s">
        <v>9</v>
      </c>
      <c r="M185" s="11"/>
      <c r="N185" s="11" t="s">
        <v>9</v>
      </c>
      <c r="O185" s="3"/>
    </row>
    <row r="186" spans="1:15" x14ac:dyDescent="0.4">
      <c r="A186" s="3">
        <f t="shared" si="4"/>
        <v>182</v>
      </c>
      <c r="B186" s="16"/>
      <c r="C186" s="16"/>
      <c r="D186" s="16"/>
      <c r="E186" s="19"/>
      <c r="F186" s="16"/>
      <c r="G186" s="17"/>
      <c r="H186" s="13" t="s">
        <v>813</v>
      </c>
      <c r="I186" s="13"/>
      <c r="J186" s="13"/>
      <c r="K186" s="14"/>
      <c r="L186" s="11" t="s">
        <v>10</v>
      </c>
      <c r="M186" s="11"/>
      <c r="N186" s="11" t="s">
        <v>10</v>
      </c>
      <c r="O186" s="3"/>
    </row>
    <row r="187" spans="1:15" x14ac:dyDescent="0.4">
      <c r="A187" s="3">
        <f t="shared" si="4"/>
        <v>183</v>
      </c>
      <c r="B187" s="16"/>
      <c r="C187" s="16"/>
      <c r="D187" s="16"/>
      <c r="E187" s="19"/>
      <c r="F187" s="17"/>
      <c r="G187" s="13" t="s">
        <v>1375</v>
      </c>
      <c r="H187" s="13"/>
      <c r="I187" s="13"/>
      <c r="J187" s="13"/>
      <c r="K187" s="14"/>
      <c r="L187" s="3" t="s">
        <v>814</v>
      </c>
      <c r="M187" s="3"/>
      <c r="N187" s="3" t="s">
        <v>814</v>
      </c>
      <c r="O187" s="3"/>
    </row>
    <row r="188" spans="1:15" x14ac:dyDescent="0.4">
      <c r="A188" s="3">
        <f t="shared" si="4"/>
        <v>184</v>
      </c>
      <c r="B188" s="16"/>
      <c r="C188" s="16"/>
      <c r="D188" s="16"/>
      <c r="E188" s="19"/>
      <c r="F188" s="15" t="s">
        <v>817</v>
      </c>
      <c r="G188" s="9"/>
      <c r="H188" s="9"/>
      <c r="I188" s="9"/>
      <c r="J188" s="9"/>
      <c r="K188" s="10"/>
      <c r="L188" s="8"/>
      <c r="M188" s="8"/>
      <c r="N188" s="8"/>
      <c r="O188" s="8"/>
    </row>
    <row r="189" spans="1:15" x14ac:dyDescent="0.4">
      <c r="A189" s="3">
        <f t="shared" si="4"/>
        <v>185</v>
      </c>
      <c r="B189" s="16"/>
      <c r="C189" s="16"/>
      <c r="D189" s="16"/>
      <c r="E189" s="19"/>
      <c r="F189" s="16"/>
      <c r="G189" s="13" t="s">
        <v>817</v>
      </c>
      <c r="H189" s="13"/>
      <c r="I189" s="13"/>
      <c r="J189" s="13"/>
      <c r="K189" s="14"/>
      <c r="L189" s="3" t="s">
        <v>821</v>
      </c>
      <c r="M189" s="3"/>
      <c r="N189" s="3" t="s">
        <v>821</v>
      </c>
      <c r="O189" s="3"/>
    </row>
    <row r="190" spans="1:15" x14ac:dyDescent="0.4">
      <c r="A190" s="3">
        <f t="shared" si="4"/>
        <v>186</v>
      </c>
      <c r="B190" s="16"/>
      <c r="C190" s="16"/>
      <c r="D190" s="16"/>
      <c r="E190" s="19"/>
      <c r="F190" s="16"/>
      <c r="G190" s="13" t="s">
        <v>822</v>
      </c>
      <c r="H190" s="13"/>
      <c r="I190" s="13"/>
      <c r="J190" s="13"/>
      <c r="K190" s="14"/>
      <c r="L190" s="3" t="s">
        <v>821</v>
      </c>
      <c r="M190" s="3"/>
      <c r="N190" s="3" t="s">
        <v>821</v>
      </c>
      <c r="O190" s="3"/>
    </row>
    <row r="191" spans="1:15" x14ac:dyDescent="0.4">
      <c r="A191" s="3">
        <f t="shared" si="4"/>
        <v>187</v>
      </c>
      <c r="B191" s="16"/>
      <c r="C191" s="16"/>
      <c r="D191" s="16"/>
      <c r="E191" s="19"/>
      <c r="F191" s="16"/>
      <c r="G191" s="13" t="s">
        <v>12</v>
      </c>
      <c r="H191" s="13"/>
      <c r="I191" s="13"/>
      <c r="J191" s="13"/>
      <c r="K191" s="14"/>
      <c r="L191" s="3" t="s">
        <v>821</v>
      </c>
      <c r="M191" s="3"/>
      <c r="N191" s="3" t="s">
        <v>821</v>
      </c>
      <c r="O191" s="3"/>
    </row>
    <row r="192" spans="1:15" x14ac:dyDescent="0.4">
      <c r="A192" s="3">
        <f t="shared" si="4"/>
        <v>188</v>
      </c>
      <c r="B192" s="16"/>
      <c r="C192" s="16"/>
      <c r="D192" s="16"/>
      <c r="E192" s="19"/>
      <c r="F192" s="16"/>
      <c r="G192" s="26" t="s">
        <v>1381</v>
      </c>
      <c r="H192" s="13"/>
      <c r="I192" s="13"/>
      <c r="J192" s="13"/>
      <c r="K192" s="14"/>
      <c r="L192" s="3" t="s">
        <v>825</v>
      </c>
      <c r="M192" s="3"/>
      <c r="N192" s="3" t="s">
        <v>825</v>
      </c>
      <c r="O192" s="3"/>
    </row>
    <row r="193" spans="1:15" x14ac:dyDescent="0.4">
      <c r="A193" s="3">
        <f t="shared" si="4"/>
        <v>189</v>
      </c>
      <c r="B193" s="16"/>
      <c r="C193" s="16"/>
      <c r="D193" s="16"/>
      <c r="E193" s="19"/>
      <c r="F193" s="16"/>
      <c r="G193" s="19"/>
      <c r="H193" s="13" t="s">
        <v>823</v>
      </c>
      <c r="I193" s="13"/>
      <c r="J193" s="13"/>
      <c r="K193" s="14"/>
      <c r="L193" s="11" t="s">
        <v>9</v>
      </c>
      <c r="M193" s="11"/>
      <c r="N193" s="11" t="s">
        <v>9</v>
      </c>
      <c r="O193" s="3"/>
    </row>
    <row r="194" spans="1:15" x14ac:dyDescent="0.4">
      <c r="A194" s="3">
        <f t="shared" si="4"/>
        <v>190</v>
      </c>
      <c r="B194" s="16"/>
      <c r="C194" s="16"/>
      <c r="D194" s="16"/>
      <c r="E194" s="19"/>
      <c r="F194" s="16"/>
      <c r="G194" s="19"/>
      <c r="H194" s="13" t="s">
        <v>824</v>
      </c>
      <c r="I194" s="13"/>
      <c r="J194" s="13"/>
      <c r="K194" s="14"/>
      <c r="L194" s="11" t="s">
        <v>10</v>
      </c>
      <c r="M194" s="11"/>
      <c r="N194" s="11" t="s">
        <v>10</v>
      </c>
      <c r="O194" s="3"/>
    </row>
    <row r="195" spans="1:15" x14ac:dyDescent="0.4">
      <c r="A195" s="3">
        <f t="shared" si="4"/>
        <v>191</v>
      </c>
      <c r="B195" s="16"/>
      <c r="C195" s="16"/>
      <c r="D195" s="16"/>
      <c r="E195" s="19"/>
      <c r="F195" s="16"/>
      <c r="G195" s="20"/>
      <c r="H195" s="13" t="s">
        <v>1382</v>
      </c>
      <c r="I195" s="13"/>
      <c r="J195" s="13"/>
      <c r="K195" s="14"/>
      <c r="L195" s="11" t="s">
        <v>10</v>
      </c>
      <c r="M195" s="11"/>
      <c r="N195" s="11" t="s">
        <v>10</v>
      </c>
      <c r="O195" s="3"/>
    </row>
    <row r="196" spans="1:15" x14ac:dyDescent="0.4">
      <c r="A196" s="3">
        <f t="shared" si="4"/>
        <v>192</v>
      </c>
      <c r="B196" s="16"/>
      <c r="C196" s="16"/>
      <c r="D196" s="16"/>
      <c r="E196" s="19"/>
      <c r="F196" s="15" t="s">
        <v>623</v>
      </c>
      <c r="G196" s="9"/>
      <c r="H196" s="9"/>
      <c r="I196" s="9"/>
      <c r="J196" s="9"/>
      <c r="K196" s="10"/>
      <c r="L196" s="8"/>
      <c r="M196" s="8"/>
      <c r="N196" s="8"/>
      <c r="O196" s="8"/>
    </row>
    <row r="197" spans="1:15" x14ac:dyDescent="0.4">
      <c r="A197" s="3">
        <f t="shared" si="4"/>
        <v>193</v>
      </c>
      <c r="B197" s="16"/>
      <c r="C197" s="16"/>
      <c r="D197" s="16"/>
      <c r="E197" s="20"/>
      <c r="F197" s="17"/>
      <c r="G197" s="13"/>
      <c r="H197" s="13"/>
      <c r="I197" s="13"/>
      <c r="J197" s="13"/>
      <c r="K197" s="14"/>
      <c r="L197" s="11" t="s">
        <v>1240</v>
      </c>
      <c r="M197" s="11"/>
      <c r="N197" s="11" t="s">
        <v>1240</v>
      </c>
      <c r="O197" s="3"/>
    </row>
    <row r="198" spans="1:15" x14ac:dyDescent="0.4">
      <c r="A198" s="3">
        <f t="shared" si="4"/>
        <v>194</v>
      </c>
      <c r="B198" s="16"/>
      <c r="C198" s="16"/>
      <c r="D198" s="16"/>
      <c r="E198" s="22">
        <v>2</v>
      </c>
      <c r="F198" s="13"/>
      <c r="G198" s="13"/>
      <c r="H198" s="13"/>
      <c r="I198" s="13"/>
      <c r="J198" s="13"/>
      <c r="K198" s="14"/>
      <c r="L198" s="11" t="s">
        <v>1240</v>
      </c>
      <c r="M198" s="11"/>
      <c r="N198" s="11" t="s">
        <v>1240</v>
      </c>
      <c r="O198" s="3"/>
    </row>
    <row r="199" spans="1:15" x14ac:dyDescent="0.4">
      <c r="A199" s="3">
        <f t="shared" si="4"/>
        <v>195</v>
      </c>
      <c r="B199" s="16"/>
      <c r="C199" s="16"/>
      <c r="D199" s="16"/>
      <c r="E199" s="19"/>
      <c r="F199" s="15" t="s">
        <v>110</v>
      </c>
      <c r="G199" s="9"/>
      <c r="H199" s="9"/>
      <c r="I199" s="9"/>
      <c r="J199" s="9"/>
      <c r="K199" s="10"/>
      <c r="L199" s="8"/>
      <c r="M199" s="8"/>
      <c r="N199" s="8"/>
      <c r="O199" s="8"/>
    </row>
    <row r="200" spans="1:15" x14ac:dyDescent="0.4">
      <c r="A200" s="3">
        <f t="shared" si="4"/>
        <v>196</v>
      </c>
      <c r="B200" s="16"/>
      <c r="C200" s="16"/>
      <c r="D200" s="16"/>
      <c r="E200" s="19"/>
      <c r="F200" s="16"/>
      <c r="G200" s="13" t="s">
        <v>15</v>
      </c>
      <c r="H200" s="13"/>
      <c r="I200" s="13"/>
      <c r="J200" s="13"/>
      <c r="K200" s="14"/>
      <c r="L200" s="3" t="s">
        <v>1383</v>
      </c>
      <c r="M200" s="3"/>
      <c r="N200" s="3" t="s">
        <v>1383</v>
      </c>
      <c r="O200" s="3"/>
    </row>
    <row r="201" spans="1:15" x14ac:dyDescent="0.4">
      <c r="A201" s="3">
        <f t="shared" si="4"/>
        <v>197</v>
      </c>
      <c r="B201" s="16"/>
      <c r="C201" s="16"/>
      <c r="D201" s="16"/>
      <c r="E201" s="19"/>
      <c r="F201" s="16"/>
      <c r="G201" s="13" t="s">
        <v>811</v>
      </c>
      <c r="H201" s="13"/>
      <c r="I201" s="13"/>
      <c r="J201" s="13"/>
      <c r="K201" s="14"/>
      <c r="L201" s="3" t="s">
        <v>1384</v>
      </c>
      <c r="M201" s="3"/>
      <c r="N201" s="3" t="s">
        <v>1384</v>
      </c>
      <c r="O201" s="3"/>
    </row>
    <row r="202" spans="1:15" x14ac:dyDescent="0.4">
      <c r="A202" s="3">
        <f t="shared" si="4"/>
        <v>198</v>
      </c>
      <c r="B202" s="16"/>
      <c r="C202" s="16"/>
      <c r="D202" s="16"/>
      <c r="E202" s="19"/>
      <c r="F202" s="16"/>
      <c r="G202" s="27" t="s">
        <v>812</v>
      </c>
      <c r="H202" s="9"/>
      <c r="I202" s="9"/>
      <c r="J202" s="9"/>
      <c r="K202" s="10"/>
      <c r="L202" s="8"/>
      <c r="M202" s="8"/>
      <c r="N202" s="8"/>
      <c r="O202" s="8"/>
    </row>
    <row r="203" spans="1:15" x14ac:dyDescent="0.4">
      <c r="A203" s="3">
        <f t="shared" si="4"/>
        <v>199</v>
      </c>
      <c r="B203" s="16"/>
      <c r="C203" s="16"/>
      <c r="D203" s="16"/>
      <c r="E203" s="19"/>
      <c r="F203" s="16"/>
      <c r="G203" s="16"/>
      <c r="H203" s="13" t="s">
        <v>100</v>
      </c>
      <c r="I203" s="13"/>
      <c r="J203" s="13"/>
      <c r="K203" s="14"/>
      <c r="L203" s="11" t="s">
        <v>9</v>
      </c>
      <c r="M203" s="11"/>
      <c r="N203" s="11" t="s">
        <v>9</v>
      </c>
      <c r="O203" s="3"/>
    </row>
    <row r="204" spans="1:15" x14ac:dyDescent="0.4">
      <c r="A204" s="3">
        <f t="shared" si="4"/>
        <v>200</v>
      </c>
      <c r="B204" s="16"/>
      <c r="C204" s="16"/>
      <c r="D204" s="16"/>
      <c r="E204" s="19"/>
      <c r="F204" s="16"/>
      <c r="G204" s="17"/>
      <c r="H204" s="13" t="s">
        <v>813</v>
      </c>
      <c r="I204" s="13"/>
      <c r="J204" s="13"/>
      <c r="K204" s="14"/>
      <c r="L204" s="11" t="s">
        <v>10</v>
      </c>
      <c r="M204" s="11"/>
      <c r="N204" s="11" t="s">
        <v>10</v>
      </c>
      <c r="O204" s="3"/>
    </row>
    <row r="205" spans="1:15" x14ac:dyDescent="0.4">
      <c r="A205" s="3">
        <f t="shared" si="4"/>
        <v>201</v>
      </c>
      <c r="B205" s="16"/>
      <c r="C205" s="16"/>
      <c r="D205" s="16"/>
      <c r="E205" s="19"/>
      <c r="F205" s="17"/>
      <c r="G205" s="13" t="s">
        <v>1375</v>
      </c>
      <c r="H205" s="13"/>
      <c r="I205" s="13"/>
      <c r="J205" s="13"/>
      <c r="K205" s="14"/>
      <c r="L205" s="3" t="s">
        <v>814</v>
      </c>
      <c r="M205" s="3"/>
      <c r="N205" s="3" t="s">
        <v>814</v>
      </c>
      <c r="O205" s="3"/>
    </row>
    <row r="206" spans="1:15" x14ac:dyDescent="0.4">
      <c r="A206" s="3">
        <f t="shared" si="4"/>
        <v>202</v>
      </c>
      <c r="B206" s="16"/>
      <c r="C206" s="16"/>
      <c r="D206" s="16"/>
      <c r="E206" s="19"/>
      <c r="F206" s="15" t="s">
        <v>815</v>
      </c>
      <c r="G206" s="9"/>
      <c r="H206" s="9"/>
      <c r="I206" s="9"/>
      <c r="J206" s="9"/>
      <c r="K206" s="10"/>
      <c r="L206" s="8"/>
      <c r="M206" s="8"/>
      <c r="N206" s="8"/>
      <c r="O206" s="8"/>
    </row>
    <row r="207" spans="1:15" x14ac:dyDescent="0.4">
      <c r="A207" s="3">
        <f t="shared" si="4"/>
        <v>203</v>
      </c>
      <c r="B207" s="16"/>
      <c r="C207" s="16"/>
      <c r="D207" s="16"/>
      <c r="E207" s="19"/>
      <c r="F207" s="17"/>
      <c r="G207" s="13" t="s">
        <v>815</v>
      </c>
      <c r="H207" s="13"/>
      <c r="I207" s="13"/>
      <c r="J207" s="13"/>
      <c r="K207" s="14"/>
      <c r="L207" s="3" t="s">
        <v>833</v>
      </c>
      <c r="M207" s="3"/>
      <c r="N207" s="3" t="s">
        <v>833</v>
      </c>
      <c r="O207" s="3"/>
    </row>
    <row r="208" spans="1:15" x14ac:dyDescent="0.4">
      <c r="A208" s="3">
        <f t="shared" si="4"/>
        <v>204</v>
      </c>
      <c r="B208" s="16"/>
      <c r="C208" s="16"/>
      <c r="D208" s="16"/>
      <c r="E208" s="19"/>
      <c r="F208" s="15" t="s">
        <v>623</v>
      </c>
      <c r="G208" s="9"/>
      <c r="H208" s="9"/>
      <c r="I208" s="9"/>
      <c r="J208" s="9"/>
      <c r="K208" s="10"/>
      <c r="L208" s="8"/>
      <c r="M208" s="8"/>
      <c r="N208" s="8"/>
      <c r="O208" s="8"/>
    </row>
    <row r="209" spans="1:15" x14ac:dyDescent="0.4">
      <c r="A209" s="3">
        <f t="shared" si="4"/>
        <v>205</v>
      </c>
      <c r="B209" s="16"/>
      <c r="C209" s="16"/>
      <c r="D209" s="16"/>
      <c r="E209" s="20"/>
      <c r="F209" s="17"/>
      <c r="G209" s="13"/>
      <c r="H209" s="13"/>
      <c r="I209" s="13"/>
      <c r="J209" s="13"/>
      <c r="K209" s="14"/>
      <c r="L209" s="11" t="s">
        <v>1240</v>
      </c>
      <c r="M209" s="11"/>
      <c r="N209" s="11" t="s">
        <v>1240</v>
      </c>
      <c r="O209" s="3"/>
    </row>
    <row r="210" spans="1:15" x14ac:dyDescent="0.4">
      <c r="A210" s="3">
        <f t="shared" si="4"/>
        <v>206</v>
      </c>
      <c r="B210" s="16"/>
      <c r="C210" s="16"/>
      <c r="D210" s="16"/>
      <c r="E210" s="22">
        <v>3</v>
      </c>
      <c r="F210" s="13"/>
      <c r="G210" s="13"/>
      <c r="H210" s="13"/>
      <c r="I210" s="13"/>
      <c r="J210" s="13"/>
      <c r="K210" s="14"/>
      <c r="L210" s="11" t="s">
        <v>1240</v>
      </c>
      <c r="M210" s="11"/>
      <c r="N210" s="11" t="s">
        <v>1240</v>
      </c>
      <c r="O210" s="3"/>
    </row>
    <row r="211" spans="1:15" x14ac:dyDescent="0.4">
      <c r="A211" s="3">
        <f t="shared" si="4"/>
        <v>207</v>
      </c>
      <c r="B211" s="16"/>
      <c r="C211" s="16"/>
      <c r="D211" s="16"/>
      <c r="E211" s="19"/>
      <c r="F211" s="15" t="s">
        <v>110</v>
      </c>
      <c r="G211" s="9"/>
      <c r="H211" s="9"/>
      <c r="I211" s="9"/>
      <c r="J211" s="9"/>
      <c r="K211" s="10"/>
      <c r="L211" s="8"/>
      <c r="M211" s="8"/>
      <c r="N211" s="8"/>
      <c r="O211" s="8"/>
    </row>
    <row r="212" spans="1:15" x14ac:dyDescent="0.4">
      <c r="A212" s="3">
        <f t="shared" si="4"/>
        <v>208</v>
      </c>
      <c r="B212" s="16"/>
      <c r="C212" s="16"/>
      <c r="D212" s="16"/>
      <c r="E212" s="19"/>
      <c r="F212" s="16"/>
      <c r="G212" s="13" t="s">
        <v>15</v>
      </c>
      <c r="H212" s="13"/>
      <c r="I212" s="13"/>
      <c r="J212" s="13"/>
      <c r="K212" s="14"/>
      <c r="L212" s="3" t="s">
        <v>1385</v>
      </c>
      <c r="M212" s="3"/>
      <c r="N212" s="3" t="s">
        <v>1385</v>
      </c>
      <c r="O212" s="3"/>
    </row>
    <row r="213" spans="1:15" x14ac:dyDescent="0.4">
      <c r="A213" s="3">
        <f t="shared" si="4"/>
        <v>209</v>
      </c>
      <c r="B213" s="16"/>
      <c r="C213" s="16"/>
      <c r="D213" s="16"/>
      <c r="E213" s="19"/>
      <c r="F213" s="16"/>
      <c r="G213" s="13" t="s">
        <v>811</v>
      </c>
      <c r="H213" s="13"/>
      <c r="I213" s="13"/>
      <c r="J213" s="13"/>
      <c r="K213" s="14"/>
      <c r="L213" s="3" t="s">
        <v>1386</v>
      </c>
      <c r="M213" s="3"/>
      <c r="N213" s="3" t="s">
        <v>1386</v>
      </c>
      <c r="O213" s="3"/>
    </row>
    <row r="214" spans="1:15" x14ac:dyDescent="0.4">
      <c r="A214" s="3">
        <f t="shared" si="4"/>
        <v>210</v>
      </c>
      <c r="B214" s="16"/>
      <c r="C214" s="16"/>
      <c r="D214" s="16"/>
      <c r="E214" s="19"/>
      <c r="F214" s="16"/>
      <c r="G214" s="27" t="s">
        <v>812</v>
      </c>
      <c r="H214" s="9"/>
      <c r="I214" s="9"/>
      <c r="J214" s="9"/>
      <c r="K214" s="10"/>
      <c r="L214" s="8"/>
      <c r="M214" s="8"/>
      <c r="N214" s="8"/>
      <c r="O214" s="8"/>
    </row>
    <row r="215" spans="1:15" x14ac:dyDescent="0.4">
      <c r="A215" s="3">
        <f t="shared" si="4"/>
        <v>211</v>
      </c>
      <c r="B215" s="16"/>
      <c r="C215" s="16"/>
      <c r="D215" s="16"/>
      <c r="E215" s="19"/>
      <c r="F215" s="16"/>
      <c r="G215" s="16"/>
      <c r="H215" s="13" t="s">
        <v>100</v>
      </c>
      <c r="I215" s="13"/>
      <c r="J215" s="13"/>
      <c r="K215" s="14"/>
      <c r="L215" s="11" t="s">
        <v>9</v>
      </c>
      <c r="M215" s="11"/>
      <c r="N215" s="11" t="s">
        <v>9</v>
      </c>
      <c r="O215" s="3"/>
    </row>
    <row r="216" spans="1:15" x14ac:dyDescent="0.4">
      <c r="A216" s="3">
        <f t="shared" si="4"/>
        <v>212</v>
      </c>
      <c r="B216" s="16"/>
      <c r="C216" s="16"/>
      <c r="D216" s="16"/>
      <c r="E216" s="19"/>
      <c r="F216" s="16"/>
      <c r="G216" s="17"/>
      <c r="H216" s="13" t="s">
        <v>813</v>
      </c>
      <c r="I216" s="13"/>
      <c r="J216" s="13"/>
      <c r="K216" s="14"/>
      <c r="L216" s="11" t="s">
        <v>10</v>
      </c>
      <c r="M216" s="11"/>
      <c r="N216" s="11" t="s">
        <v>10</v>
      </c>
      <c r="O216" s="3"/>
    </row>
    <row r="217" spans="1:15" x14ac:dyDescent="0.4">
      <c r="A217" s="3">
        <f t="shared" si="4"/>
        <v>213</v>
      </c>
      <c r="B217" s="16"/>
      <c r="C217" s="16"/>
      <c r="D217" s="16"/>
      <c r="E217" s="19"/>
      <c r="F217" s="17"/>
      <c r="G217" s="13" t="s">
        <v>1375</v>
      </c>
      <c r="H217" s="13"/>
      <c r="I217" s="13"/>
      <c r="J217" s="13"/>
      <c r="K217" s="14"/>
      <c r="L217" s="3" t="s">
        <v>820</v>
      </c>
      <c r="M217" s="3"/>
      <c r="N217" s="3" t="s">
        <v>820</v>
      </c>
      <c r="O217" s="3"/>
    </row>
    <row r="218" spans="1:15" x14ac:dyDescent="0.4">
      <c r="A218" s="3">
        <f t="shared" si="4"/>
        <v>214</v>
      </c>
      <c r="B218" s="16"/>
      <c r="C218" s="16"/>
      <c r="D218" s="16"/>
      <c r="E218" s="19"/>
      <c r="F218" s="15" t="s">
        <v>815</v>
      </c>
      <c r="G218" s="9"/>
      <c r="H218" s="9"/>
      <c r="I218" s="9"/>
      <c r="J218" s="9"/>
      <c r="K218" s="10"/>
      <c r="L218" s="8"/>
      <c r="M218" s="8"/>
      <c r="N218" s="8"/>
      <c r="O218" s="8"/>
    </row>
    <row r="219" spans="1:15" x14ac:dyDescent="0.4">
      <c r="A219" s="3">
        <f t="shared" si="4"/>
        <v>215</v>
      </c>
      <c r="B219" s="16"/>
      <c r="C219" s="16"/>
      <c r="D219" s="16"/>
      <c r="E219" s="19"/>
      <c r="F219" s="17"/>
      <c r="G219" s="13" t="s">
        <v>815</v>
      </c>
      <c r="H219" s="13"/>
      <c r="I219" s="13"/>
      <c r="J219" s="13"/>
      <c r="K219" s="14"/>
      <c r="L219" s="3" t="s">
        <v>834</v>
      </c>
      <c r="M219" s="3"/>
      <c r="N219" s="3" t="s">
        <v>834</v>
      </c>
      <c r="O219" s="3"/>
    </row>
    <row r="220" spans="1:15" x14ac:dyDescent="0.4">
      <c r="A220" s="3">
        <f t="shared" si="4"/>
        <v>216</v>
      </c>
      <c r="B220" s="16"/>
      <c r="C220" s="16"/>
      <c r="D220" s="16"/>
      <c r="E220" s="19"/>
      <c r="F220" s="15" t="s">
        <v>623</v>
      </c>
      <c r="G220" s="9"/>
      <c r="H220" s="9"/>
      <c r="I220" s="9"/>
      <c r="J220" s="9"/>
      <c r="K220" s="10"/>
      <c r="L220" s="8"/>
      <c r="M220" s="8"/>
      <c r="N220" s="8"/>
      <c r="O220" s="8"/>
    </row>
    <row r="221" spans="1:15" x14ac:dyDescent="0.4">
      <c r="A221" s="3">
        <f t="shared" si="4"/>
        <v>217</v>
      </c>
      <c r="B221" s="16"/>
      <c r="C221" s="16"/>
      <c r="D221" s="17"/>
      <c r="E221" s="20"/>
      <c r="F221" s="17"/>
      <c r="G221" s="13"/>
      <c r="H221" s="13"/>
      <c r="I221" s="13"/>
      <c r="J221" s="13"/>
      <c r="K221" s="14"/>
      <c r="L221" s="11" t="s">
        <v>1240</v>
      </c>
      <c r="M221" s="11"/>
      <c r="N221" s="11" t="s">
        <v>1240</v>
      </c>
      <c r="O221" s="3"/>
    </row>
    <row r="222" spans="1:15" x14ac:dyDescent="0.4">
      <c r="A222" s="3">
        <f t="shared" si="4"/>
        <v>218</v>
      </c>
      <c r="B222" s="16"/>
      <c r="C222" s="16"/>
      <c r="D222" s="15" t="s">
        <v>810</v>
      </c>
      <c r="E222" s="9"/>
      <c r="F222" s="9"/>
      <c r="G222" s="9"/>
      <c r="H222" s="9"/>
      <c r="I222" s="9"/>
      <c r="J222" s="9"/>
      <c r="K222" s="10"/>
      <c r="L222" s="8"/>
      <c r="M222" s="8"/>
      <c r="N222" s="8"/>
      <c r="O222" s="8"/>
    </row>
    <row r="223" spans="1:15" x14ac:dyDescent="0.4">
      <c r="A223" s="3">
        <f t="shared" si="4"/>
        <v>219</v>
      </c>
      <c r="B223" s="16"/>
      <c r="C223" s="16"/>
      <c r="D223" s="16"/>
      <c r="E223" s="22">
        <v>1</v>
      </c>
      <c r="F223" s="13"/>
      <c r="G223" s="13"/>
      <c r="H223" s="13"/>
      <c r="I223" s="13"/>
      <c r="J223" s="13"/>
      <c r="K223" s="14"/>
      <c r="L223" s="11" t="s">
        <v>1240</v>
      </c>
      <c r="M223" s="11"/>
      <c r="N223" s="11" t="s">
        <v>1240</v>
      </c>
      <c r="O223" s="3"/>
    </row>
    <row r="224" spans="1:15" x14ac:dyDescent="0.4">
      <c r="A224" s="3">
        <f t="shared" si="4"/>
        <v>220</v>
      </c>
      <c r="B224" s="16"/>
      <c r="C224" s="16"/>
      <c r="D224" s="16"/>
      <c r="E224" s="19"/>
      <c r="F224" s="15" t="s">
        <v>110</v>
      </c>
      <c r="G224" s="9"/>
      <c r="H224" s="9"/>
      <c r="I224" s="9"/>
      <c r="J224" s="9"/>
      <c r="K224" s="10"/>
      <c r="L224" s="8"/>
      <c r="M224" s="8"/>
      <c r="N224" s="8"/>
      <c r="O224" s="8"/>
    </row>
    <row r="225" spans="1:15" x14ac:dyDescent="0.4">
      <c r="A225" s="3">
        <f t="shared" si="4"/>
        <v>221</v>
      </c>
      <c r="B225" s="16"/>
      <c r="C225" s="16"/>
      <c r="D225" s="16"/>
      <c r="E225" s="19"/>
      <c r="F225" s="16"/>
      <c r="G225" s="13" t="s">
        <v>15</v>
      </c>
      <c r="H225" s="13"/>
      <c r="I225" s="13"/>
      <c r="J225" s="13"/>
      <c r="K225" s="14"/>
      <c r="L225" s="3" t="s">
        <v>1387</v>
      </c>
      <c r="M225" s="3"/>
      <c r="N225" s="3" t="s">
        <v>1387</v>
      </c>
      <c r="O225" s="3"/>
    </row>
    <row r="226" spans="1:15" x14ac:dyDescent="0.4">
      <c r="A226" s="3">
        <f t="shared" si="4"/>
        <v>222</v>
      </c>
      <c r="B226" s="16"/>
      <c r="C226" s="16"/>
      <c r="D226" s="16"/>
      <c r="E226" s="19"/>
      <c r="F226" s="16"/>
      <c r="G226" s="13" t="s">
        <v>811</v>
      </c>
      <c r="H226" s="13"/>
      <c r="I226" s="13"/>
      <c r="J226" s="13"/>
      <c r="K226" s="14"/>
      <c r="L226" s="3" t="s">
        <v>1388</v>
      </c>
      <c r="M226" s="3"/>
      <c r="N226" s="3" t="s">
        <v>1388</v>
      </c>
      <c r="O226" s="3"/>
    </row>
    <row r="227" spans="1:15" x14ac:dyDescent="0.4">
      <c r="A227" s="3">
        <f t="shared" si="4"/>
        <v>223</v>
      </c>
      <c r="B227" s="16"/>
      <c r="C227" s="16"/>
      <c r="D227" s="16"/>
      <c r="E227" s="19"/>
      <c r="F227" s="16"/>
      <c r="G227" s="27" t="s">
        <v>812</v>
      </c>
      <c r="H227" s="9"/>
      <c r="I227" s="9"/>
      <c r="J227" s="9"/>
      <c r="K227" s="10"/>
      <c r="L227" s="8"/>
      <c r="M227" s="8"/>
      <c r="N227" s="8"/>
      <c r="O227" s="8"/>
    </row>
    <row r="228" spans="1:15" x14ac:dyDescent="0.4">
      <c r="A228" s="3">
        <f t="shared" si="4"/>
        <v>224</v>
      </c>
      <c r="B228" s="16"/>
      <c r="C228" s="16"/>
      <c r="D228" s="16"/>
      <c r="E228" s="19"/>
      <c r="F228" s="16"/>
      <c r="G228" s="16"/>
      <c r="H228" s="13" t="s">
        <v>100</v>
      </c>
      <c r="I228" s="13"/>
      <c r="J228" s="13"/>
      <c r="K228" s="14"/>
      <c r="L228" s="11" t="s">
        <v>9</v>
      </c>
      <c r="M228" s="11"/>
      <c r="N228" s="11" t="s">
        <v>9</v>
      </c>
      <c r="O228" s="3"/>
    </row>
    <row r="229" spans="1:15" x14ac:dyDescent="0.4">
      <c r="A229" s="3">
        <f t="shared" si="4"/>
        <v>225</v>
      </c>
      <c r="B229" s="16"/>
      <c r="C229" s="16"/>
      <c r="D229" s="16"/>
      <c r="E229" s="19"/>
      <c r="F229" s="16"/>
      <c r="G229" s="17"/>
      <c r="H229" s="13" t="s">
        <v>813</v>
      </c>
      <c r="I229" s="13"/>
      <c r="J229" s="13"/>
      <c r="K229" s="14"/>
      <c r="L229" s="11" t="s">
        <v>10</v>
      </c>
      <c r="M229" s="11"/>
      <c r="N229" s="11" t="s">
        <v>10</v>
      </c>
      <c r="O229" s="3"/>
    </row>
    <row r="230" spans="1:15" x14ac:dyDescent="0.4">
      <c r="A230" s="3">
        <f t="shared" si="4"/>
        <v>226</v>
      </c>
      <c r="B230" s="16"/>
      <c r="C230" s="16"/>
      <c r="D230" s="16"/>
      <c r="E230" s="19"/>
      <c r="F230" s="17"/>
      <c r="G230" s="13" t="s">
        <v>1375</v>
      </c>
      <c r="H230" s="13"/>
      <c r="I230" s="13"/>
      <c r="J230" s="13"/>
      <c r="K230" s="14"/>
      <c r="L230" s="3" t="s">
        <v>814</v>
      </c>
      <c r="M230" s="3"/>
      <c r="N230" s="3" t="s">
        <v>814</v>
      </c>
      <c r="O230" s="3"/>
    </row>
    <row r="231" spans="1:15" x14ac:dyDescent="0.4">
      <c r="A231" s="3">
        <f t="shared" si="4"/>
        <v>227</v>
      </c>
      <c r="B231" s="16"/>
      <c r="C231" s="16"/>
      <c r="D231" s="16"/>
      <c r="E231" s="19"/>
      <c r="F231" s="15" t="s">
        <v>815</v>
      </c>
      <c r="G231" s="9"/>
      <c r="H231" s="9"/>
      <c r="I231" s="9"/>
      <c r="J231" s="9"/>
      <c r="K231" s="10"/>
      <c r="L231" s="8"/>
      <c r="M231" s="8"/>
      <c r="N231" s="8"/>
      <c r="O231" s="8"/>
    </row>
    <row r="232" spans="1:15" x14ac:dyDescent="0.4">
      <c r="A232" s="3">
        <f t="shared" si="4"/>
        <v>228</v>
      </c>
      <c r="B232" s="16"/>
      <c r="C232" s="16"/>
      <c r="D232" s="16"/>
      <c r="E232" s="19"/>
      <c r="F232" s="17"/>
      <c r="G232" s="13" t="s">
        <v>815</v>
      </c>
      <c r="H232" s="13"/>
      <c r="I232" s="13"/>
      <c r="J232" s="13"/>
      <c r="K232" s="14"/>
      <c r="L232" s="3" t="s">
        <v>816</v>
      </c>
      <c r="M232" s="3"/>
      <c r="N232" s="3" t="s">
        <v>816</v>
      </c>
      <c r="O232" s="3"/>
    </row>
    <row r="233" spans="1:15" x14ac:dyDescent="0.4">
      <c r="A233" s="3">
        <f t="shared" si="4"/>
        <v>229</v>
      </c>
      <c r="B233" s="16"/>
      <c r="C233" s="16"/>
      <c r="D233" s="16"/>
      <c r="E233" s="19"/>
      <c r="F233" s="15" t="s">
        <v>623</v>
      </c>
      <c r="G233" s="9"/>
      <c r="H233" s="9"/>
      <c r="I233" s="9"/>
      <c r="J233" s="9"/>
      <c r="K233" s="10"/>
      <c r="L233" s="8"/>
      <c r="M233" s="8"/>
      <c r="N233" s="8"/>
      <c r="O233" s="8"/>
    </row>
    <row r="234" spans="1:15" x14ac:dyDescent="0.4">
      <c r="A234" s="3">
        <f t="shared" si="4"/>
        <v>230</v>
      </c>
      <c r="B234" s="16"/>
      <c r="C234" s="16"/>
      <c r="D234" s="16"/>
      <c r="E234" s="20"/>
      <c r="F234" s="17"/>
      <c r="G234" s="13"/>
      <c r="H234" s="13"/>
      <c r="I234" s="13"/>
      <c r="J234" s="13"/>
      <c r="K234" s="14"/>
      <c r="L234" s="11" t="s">
        <v>1240</v>
      </c>
      <c r="M234" s="11"/>
      <c r="N234" s="11" t="s">
        <v>1240</v>
      </c>
      <c r="O234" s="3"/>
    </row>
    <row r="235" spans="1:15" x14ac:dyDescent="0.4">
      <c r="A235" s="3">
        <f t="shared" si="4"/>
        <v>231</v>
      </c>
      <c r="B235" s="16"/>
      <c r="C235" s="16"/>
      <c r="D235" s="16"/>
      <c r="E235" s="22">
        <v>2</v>
      </c>
      <c r="F235" s="13"/>
      <c r="G235" s="13"/>
      <c r="H235" s="13"/>
      <c r="I235" s="13"/>
      <c r="J235" s="13"/>
      <c r="K235" s="14"/>
      <c r="L235" s="11" t="s">
        <v>1240</v>
      </c>
      <c r="M235" s="11"/>
      <c r="N235" s="11" t="s">
        <v>1240</v>
      </c>
      <c r="O235" s="3"/>
    </row>
    <row r="236" spans="1:15" x14ac:dyDescent="0.4">
      <c r="A236" s="3">
        <f t="shared" si="4"/>
        <v>232</v>
      </c>
      <c r="B236" s="16"/>
      <c r="C236" s="16"/>
      <c r="D236" s="16"/>
      <c r="E236" s="19"/>
      <c r="F236" s="15" t="s">
        <v>110</v>
      </c>
      <c r="G236" s="9"/>
      <c r="H236" s="9"/>
      <c r="I236" s="9"/>
      <c r="J236" s="9"/>
      <c r="K236" s="10"/>
      <c r="L236" s="8"/>
      <c r="M236" s="8"/>
      <c r="N236" s="8"/>
      <c r="O236" s="8"/>
    </row>
    <row r="237" spans="1:15" x14ac:dyDescent="0.4">
      <c r="A237" s="3">
        <f t="shared" si="4"/>
        <v>233</v>
      </c>
      <c r="B237" s="16"/>
      <c r="C237" s="16"/>
      <c r="D237" s="16"/>
      <c r="E237" s="19"/>
      <c r="F237" s="16"/>
      <c r="G237" s="13" t="s">
        <v>15</v>
      </c>
      <c r="H237" s="13"/>
      <c r="I237" s="13"/>
      <c r="J237" s="13"/>
      <c r="K237" s="14"/>
      <c r="L237" s="3" t="s">
        <v>1389</v>
      </c>
      <c r="M237" s="3"/>
      <c r="N237" s="3" t="s">
        <v>1389</v>
      </c>
      <c r="O237" s="3"/>
    </row>
    <row r="238" spans="1:15" x14ac:dyDescent="0.4">
      <c r="A238" s="3">
        <f t="shared" si="4"/>
        <v>234</v>
      </c>
      <c r="B238" s="16"/>
      <c r="C238" s="16"/>
      <c r="D238" s="16"/>
      <c r="E238" s="19"/>
      <c r="F238" s="16"/>
      <c r="G238" s="13" t="s">
        <v>811</v>
      </c>
      <c r="H238" s="13"/>
      <c r="I238" s="13"/>
      <c r="J238" s="13"/>
      <c r="K238" s="14"/>
      <c r="L238" s="3" t="s">
        <v>1390</v>
      </c>
      <c r="M238" s="3"/>
      <c r="N238" s="3" t="s">
        <v>1390</v>
      </c>
      <c r="O238" s="3"/>
    </row>
    <row r="239" spans="1:15" x14ac:dyDescent="0.4">
      <c r="A239" s="3">
        <f t="shared" si="4"/>
        <v>235</v>
      </c>
      <c r="B239" s="16"/>
      <c r="C239" s="16"/>
      <c r="D239" s="16"/>
      <c r="E239" s="19"/>
      <c r="F239" s="16"/>
      <c r="G239" s="27" t="s">
        <v>812</v>
      </c>
      <c r="H239" s="9"/>
      <c r="I239" s="9"/>
      <c r="J239" s="9"/>
      <c r="K239" s="10"/>
      <c r="L239" s="8"/>
      <c r="M239" s="8"/>
      <c r="N239" s="8"/>
      <c r="O239" s="8"/>
    </row>
    <row r="240" spans="1:15" x14ac:dyDescent="0.4">
      <c r="A240" s="3">
        <f t="shared" si="4"/>
        <v>236</v>
      </c>
      <c r="B240" s="16"/>
      <c r="C240" s="16"/>
      <c r="D240" s="16"/>
      <c r="E240" s="19"/>
      <c r="F240" s="16"/>
      <c r="G240" s="16"/>
      <c r="H240" s="13" t="s">
        <v>100</v>
      </c>
      <c r="I240" s="13"/>
      <c r="J240" s="13"/>
      <c r="K240" s="14"/>
      <c r="L240" s="11" t="s">
        <v>9</v>
      </c>
      <c r="M240" s="11"/>
      <c r="N240" s="11" t="s">
        <v>9</v>
      </c>
      <c r="O240" s="3"/>
    </row>
    <row r="241" spans="1:15" x14ac:dyDescent="0.4">
      <c r="A241" s="3">
        <f t="shared" ref="A241:A304" si="5">A240+1</f>
        <v>237</v>
      </c>
      <c r="B241" s="16"/>
      <c r="C241" s="16"/>
      <c r="D241" s="16"/>
      <c r="E241" s="19"/>
      <c r="F241" s="16"/>
      <c r="G241" s="17"/>
      <c r="H241" s="13" t="s">
        <v>813</v>
      </c>
      <c r="I241" s="13"/>
      <c r="J241" s="13"/>
      <c r="K241" s="14"/>
      <c r="L241" s="11" t="s">
        <v>10</v>
      </c>
      <c r="M241" s="11"/>
      <c r="N241" s="11" t="s">
        <v>10</v>
      </c>
      <c r="O241" s="3"/>
    </row>
    <row r="242" spans="1:15" x14ac:dyDescent="0.4">
      <c r="A242" s="3">
        <f t="shared" si="5"/>
        <v>238</v>
      </c>
      <c r="B242" s="16"/>
      <c r="C242" s="16"/>
      <c r="D242" s="16"/>
      <c r="E242" s="19"/>
      <c r="F242" s="17"/>
      <c r="G242" s="13" t="s">
        <v>1375</v>
      </c>
      <c r="H242" s="13"/>
      <c r="I242" s="13"/>
      <c r="J242" s="13"/>
      <c r="K242" s="14"/>
      <c r="L242" s="3" t="s">
        <v>814</v>
      </c>
      <c r="M242" s="3"/>
      <c r="N242" s="3" t="s">
        <v>814</v>
      </c>
      <c r="O242" s="3"/>
    </row>
    <row r="243" spans="1:15" x14ac:dyDescent="0.4">
      <c r="A243" s="3">
        <f t="shared" si="5"/>
        <v>239</v>
      </c>
      <c r="B243" s="16"/>
      <c r="C243" s="16"/>
      <c r="D243" s="16"/>
      <c r="E243" s="19"/>
      <c r="F243" s="15" t="s">
        <v>815</v>
      </c>
      <c r="G243" s="9"/>
      <c r="H243" s="9"/>
      <c r="I243" s="9"/>
      <c r="J243" s="9"/>
      <c r="K243" s="10"/>
      <c r="L243" s="8"/>
      <c r="M243" s="8"/>
      <c r="N243" s="8"/>
      <c r="O243" s="8"/>
    </row>
    <row r="244" spans="1:15" x14ac:dyDescent="0.4">
      <c r="A244" s="3">
        <f t="shared" si="5"/>
        <v>240</v>
      </c>
      <c r="B244" s="16"/>
      <c r="C244" s="16"/>
      <c r="D244" s="16"/>
      <c r="E244" s="19"/>
      <c r="F244" s="17"/>
      <c r="G244" s="13" t="s">
        <v>815</v>
      </c>
      <c r="H244" s="13"/>
      <c r="I244" s="13"/>
      <c r="J244" s="13"/>
      <c r="K244" s="14"/>
      <c r="L244" s="3" t="s">
        <v>818</v>
      </c>
      <c r="M244" s="3"/>
      <c r="N244" s="3" t="s">
        <v>818</v>
      </c>
      <c r="O244" s="3"/>
    </row>
    <row r="245" spans="1:15" x14ac:dyDescent="0.4">
      <c r="A245" s="3">
        <f t="shared" si="5"/>
        <v>241</v>
      </c>
      <c r="B245" s="16"/>
      <c r="C245" s="16"/>
      <c r="D245" s="16"/>
      <c r="E245" s="19"/>
      <c r="F245" s="15" t="s">
        <v>623</v>
      </c>
      <c r="G245" s="9"/>
      <c r="H245" s="9"/>
      <c r="I245" s="9"/>
      <c r="J245" s="9"/>
      <c r="K245" s="10"/>
      <c r="L245" s="8"/>
      <c r="M245" s="8"/>
      <c r="N245" s="8"/>
      <c r="O245" s="8"/>
    </row>
    <row r="246" spans="1:15" x14ac:dyDescent="0.4">
      <c r="A246" s="3">
        <f t="shared" si="5"/>
        <v>242</v>
      </c>
      <c r="B246" s="16"/>
      <c r="C246" s="16"/>
      <c r="D246" s="16"/>
      <c r="E246" s="20"/>
      <c r="F246" s="17"/>
      <c r="G246" s="13"/>
      <c r="H246" s="13"/>
      <c r="I246" s="13"/>
      <c r="J246" s="13"/>
      <c r="K246" s="14"/>
      <c r="L246" s="11" t="s">
        <v>1240</v>
      </c>
      <c r="M246" s="11"/>
      <c r="N246" s="11" t="s">
        <v>1240</v>
      </c>
      <c r="O246" s="3"/>
    </row>
    <row r="247" spans="1:15" x14ac:dyDescent="0.4">
      <c r="A247" s="3">
        <f t="shared" si="5"/>
        <v>243</v>
      </c>
      <c r="B247" s="16"/>
      <c r="C247" s="16"/>
      <c r="D247" s="16"/>
      <c r="E247" s="22">
        <v>3</v>
      </c>
      <c r="F247" s="13"/>
      <c r="G247" s="13"/>
      <c r="H247" s="13"/>
      <c r="I247" s="13"/>
      <c r="J247" s="13"/>
      <c r="K247" s="14"/>
      <c r="L247" s="11" t="s">
        <v>1240</v>
      </c>
      <c r="M247" s="11"/>
      <c r="N247" s="11" t="s">
        <v>1240</v>
      </c>
      <c r="O247" s="3"/>
    </row>
    <row r="248" spans="1:15" x14ac:dyDescent="0.4">
      <c r="A248" s="3">
        <f t="shared" si="5"/>
        <v>244</v>
      </c>
      <c r="B248" s="16"/>
      <c r="C248" s="16"/>
      <c r="D248" s="16"/>
      <c r="E248" s="19"/>
      <c r="F248" s="15" t="s">
        <v>110</v>
      </c>
      <c r="G248" s="9"/>
      <c r="H248" s="9"/>
      <c r="I248" s="9"/>
      <c r="J248" s="9"/>
      <c r="K248" s="10"/>
      <c r="L248" s="8"/>
      <c r="M248" s="8"/>
      <c r="N248" s="8"/>
      <c r="O248" s="8"/>
    </row>
    <row r="249" spans="1:15" x14ac:dyDescent="0.4">
      <c r="A249" s="3">
        <f t="shared" si="5"/>
        <v>245</v>
      </c>
      <c r="B249" s="16"/>
      <c r="C249" s="16"/>
      <c r="D249" s="16"/>
      <c r="E249" s="19"/>
      <c r="F249" s="16"/>
      <c r="G249" s="13" t="s">
        <v>15</v>
      </c>
      <c r="H249" s="13"/>
      <c r="I249" s="13"/>
      <c r="J249" s="13"/>
      <c r="K249" s="14"/>
      <c r="L249" s="3" t="s">
        <v>835</v>
      </c>
      <c r="M249" s="3"/>
      <c r="N249" s="3" t="s">
        <v>835</v>
      </c>
      <c r="O249" s="3"/>
    </row>
    <row r="250" spans="1:15" x14ac:dyDescent="0.4">
      <c r="A250" s="3">
        <f t="shared" si="5"/>
        <v>246</v>
      </c>
      <c r="B250" s="16"/>
      <c r="C250" s="16"/>
      <c r="D250" s="16"/>
      <c r="E250" s="19"/>
      <c r="F250" s="16"/>
      <c r="G250" s="13" t="s">
        <v>811</v>
      </c>
      <c r="H250" s="13"/>
      <c r="I250" s="13"/>
      <c r="J250" s="13"/>
      <c r="K250" s="14"/>
      <c r="L250" s="3" t="s">
        <v>1391</v>
      </c>
      <c r="M250" s="3"/>
      <c r="N250" s="3" t="s">
        <v>1391</v>
      </c>
      <c r="O250" s="3"/>
    </row>
    <row r="251" spans="1:15" x14ac:dyDescent="0.4">
      <c r="A251" s="3">
        <f t="shared" si="5"/>
        <v>247</v>
      </c>
      <c r="B251" s="16"/>
      <c r="C251" s="16"/>
      <c r="D251" s="16"/>
      <c r="E251" s="19"/>
      <c r="F251" s="16"/>
      <c r="G251" s="27" t="s">
        <v>812</v>
      </c>
      <c r="H251" s="9"/>
      <c r="I251" s="9"/>
      <c r="J251" s="9"/>
      <c r="K251" s="10"/>
      <c r="L251" s="8"/>
      <c r="M251" s="8"/>
      <c r="N251" s="8"/>
      <c r="O251" s="8"/>
    </row>
    <row r="252" spans="1:15" x14ac:dyDescent="0.4">
      <c r="A252" s="3">
        <f t="shared" si="5"/>
        <v>248</v>
      </c>
      <c r="B252" s="16"/>
      <c r="C252" s="16"/>
      <c r="D252" s="16"/>
      <c r="E252" s="19"/>
      <c r="F252" s="16"/>
      <c r="G252" s="16"/>
      <c r="H252" s="13" t="s">
        <v>100</v>
      </c>
      <c r="I252" s="13"/>
      <c r="J252" s="13"/>
      <c r="K252" s="14"/>
      <c r="L252" s="11" t="s">
        <v>9</v>
      </c>
      <c r="M252" s="11"/>
      <c r="N252" s="11" t="s">
        <v>9</v>
      </c>
      <c r="O252" s="3"/>
    </row>
    <row r="253" spans="1:15" x14ac:dyDescent="0.4">
      <c r="A253" s="3">
        <f t="shared" si="5"/>
        <v>249</v>
      </c>
      <c r="B253" s="16"/>
      <c r="C253" s="16"/>
      <c r="D253" s="16"/>
      <c r="E253" s="19"/>
      <c r="F253" s="16"/>
      <c r="G253" s="17"/>
      <c r="H253" s="13" t="s">
        <v>813</v>
      </c>
      <c r="I253" s="13"/>
      <c r="J253" s="13"/>
      <c r="K253" s="14"/>
      <c r="L253" s="11" t="s">
        <v>10</v>
      </c>
      <c r="M253" s="11"/>
      <c r="N253" s="11" t="s">
        <v>10</v>
      </c>
      <c r="O253" s="3"/>
    </row>
    <row r="254" spans="1:15" x14ac:dyDescent="0.4">
      <c r="A254" s="3">
        <f t="shared" si="5"/>
        <v>250</v>
      </c>
      <c r="B254" s="16"/>
      <c r="C254" s="16"/>
      <c r="D254" s="16"/>
      <c r="E254" s="19"/>
      <c r="F254" s="17"/>
      <c r="G254" s="13" t="s">
        <v>1375</v>
      </c>
      <c r="H254" s="13"/>
      <c r="I254" s="13"/>
      <c r="J254" s="13"/>
      <c r="K254" s="14"/>
      <c r="L254" s="3" t="s">
        <v>820</v>
      </c>
      <c r="M254" s="3"/>
      <c r="N254" s="3" t="s">
        <v>820</v>
      </c>
      <c r="O254" s="3"/>
    </row>
    <row r="255" spans="1:15" x14ac:dyDescent="0.4">
      <c r="A255" s="3">
        <f t="shared" si="5"/>
        <v>251</v>
      </c>
      <c r="B255" s="16"/>
      <c r="C255" s="16"/>
      <c r="D255" s="16"/>
      <c r="E255" s="19"/>
      <c r="F255" s="15" t="s">
        <v>815</v>
      </c>
      <c r="G255" s="9"/>
      <c r="H255" s="9"/>
      <c r="I255" s="9"/>
      <c r="J255" s="9"/>
      <c r="K255" s="10"/>
      <c r="L255" s="8"/>
      <c r="M255" s="8"/>
      <c r="N255" s="8"/>
      <c r="O255" s="8"/>
    </row>
    <row r="256" spans="1:15" x14ac:dyDescent="0.4">
      <c r="A256" s="3">
        <f t="shared" si="5"/>
        <v>252</v>
      </c>
      <c r="B256" s="16"/>
      <c r="C256" s="16"/>
      <c r="D256" s="16"/>
      <c r="E256" s="19"/>
      <c r="F256" s="17"/>
      <c r="G256" s="13" t="s">
        <v>815</v>
      </c>
      <c r="H256" s="13"/>
      <c r="I256" s="13"/>
      <c r="J256" s="13"/>
      <c r="K256" s="14"/>
      <c r="L256" s="3" t="s">
        <v>821</v>
      </c>
      <c r="M256" s="3"/>
      <c r="N256" s="3" t="s">
        <v>821</v>
      </c>
      <c r="O256" s="3"/>
    </row>
    <row r="257" spans="1:15" x14ac:dyDescent="0.4">
      <c r="A257" s="3">
        <f t="shared" si="5"/>
        <v>253</v>
      </c>
      <c r="B257" s="16"/>
      <c r="C257" s="16"/>
      <c r="D257" s="16"/>
      <c r="E257" s="19"/>
      <c r="F257" s="15" t="s">
        <v>623</v>
      </c>
      <c r="G257" s="9"/>
      <c r="H257" s="9"/>
      <c r="I257" s="9"/>
      <c r="J257" s="9"/>
      <c r="K257" s="10"/>
      <c r="L257" s="8"/>
      <c r="M257" s="8"/>
      <c r="N257" s="8"/>
      <c r="O257" s="8"/>
    </row>
    <row r="258" spans="1:15" x14ac:dyDescent="0.4">
      <c r="A258" s="3">
        <f t="shared" si="5"/>
        <v>254</v>
      </c>
      <c r="B258" s="16"/>
      <c r="C258" s="16"/>
      <c r="D258" s="17"/>
      <c r="E258" s="20"/>
      <c r="F258" s="17"/>
      <c r="G258" s="13"/>
      <c r="H258" s="13"/>
      <c r="I258" s="13"/>
      <c r="J258" s="13"/>
      <c r="K258" s="14"/>
      <c r="L258" s="11" t="s">
        <v>1240</v>
      </c>
      <c r="M258" s="11"/>
      <c r="N258" s="11" t="s">
        <v>1240</v>
      </c>
      <c r="O258" s="3"/>
    </row>
    <row r="259" spans="1:15" x14ac:dyDescent="0.4">
      <c r="A259" s="3">
        <f t="shared" si="5"/>
        <v>255</v>
      </c>
      <c r="B259" s="16"/>
      <c r="C259" s="16"/>
      <c r="D259" s="15" t="s">
        <v>1372</v>
      </c>
      <c r="E259" s="9"/>
      <c r="F259" s="9"/>
      <c r="G259" s="9"/>
      <c r="H259" s="9"/>
      <c r="I259" s="9"/>
      <c r="J259" s="9"/>
      <c r="K259" s="10"/>
      <c r="L259" s="8"/>
      <c r="M259" s="8"/>
      <c r="N259" s="8"/>
      <c r="O259" s="8"/>
    </row>
    <row r="260" spans="1:15" x14ac:dyDescent="0.4">
      <c r="A260" s="3">
        <f t="shared" si="5"/>
        <v>256</v>
      </c>
      <c r="B260" s="16"/>
      <c r="C260" s="16"/>
      <c r="D260" s="16"/>
      <c r="E260" s="22">
        <v>1</v>
      </c>
      <c r="F260" s="13"/>
      <c r="G260" s="13"/>
      <c r="H260" s="13"/>
      <c r="I260" s="13"/>
      <c r="J260" s="13"/>
      <c r="K260" s="14"/>
      <c r="L260" s="11" t="s">
        <v>1240</v>
      </c>
      <c r="M260" s="11"/>
      <c r="N260" s="11" t="s">
        <v>1240</v>
      </c>
      <c r="O260" s="3"/>
    </row>
    <row r="261" spans="1:15" x14ac:dyDescent="0.4">
      <c r="A261" s="3">
        <f t="shared" si="5"/>
        <v>257</v>
      </c>
      <c r="B261" s="16"/>
      <c r="C261" s="16"/>
      <c r="D261" s="16"/>
      <c r="E261" s="19"/>
      <c r="F261" s="15" t="s">
        <v>110</v>
      </c>
      <c r="G261" s="9"/>
      <c r="H261" s="9"/>
      <c r="I261" s="9"/>
      <c r="J261" s="9"/>
      <c r="K261" s="10"/>
      <c r="L261" s="8"/>
      <c r="M261" s="8"/>
      <c r="N261" s="8"/>
      <c r="O261" s="8"/>
    </row>
    <row r="262" spans="1:15" x14ac:dyDescent="0.4">
      <c r="A262" s="3">
        <f t="shared" si="5"/>
        <v>258</v>
      </c>
      <c r="B262" s="16"/>
      <c r="C262" s="16"/>
      <c r="D262" s="16"/>
      <c r="E262" s="19"/>
      <c r="F262" s="16"/>
      <c r="G262" s="13" t="s">
        <v>15</v>
      </c>
      <c r="H262" s="13"/>
      <c r="I262" s="13"/>
      <c r="J262" s="13"/>
      <c r="K262" s="14"/>
      <c r="L262" s="3" t="s">
        <v>1392</v>
      </c>
      <c r="M262" s="3"/>
      <c r="N262" s="3" t="s">
        <v>1392</v>
      </c>
      <c r="O262" s="3"/>
    </row>
    <row r="263" spans="1:15" x14ac:dyDescent="0.4">
      <c r="A263" s="3">
        <f t="shared" si="5"/>
        <v>259</v>
      </c>
      <c r="B263" s="16"/>
      <c r="C263" s="16"/>
      <c r="D263" s="16"/>
      <c r="E263" s="19"/>
      <c r="F263" s="16"/>
      <c r="G263" s="13" t="s">
        <v>811</v>
      </c>
      <c r="H263" s="13"/>
      <c r="I263" s="13"/>
      <c r="J263" s="13"/>
      <c r="K263" s="14"/>
      <c r="L263" s="3" t="s">
        <v>1393</v>
      </c>
      <c r="M263" s="3"/>
      <c r="N263" s="3" t="s">
        <v>1393</v>
      </c>
      <c r="O263" s="3"/>
    </row>
    <row r="264" spans="1:15" x14ac:dyDescent="0.4">
      <c r="A264" s="3">
        <f t="shared" si="5"/>
        <v>260</v>
      </c>
      <c r="B264" s="16"/>
      <c r="C264" s="16"/>
      <c r="D264" s="16"/>
      <c r="E264" s="19"/>
      <c r="F264" s="16"/>
      <c r="G264" s="27" t="s">
        <v>812</v>
      </c>
      <c r="H264" s="9"/>
      <c r="I264" s="9"/>
      <c r="J264" s="9"/>
      <c r="K264" s="10"/>
      <c r="L264" s="8"/>
      <c r="M264" s="8"/>
      <c r="N264" s="8"/>
      <c r="O264" s="8"/>
    </row>
    <row r="265" spans="1:15" x14ac:dyDescent="0.4">
      <c r="A265" s="3">
        <f t="shared" si="5"/>
        <v>261</v>
      </c>
      <c r="B265" s="16"/>
      <c r="C265" s="16"/>
      <c r="D265" s="16"/>
      <c r="E265" s="19"/>
      <c r="F265" s="16"/>
      <c r="G265" s="16"/>
      <c r="H265" s="13" t="s">
        <v>100</v>
      </c>
      <c r="I265" s="13"/>
      <c r="J265" s="13"/>
      <c r="K265" s="14"/>
      <c r="L265" s="11" t="s">
        <v>9</v>
      </c>
      <c r="M265" s="11"/>
      <c r="N265" s="11" t="s">
        <v>9</v>
      </c>
      <c r="O265" s="3"/>
    </row>
    <row r="266" spans="1:15" x14ac:dyDescent="0.4">
      <c r="A266" s="3">
        <f t="shared" si="5"/>
        <v>262</v>
      </c>
      <c r="B266" s="16"/>
      <c r="C266" s="16"/>
      <c r="D266" s="16"/>
      <c r="E266" s="19"/>
      <c r="F266" s="16"/>
      <c r="G266" s="17"/>
      <c r="H266" s="13" t="s">
        <v>813</v>
      </c>
      <c r="I266" s="13"/>
      <c r="J266" s="13"/>
      <c r="K266" s="14"/>
      <c r="L266" s="11" t="s">
        <v>10</v>
      </c>
      <c r="M266" s="11"/>
      <c r="N266" s="11" t="s">
        <v>10</v>
      </c>
      <c r="O266" s="3"/>
    </row>
    <row r="267" spans="1:15" x14ac:dyDescent="0.4">
      <c r="A267" s="3">
        <f t="shared" si="5"/>
        <v>263</v>
      </c>
      <c r="B267" s="16"/>
      <c r="C267" s="16"/>
      <c r="D267" s="16"/>
      <c r="E267" s="19"/>
      <c r="F267" s="17"/>
      <c r="G267" s="13" t="s">
        <v>1375</v>
      </c>
      <c r="H267" s="13"/>
      <c r="I267" s="13"/>
      <c r="J267" s="13"/>
      <c r="K267" s="14"/>
      <c r="L267" s="3" t="s">
        <v>814</v>
      </c>
      <c r="M267" s="3"/>
      <c r="N267" s="3" t="s">
        <v>814</v>
      </c>
      <c r="O267" s="3"/>
    </row>
    <row r="268" spans="1:15" x14ac:dyDescent="0.4">
      <c r="A268" s="3">
        <f t="shared" si="5"/>
        <v>264</v>
      </c>
      <c r="B268" s="16"/>
      <c r="C268" s="16"/>
      <c r="D268" s="16"/>
      <c r="E268" s="19"/>
      <c r="F268" s="15" t="s">
        <v>817</v>
      </c>
      <c r="G268" s="9"/>
      <c r="H268" s="9"/>
      <c r="I268" s="9"/>
      <c r="J268" s="9"/>
      <c r="K268" s="10"/>
      <c r="L268" s="8"/>
      <c r="M268" s="8"/>
      <c r="N268" s="8"/>
      <c r="O268" s="8"/>
    </row>
    <row r="269" spans="1:15" x14ac:dyDescent="0.4">
      <c r="A269" s="3">
        <f t="shared" si="5"/>
        <v>265</v>
      </c>
      <c r="B269" s="16"/>
      <c r="C269" s="16"/>
      <c r="D269" s="16"/>
      <c r="E269" s="19"/>
      <c r="F269" s="16"/>
      <c r="G269" s="13" t="s">
        <v>817</v>
      </c>
      <c r="H269" s="13"/>
      <c r="I269" s="13"/>
      <c r="J269" s="13"/>
      <c r="K269" s="14"/>
      <c r="L269" s="3" t="s">
        <v>821</v>
      </c>
      <c r="M269" s="3"/>
      <c r="N269" s="3" t="s">
        <v>821</v>
      </c>
      <c r="O269" s="3"/>
    </row>
    <row r="270" spans="1:15" x14ac:dyDescent="0.4">
      <c r="A270" s="3">
        <f t="shared" si="5"/>
        <v>266</v>
      </c>
      <c r="B270" s="16"/>
      <c r="C270" s="16"/>
      <c r="D270" s="16"/>
      <c r="E270" s="19"/>
      <c r="F270" s="16"/>
      <c r="G270" s="13" t="s">
        <v>1394</v>
      </c>
      <c r="H270" s="13"/>
      <c r="I270" s="13"/>
      <c r="J270" s="13"/>
      <c r="K270" s="14"/>
      <c r="L270" s="3" t="s">
        <v>821</v>
      </c>
      <c r="M270" s="3"/>
      <c r="N270" s="3" t="s">
        <v>821</v>
      </c>
      <c r="O270" s="3"/>
    </row>
    <row r="271" spans="1:15" x14ac:dyDescent="0.4">
      <c r="A271" s="3">
        <f t="shared" si="5"/>
        <v>267</v>
      </c>
      <c r="B271" s="16"/>
      <c r="C271" s="16"/>
      <c r="D271" s="16"/>
      <c r="E271" s="19"/>
      <c r="F271" s="16"/>
      <c r="G271" s="26" t="s">
        <v>1381</v>
      </c>
      <c r="H271" s="13"/>
      <c r="I271" s="13"/>
      <c r="J271" s="13"/>
      <c r="K271" s="14"/>
      <c r="L271" s="3" t="s">
        <v>825</v>
      </c>
      <c r="M271" s="3"/>
      <c r="N271" s="3" t="s">
        <v>825</v>
      </c>
      <c r="O271" s="3"/>
    </row>
    <row r="272" spans="1:15" x14ac:dyDescent="0.4">
      <c r="A272" s="3">
        <f t="shared" si="5"/>
        <v>268</v>
      </c>
      <c r="B272" s="16"/>
      <c r="C272" s="16"/>
      <c r="D272" s="16"/>
      <c r="E272" s="19"/>
      <c r="F272" s="16"/>
      <c r="G272" s="19"/>
      <c r="H272" s="13" t="s">
        <v>823</v>
      </c>
      <c r="I272" s="13"/>
      <c r="J272" s="13"/>
      <c r="K272" s="14"/>
      <c r="L272" s="11" t="s">
        <v>9</v>
      </c>
      <c r="M272" s="11"/>
      <c r="N272" s="11" t="s">
        <v>9</v>
      </c>
      <c r="O272" s="3"/>
    </row>
    <row r="273" spans="1:15" x14ac:dyDescent="0.4">
      <c r="A273" s="3">
        <f t="shared" si="5"/>
        <v>269</v>
      </c>
      <c r="B273" s="16"/>
      <c r="C273" s="16"/>
      <c r="D273" s="16"/>
      <c r="E273" s="19"/>
      <c r="F273" s="16"/>
      <c r="G273" s="19"/>
      <c r="H273" s="13" t="s">
        <v>824</v>
      </c>
      <c r="I273" s="13"/>
      <c r="J273" s="13"/>
      <c r="K273" s="14"/>
      <c r="L273" s="11" t="s">
        <v>10</v>
      </c>
      <c r="M273" s="11"/>
      <c r="N273" s="11" t="s">
        <v>10</v>
      </c>
      <c r="O273" s="3"/>
    </row>
    <row r="274" spans="1:15" x14ac:dyDescent="0.4">
      <c r="A274" s="3">
        <f t="shared" si="5"/>
        <v>270</v>
      </c>
      <c r="B274" s="16"/>
      <c r="C274" s="16"/>
      <c r="D274" s="16"/>
      <c r="E274" s="19"/>
      <c r="F274" s="16"/>
      <c r="G274" s="20"/>
      <c r="H274" s="13" t="s">
        <v>1382</v>
      </c>
      <c r="I274" s="13"/>
      <c r="J274" s="13"/>
      <c r="K274" s="14"/>
      <c r="L274" s="11" t="s">
        <v>10</v>
      </c>
      <c r="M274" s="11"/>
      <c r="N274" s="11" t="s">
        <v>10</v>
      </c>
      <c r="O274" s="3"/>
    </row>
    <row r="275" spans="1:15" x14ac:dyDescent="0.4">
      <c r="A275" s="3">
        <f t="shared" si="5"/>
        <v>271</v>
      </c>
      <c r="B275" s="16"/>
      <c r="C275" s="16"/>
      <c r="D275" s="16"/>
      <c r="E275" s="19"/>
      <c r="F275" s="15" t="s">
        <v>623</v>
      </c>
      <c r="G275" s="9"/>
      <c r="H275" s="9"/>
      <c r="I275" s="9"/>
      <c r="J275" s="9"/>
      <c r="K275" s="10"/>
      <c r="L275" s="8"/>
      <c r="M275" s="8"/>
      <c r="N275" s="8"/>
      <c r="O275" s="8"/>
    </row>
    <row r="276" spans="1:15" x14ac:dyDescent="0.4">
      <c r="A276" s="3">
        <f t="shared" si="5"/>
        <v>272</v>
      </c>
      <c r="B276" s="16"/>
      <c r="C276" s="16"/>
      <c r="D276" s="16"/>
      <c r="E276" s="20"/>
      <c r="F276" s="17"/>
      <c r="G276" s="13"/>
      <c r="H276" s="13"/>
      <c r="I276" s="13"/>
      <c r="J276" s="13"/>
      <c r="K276" s="14"/>
      <c r="L276" s="11" t="s">
        <v>1240</v>
      </c>
      <c r="M276" s="11"/>
      <c r="N276" s="11" t="s">
        <v>1240</v>
      </c>
      <c r="O276" s="3"/>
    </row>
    <row r="277" spans="1:15" x14ac:dyDescent="0.4">
      <c r="A277" s="3">
        <f t="shared" si="5"/>
        <v>273</v>
      </c>
      <c r="B277" s="15" t="s">
        <v>1395</v>
      </c>
      <c r="C277" s="9"/>
      <c r="D277" s="9"/>
      <c r="E277" s="9"/>
      <c r="F277" s="9"/>
      <c r="G277" s="9"/>
      <c r="H277" s="9"/>
      <c r="I277" s="9"/>
      <c r="J277" s="9"/>
      <c r="K277" s="10"/>
      <c r="L277" s="8"/>
      <c r="M277" s="8"/>
      <c r="N277" s="8"/>
      <c r="O277" s="8"/>
    </row>
    <row r="278" spans="1:15" x14ac:dyDescent="0.4">
      <c r="A278" s="3">
        <f t="shared" si="5"/>
        <v>274</v>
      </c>
      <c r="B278" s="16"/>
      <c r="C278" s="22">
        <v>1</v>
      </c>
      <c r="D278" s="13"/>
      <c r="E278" s="13"/>
      <c r="F278" s="13"/>
      <c r="G278" s="13"/>
      <c r="H278" s="13"/>
      <c r="I278" s="13"/>
      <c r="J278" s="13"/>
      <c r="K278" s="14"/>
      <c r="L278" s="11" t="s">
        <v>1240</v>
      </c>
      <c r="M278" s="11"/>
      <c r="N278" s="11" t="s">
        <v>1240</v>
      </c>
      <c r="O278" s="3"/>
    </row>
    <row r="279" spans="1:15" x14ac:dyDescent="0.4">
      <c r="A279" s="3">
        <f t="shared" si="5"/>
        <v>275</v>
      </c>
      <c r="B279" s="16"/>
      <c r="C279" s="19"/>
      <c r="D279" s="15" t="s">
        <v>110</v>
      </c>
      <c r="E279" s="9"/>
      <c r="F279" s="9"/>
      <c r="G279" s="9"/>
      <c r="H279" s="9"/>
      <c r="I279" s="9"/>
      <c r="J279" s="9"/>
      <c r="K279" s="10"/>
      <c r="L279" s="8"/>
      <c r="M279" s="8"/>
      <c r="N279" s="8"/>
      <c r="O279" s="8"/>
    </row>
    <row r="280" spans="1:15" x14ac:dyDescent="0.4">
      <c r="A280" s="3">
        <f t="shared" si="5"/>
        <v>276</v>
      </c>
      <c r="B280" s="16"/>
      <c r="C280" s="19"/>
      <c r="D280" s="16"/>
      <c r="E280" s="13" t="s">
        <v>15</v>
      </c>
      <c r="F280" s="13"/>
      <c r="G280" s="13"/>
      <c r="H280" s="13"/>
      <c r="I280" s="13"/>
      <c r="J280" s="13"/>
      <c r="K280" s="14"/>
      <c r="L280" s="3" t="s">
        <v>1396</v>
      </c>
      <c r="M280" s="3"/>
      <c r="N280" s="3" t="s">
        <v>1396</v>
      </c>
      <c r="O280" s="3"/>
    </row>
    <row r="281" spans="1:15" x14ac:dyDescent="0.4">
      <c r="A281" s="3">
        <f t="shared" si="5"/>
        <v>277</v>
      </c>
      <c r="B281" s="16"/>
      <c r="C281" s="19"/>
      <c r="D281" s="16"/>
      <c r="E281" s="13" t="s">
        <v>811</v>
      </c>
      <c r="F281" s="13"/>
      <c r="G281" s="13"/>
      <c r="H281" s="13"/>
      <c r="I281" s="13"/>
      <c r="J281" s="13"/>
      <c r="K281" s="14"/>
      <c r="L281" s="3" t="s">
        <v>57</v>
      </c>
      <c r="M281" s="3"/>
      <c r="N281" s="3" t="s">
        <v>57</v>
      </c>
      <c r="O281" s="3"/>
    </row>
    <row r="282" spans="1:15" x14ac:dyDescent="0.4">
      <c r="A282" s="3">
        <f t="shared" si="5"/>
        <v>278</v>
      </c>
      <c r="B282" s="16"/>
      <c r="C282" s="19"/>
      <c r="D282" s="16"/>
      <c r="E282" s="13" t="s">
        <v>1397</v>
      </c>
      <c r="F282" s="13"/>
      <c r="G282" s="13"/>
      <c r="H282" s="13"/>
      <c r="I282" s="13"/>
      <c r="J282" s="13"/>
      <c r="K282" s="14"/>
      <c r="L282" s="3" t="s">
        <v>836</v>
      </c>
      <c r="M282" s="3"/>
      <c r="N282" s="3" t="s">
        <v>836</v>
      </c>
      <c r="O282" s="3"/>
    </row>
    <row r="283" spans="1:15" x14ac:dyDescent="0.4">
      <c r="A283" s="3">
        <f t="shared" si="5"/>
        <v>279</v>
      </c>
      <c r="B283" s="16"/>
      <c r="C283" s="19"/>
      <c r="D283" s="16"/>
      <c r="E283" s="27" t="s">
        <v>1398</v>
      </c>
      <c r="F283" s="9"/>
      <c r="G283" s="9"/>
      <c r="H283" s="9"/>
      <c r="I283" s="9"/>
      <c r="J283" s="9"/>
      <c r="K283" s="10"/>
      <c r="L283" s="8"/>
      <c r="M283" s="8"/>
      <c r="N283" s="8"/>
      <c r="O283" s="8"/>
    </row>
    <row r="284" spans="1:15" x14ac:dyDescent="0.4">
      <c r="A284" s="3">
        <f t="shared" si="5"/>
        <v>280</v>
      </c>
      <c r="B284" s="16"/>
      <c r="C284" s="19"/>
      <c r="D284" s="16"/>
      <c r="E284" s="16"/>
      <c r="F284" s="13" t="s">
        <v>1399</v>
      </c>
      <c r="G284" s="13"/>
      <c r="H284" s="13"/>
      <c r="I284" s="13"/>
      <c r="J284" s="13"/>
      <c r="K284" s="14"/>
      <c r="L284" s="11" t="s">
        <v>36</v>
      </c>
      <c r="M284" s="11"/>
      <c r="N284" s="11" t="s">
        <v>36</v>
      </c>
      <c r="O284" s="3"/>
    </row>
    <row r="285" spans="1:15" x14ac:dyDescent="0.4">
      <c r="A285" s="3">
        <f t="shared" si="5"/>
        <v>281</v>
      </c>
      <c r="B285" s="16"/>
      <c r="C285" s="19"/>
      <c r="D285" s="16"/>
      <c r="E285" s="16"/>
      <c r="F285" s="13" t="s">
        <v>1400</v>
      </c>
      <c r="G285" s="13"/>
      <c r="H285" s="13"/>
      <c r="I285" s="13"/>
      <c r="J285" s="13"/>
      <c r="K285" s="14"/>
      <c r="L285" s="3" t="s">
        <v>837</v>
      </c>
      <c r="M285" s="3"/>
      <c r="N285" s="3" t="s">
        <v>837</v>
      </c>
      <c r="O285" s="3"/>
    </row>
    <row r="286" spans="1:15" x14ac:dyDescent="0.4">
      <c r="A286" s="3">
        <f t="shared" si="5"/>
        <v>282</v>
      </c>
      <c r="B286" s="16"/>
      <c r="C286" s="19"/>
      <c r="D286" s="16"/>
      <c r="E286" s="16"/>
      <c r="F286" s="27" t="s">
        <v>838</v>
      </c>
      <c r="G286" s="9"/>
      <c r="H286" s="9"/>
      <c r="I286" s="9"/>
      <c r="J286" s="9"/>
      <c r="K286" s="10"/>
      <c r="L286" s="8"/>
      <c r="M286" s="8"/>
      <c r="N286" s="8"/>
      <c r="O286" s="8"/>
    </row>
    <row r="287" spans="1:15" x14ac:dyDescent="0.4">
      <c r="A287" s="3">
        <f t="shared" si="5"/>
        <v>283</v>
      </c>
      <c r="B287" s="16"/>
      <c r="C287" s="19"/>
      <c r="D287" s="16"/>
      <c r="E287" s="16"/>
      <c r="F287" s="16"/>
      <c r="G287" s="26">
        <v>1</v>
      </c>
      <c r="H287" s="13"/>
      <c r="I287" s="13"/>
      <c r="J287" s="13"/>
      <c r="K287" s="14"/>
      <c r="L287" s="11" t="s">
        <v>1240</v>
      </c>
      <c r="M287" s="11"/>
      <c r="N287" s="11" t="s">
        <v>1240</v>
      </c>
      <c r="O287" s="3"/>
    </row>
    <row r="288" spans="1:15" x14ac:dyDescent="0.4">
      <c r="A288" s="3">
        <f t="shared" si="5"/>
        <v>284</v>
      </c>
      <c r="B288" s="16"/>
      <c r="C288" s="19"/>
      <c r="D288" s="16"/>
      <c r="E288" s="16"/>
      <c r="F288" s="16"/>
      <c r="G288" s="19"/>
      <c r="H288" s="27" t="s">
        <v>620</v>
      </c>
      <c r="I288" s="27"/>
      <c r="J288" s="27"/>
      <c r="K288" s="10"/>
      <c r="L288" s="8"/>
      <c r="M288" s="8"/>
      <c r="N288" s="8"/>
      <c r="O288" s="8"/>
    </row>
    <row r="289" spans="1:15" x14ac:dyDescent="0.4">
      <c r="A289" s="3">
        <f t="shared" si="5"/>
        <v>285</v>
      </c>
      <c r="B289" s="16"/>
      <c r="C289" s="19"/>
      <c r="D289" s="16"/>
      <c r="E289" s="16"/>
      <c r="F289" s="16"/>
      <c r="G289" s="19"/>
      <c r="H289" s="16"/>
      <c r="I289" s="28"/>
      <c r="J289" s="28"/>
      <c r="K289" s="14" t="s">
        <v>615</v>
      </c>
      <c r="L289" s="11" t="s">
        <v>10</v>
      </c>
      <c r="M289" s="11"/>
      <c r="N289" s="11" t="s">
        <v>10</v>
      </c>
      <c r="O289" s="3"/>
    </row>
    <row r="290" spans="1:15" x14ac:dyDescent="0.4">
      <c r="A290" s="3">
        <f t="shared" si="5"/>
        <v>286</v>
      </c>
      <c r="B290" s="16"/>
      <c r="C290" s="19"/>
      <c r="D290" s="16"/>
      <c r="E290" s="16"/>
      <c r="F290" s="16"/>
      <c r="G290" s="19"/>
      <c r="H290" s="17"/>
      <c r="I290" s="29"/>
      <c r="J290" s="29"/>
      <c r="K290" s="14" t="s">
        <v>839</v>
      </c>
      <c r="L290" s="11" t="s">
        <v>9</v>
      </c>
      <c r="M290" s="11"/>
      <c r="N290" s="11" t="s">
        <v>9</v>
      </c>
      <c r="O290" s="3"/>
    </row>
    <row r="291" spans="1:15" x14ac:dyDescent="0.4">
      <c r="A291" s="3">
        <f t="shared" si="5"/>
        <v>287</v>
      </c>
      <c r="B291" s="16"/>
      <c r="C291" s="19"/>
      <c r="D291" s="16"/>
      <c r="E291" s="16"/>
      <c r="F291" s="16"/>
      <c r="G291" s="19"/>
      <c r="H291" s="27" t="s">
        <v>616</v>
      </c>
      <c r="I291" s="27"/>
      <c r="J291" s="27"/>
      <c r="K291" s="10"/>
      <c r="L291" s="8"/>
      <c r="M291" s="8"/>
      <c r="N291" s="8"/>
      <c r="O291" s="8"/>
    </row>
    <row r="292" spans="1:15" x14ac:dyDescent="0.4">
      <c r="A292" s="3">
        <f t="shared" si="5"/>
        <v>288</v>
      </c>
      <c r="B292" s="16"/>
      <c r="C292" s="19"/>
      <c r="D292" s="16"/>
      <c r="E292" s="16"/>
      <c r="F292" s="16"/>
      <c r="G292" s="19"/>
      <c r="H292" s="16"/>
      <c r="I292" s="28"/>
      <c r="J292" s="28"/>
      <c r="K292" s="14" t="s">
        <v>617</v>
      </c>
      <c r="L292" s="11" t="s">
        <v>9</v>
      </c>
      <c r="M292" s="11"/>
      <c r="N292" s="11" t="s">
        <v>9</v>
      </c>
      <c r="O292" s="3"/>
    </row>
    <row r="293" spans="1:15" x14ac:dyDescent="0.4">
      <c r="A293" s="3">
        <f t="shared" si="5"/>
        <v>289</v>
      </c>
      <c r="B293" s="16"/>
      <c r="C293" s="19"/>
      <c r="D293" s="16"/>
      <c r="E293" s="16"/>
      <c r="F293" s="16"/>
      <c r="G293" s="19"/>
      <c r="H293" s="17"/>
      <c r="I293" s="29"/>
      <c r="J293" s="29"/>
      <c r="K293" s="14" t="s">
        <v>618</v>
      </c>
      <c r="L293" s="11" t="s">
        <v>10</v>
      </c>
      <c r="M293" s="11"/>
      <c r="N293" s="11" t="s">
        <v>10</v>
      </c>
      <c r="O293" s="3"/>
    </row>
    <row r="294" spans="1:15" x14ac:dyDescent="0.4">
      <c r="A294" s="3">
        <f t="shared" si="5"/>
        <v>290</v>
      </c>
      <c r="B294" s="16"/>
      <c r="C294" s="19"/>
      <c r="D294" s="16"/>
      <c r="E294" s="16"/>
      <c r="F294" s="16"/>
      <c r="G294" s="19"/>
      <c r="H294" s="27" t="s">
        <v>1401</v>
      </c>
      <c r="I294" s="27"/>
      <c r="J294" s="27"/>
      <c r="K294" s="10"/>
      <c r="L294" s="8"/>
      <c r="M294" s="8"/>
      <c r="N294" s="8"/>
      <c r="O294" s="8"/>
    </row>
    <row r="295" spans="1:15" x14ac:dyDescent="0.4">
      <c r="A295" s="3">
        <f t="shared" si="5"/>
        <v>291</v>
      </c>
      <c r="B295" s="16"/>
      <c r="C295" s="19"/>
      <c r="D295" s="16"/>
      <c r="E295" s="16"/>
      <c r="F295" s="16"/>
      <c r="G295" s="19"/>
      <c r="H295" s="16"/>
      <c r="I295" s="28"/>
      <c r="J295" s="28"/>
      <c r="K295" s="14" t="s">
        <v>840</v>
      </c>
      <c r="L295" s="11" t="s">
        <v>10</v>
      </c>
      <c r="M295" s="11"/>
      <c r="N295" s="11" t="s">
        <v>10</v>
      </c>
      <c r="O295" s="3"/>
    </row>
    <row r="296" spans="1:15" x14ac:dyDescent="0.4">
      <c r="A296" s="3">
        <f t="shared" si="5"/>
        <v>292</v>
      </c>
      <c r="B296" s="16"/>
      <c r="C296" s="19"/>
      <c r="D296" s="16"/>
      <c r="E296" s="16"/>
      <c r="F296" s="16"/>
      <c r="G296" s="19"/>
      <c r="H296" s="16"/>
      <c r="I296" s="28"/>
      <c r="J296" s="28"/>
      <c r="K296" s="14" t="s">
        <v>841</v>
      </c>
      <c r="L296" s="11" t="s">
        <v>9</v>
      </c>
      <c r="M296" s="11"/>
      <c r="N296" s="11" t="s">
        <v>9</v>
      </c>
      <c r="O296" s="3"/>
    </row>
    <row r="297" spans="1:15" x14ac:dyDescent="0.4">
      <c r="A297" s="3">
        <f t="shared" si="5"/>
        <v>293</v>
      </c>
      <c r="B297" s="16"/>
      <c r="C297" s="19"/>
      <c r="D297" s="17"/>
      <c r="E297" s="17"/>
      <c r="F297" s="17"/>
      <c r="G297" s="20"/>
      <c r="H297" s="17"/>
      <c r="I297" s="29"/>
      <c r="J297" s="29"/>
      <c r="K297" s="14" t="s">
        <v>842</v>
      </c>
      <c r="L297" s="11" t="s">
        <v>10</v>
      </c>
      <c r="M297" s="11"/>
      <c r="N297" s="11" t="s">
        <v>10</v>
      </c>
      <c r="O297" s="3"/>
    </row>
    <row r="298" spans="1:15" x14ac:dyDescent="0.4">
      <c r="A298" s="3">
        <f t="shared" si="5"/>
        <v>294</v>
      </c>
      <c r="B298" s="16"/>
      <c r="C298" s="19"/>
      <c r="D298" s="15" t="s">
        <v>843</v>
      </c>
      <c r="E298" s="9"/>
      <c r="F298" s="9"/>
      <c r="G298" s="9"/>
      <c r="H298" s="9"/>
      <c r="I298" s="9"/>
      <c r="J298" s="9"/>
      <c r="K298" s="10"/>
      <c r="L298" s="8"/>
      <c r="M298" s="8"/>
      <c r="N298" s="8"/>
      <c r="O298" s="8"/>
    </row>
    <row r="299" spans="1:15" x14ac:dyDescent="0.4">
      <c r="A299" s="3">
        <f t="shared" si="5"/>
        <v>295</v>
      </c>
      <c r="B299" s="16"/>
      <c r="C299" s="19"/>
      <c r="D299" s="16"/>
      <c r="E299" s="27" t="s">
        <v>614</v>
      </c>
      <c r="F299" s="9"/>
      <c r="G299" s="9"/>
      <c r="H299" s="9"/>
      <c r="I299" s="9"/>
      <c r="J299" s="9"/>
      <c r="K299" s="10"/>
      <c r="L299" s="8"/>
      <c r="M299" s="8"/>
      <c r="N299" s="8"/>
      <c r="O299" s="8"/>
    </row>
    <row r="300" spans="1:15" x14ac:dyDescent="0.4">
      <c r="A300" s="3">
        <f t="shared" si="5"/>
        <v>296</v>
      </c>
      <c r="B300" s="16"/>
      <c r="C300" s="19"/>
      <c r="D300" s="16"/>
      <c r="E300" s="16"/>
      <c r="F300" s="26">
        <v>1</v>
      </c>
      <c r="G300" s="13"/>
      <c r="H300" s="13"/>
      <c r="I300" s="13"/>
      <c r="J300" s="13"/>
      <c r="K300" s="14"/>
      <c r="L300" s="11" t="s">
        <v>1240</v>
      </c>
      <c r="M300" s="11"/>
      <c r="N300" s="11" t="s">
        <v>1240</v>
      </c>
      <c r="O300" s="3"/>
    </row>
    <row r="301" spans="1:15" x14ac:dyDescent="0.4">
      <c r="A301" s="3">
        <f t="shared" si="5"/>
        <v>297</v>
      </c>
      <c r="B301" s="16"/>
      <c r="C301" s="19"/>
      <c r="D301" s="16"/>
      <c r="E301" s="16"/>
      <c r="F301" s="19"/>
      <c r="G301" s="27" t="s">
        <v>614</v>
      </c>
      <c r="H301" s="9"/>
      <c r="I301" s="9"/>
      <c r="J301" s="9"/>
      <c r="K301" s="10"/>
      <c r="L301" s="8"/>
      <c r="M301" s="8"/>
      <c r="N301" s="8"/>
      <c r="O301" s="8"/>
    </row>
    <row r="302" spans="1:15" x14ac:dyDescent="0.4">
      <c r="A302" s="3">
        <f t="shared" si="5"/>
        <v>298</v>
      </c>
      <c r="B302" s="16"/>
      <c r="C302" s="19"/>
      <c r="D302" s="16"/>
      <c r="E302" s="16"/>
      <c r="F302" s="19"/>
      <c r="G302" s="16"/>
      <c r="H302" s="13" t="s">
        <v>844</v>
      </c>
      <c r="I302" s="13"/>
      <c r="J302" s="13"/>
      <c r="K302" s="14"/>
      <c r="L302" s="11" t="s">
        <v>9</v>
      </c>
      <c r="M302" s="11"/>
      <c r="N302" s="11" t="s">
        <v>9</v>
      </c>
      <c r="O302" s="3"/>
    </row>
    <row r="303" spans="1:15" x14ac:dyDescent="0.4">
      <c r="A303" s="3">
        <f t="shared" si="5"/>
        <v>299</v>
      </c>
      <c r="B303" s="16"/>
      <c r="C303" s="19"/>
      <c r="D303" s="16"/>
      <c r="E303" s="16"/>
      <c r="F303" s="19"/>
      <c r="G303" s="16"/>
      <c r="H303" s="13" t="s">
        <v>845</v>
      </c>
      <c r="I303" s="13"/>
      <c r="J303" s="13"/>
      <c r="K303" s="14"/>
      <c r="L303" s="11" t="s">
        <v>10</v>
      </c>
      <c r="M303" s="11"/>
      <c r="N303" s="11" t="s">
        <v>10</v>
      </c>
      <c r="O303" s="3"/>
    </row>
    <row r="304" spans="1:15" x14ac:dyDescent="0.4">
      <c r="A304" s="3">
        <f t="shared" si="5"/>
        <v>300</v>
      </c>
      <c r="B304" s="16"/>
      <c r="C304" s="19"/>
      <c r="D304" s="16"/>
      <c r="E304" s="16"/>
      <c r="F304" s="19"/>
      <c r="G304" s="16"/>
      <c r="H304" s="26" t="s">
        <v>11</v>
      </c>
      <c r="I304" s="26"/>
      <c r="J304" s="26"/>
      <c r="K304" s="14"/>
      <c r="L304" s="11" t="s">
        <v>10</v>
      </c>
      <c r="M304" s="11"/>
      <c r="N304" s="11" t="s">
        <v>10</v>
      </c>
      <c r="O304" s="3"/>
    </row>
    <row r="305" spans="1:15" x14ac:dyDescent="0.4">
      <c r="A305" s="3">
        <f t="shared" ref="A305:A368" si="6">A304+1</f>
        <v>301</v>
      </c>
      <c r="B305" s="16"/>
      <c r="C305" s="19"/>
      <c r="D305" s="16"/>
      <c r="E305" s="16"/>
      <c r="F305" s="19"/>
      <c r="G305" s="16"/>
      <c r="H305" s="19"/>
      <c r="I305" s="18" t="s">
        <v>1402</v>
      </c>
      <c r="J305" s="26"/>
      <c r="K305" s="14"/>
      <c r="L305" s="11" t="s">
        <v>36</v>
      </c>
      <c r="M305" s="11"/>
      <c r="N305" s="11" t="s">
        <v>36</v>
      </c>
      <c r="O305" s="3"/>
    </row>
    <row r="306" spans="1:15" x14ac:dyDescent="0.4">
      <c r="A306" s="3">
        <f t="shared" si="6"/>
        <v>302</v>
      </c>
      <c r="B306" s="16"/>
      <c r="C306" s="19"/>
      <c r="D306" s="16"/>
      <c r="E306" s="16"/>
      <c r="F306" s="19"/>
      <c r="G306" s="16"/>
      <c r="H306" s="19"/>
      <c r="I306" s="19"/>
      <c r="J306" s="12" t="s">
        <v>615</v>
      </c>
      <c r="K306" s="14"/>
      <c r="L306" s="11" t="s">
        <v>10</v>
      </c>
      <c r="M306" s="11"/>
      <c r="N306" s="11" t="s">
        <v>10</v>
      </c>
      <c r="O306" s="3"/>
    </row>
    <row r="307" spans="1:15" x14ac:dyDescent="0.4">
      <c r="A307" s="3">
        <f t="shared" si="6"/>
        <v>303</v>
      </c>
      <c r="B307" s="16"/>
      <c r="C307" s="19"/>
      <c r="D307" s="16"/>
      <c r="E307" s="16"/>
      <c r="F307" s="19"/>
      <c r="G307" s="16"/>
      <c r="H307" s="19"/>
      <c r="I307" s="20"/>
      <c r="J307" s="12" t="s">
        <v>839</v>
      </c>
      <c r="K307" s="14"/>
      <c r="L307" s="11" t="s">
        <v>9</v>
      </c>
      <c r="M307" s="11"/>
      <c r="N307" s="11" t="s">
        <v>9</v>
      </c>
      <c r="O307" s="3"/>
    </row>
    <row r="308" spans="1:15" x14ac:dyDescent="0.4">
      <c r="A308" s="3">
        <f t="shared" si="6"/>
        <v>304</v>
      </c>
      <c r="B308" s="16"/>
      <c r="C308" s="19"/>
      <c r="D308" s="16"/>
      <c r="E308" s="16"/>
      <c r="F308" s="19"/>
      <c r="G308" s="16"/>
      <c r="H308" s="19"/>
      <c r="I308" s="18" t="s">
        <v>1403</v>
      </c>
      <c r="J308" s="13"/>
      <c r="K308" s="14"/>
      <c r="L308" s="11" t="s">
        <v>20</v>
      </c>
      <c r="M308" s="11"/>
      <c r="N308" s="11" t="s">
        <v>20</v>
      </c>
      <c r="O308" s="3"/>
    </row>
    <row r="309" spans="1:15" x14ac:dyDescent="0.4">
      <c r="A309" s="3">
        <f t="shared" si="6"/>
        <v>305</v>
      </c>
      <c r="B309" s="16"/>
      <c r="C309" s="19"/>
      <c r="D309" s="16"/>
      <c r="E309" s="16"/>
      <c r="F309" s="19"/>
      <c r="G309" s="16"/>
      <c r="H309" s="19"/>
      <c r="I309" s="19"/>
      <c r="J309" s="27" t="s">
        <v>620</v>
      </c>
      <c r="K309" s="10"/>
      <c r="L309" s="8"/>
      <c r="M309" s="8"/>
      <c r="N309" s="8"/>
      <c r="O309" s="8"/>
    </row>
    <row r="310" spans="1:15" x14ac:dyDescent="0.4">
      <c r="A310" s="3">
        <f t="shared" si="6"/>
        <v>306</v>
      </c>
      <c r="B310" s="16"/>
      <c r="C310" s="19"/>
      <c r="D310" s="16"/>
      <c r="E310" s="16"/>
      <c r="F310" s="19"/>
      <c r="G310" s="16"/>
      <c r="H310" s="19"/>
      <c r="I310" s="19"/>
      <c r="J310" s="28"/>
      <c r="K310" s="14" t="s">
        <v>846</v>
      </c>
      <c r="L310" s="11" t="s">
        <v>10</v>
      </c>
      <c r="M310" s="11"/>
      <c r="N310" s="11" t="s">
        <v>10</v>
      </c>
      <c r="O310" s="3"/>
    </row>
    <row r="311" spans="1:15" x14ac:dyDescent="0.4">
      <c r="A311" s="3">
        <f t="shared" si="6"/>
        <v>307</v>
      </c>
      <c r="B311" s="16"/>
      <c r="C311" s="19"/>
      <c r="D311" s="16"/>
      <c r="E311" s="16"/>
      <c r="F311" s="19"/>
      <c r="G311" s="16"/>
      <c r="H311" s="19"/>
      <c r="I311" s="19"/>
      <c r="J311" s="28"/>
      <c r="K311" s="14" t="s">
        <v>615</v>
      </c>
      <c r="L311" s="11" t="s">
        <v>10</v>
      </c>
      <c r="M311" s="11"/>
      <c r="N311" s="11" t="s">
        <v>10</v>
      </c>
      <c r="O311" s="3"/>
    </row>
    <row r="312" spans="1:15" x14ac:dyDescent="0.4">
      <c r="A312" s="3">
        <f t="shared" si="6"/>
        <v>308</v>
      </c>
      <c r="B312" s="16"/>
      <c r="C312" s="19"/>
      <c r="D312" s="16"/>
      <c r="E312" s="16"/>
      <c r="F312" s="19"/>
      <c r="G312" s="16"/>
      <c r="H312" s="19"/>
      <c r="I312" s="19"/>
      <c r="J312" s="29"/>
      <c r="K312" s="14" t="s">
        <v>839</v>
      </c>
      <c r="L312" s="11" t="s">
        <v>9</v>
      </c>
      <c r="M312" s="11"/>
      <c r="N312" s="11" t="s">
        <v>9</v>
      </c>
      <c r="O312" s="3"/>
    </row>
    <row r="313" spans="1:15" x14ac:dyDescent="0.4">
      <c r="A313" s="3">
        <f t="shared" si="6"/>
        <v>309</v>
      </c>
      <c r="B313" s="16"/>
      <c r="C313" s="19"/>
      <c r="D313" s="16"/>
      <c r="E313" s="16"/>
      <c r="F313" s="19"/>
      <c r="G313" s="16"/>
      <c r="H313" s="19"/>
      <c r="I313" s="19"/>
      <c r="J313" s="15" t="s">
        <v>616</v>
      </c>
      <c r="K313" s="10"/>
      <c r="L313" s="8"/>
      <c r="M313" s="8"/>
      <c r="N313" s="8"/>
      <c r="O313" s="8"/>
    </row>
    <row r="314" spans="1:15" x14ac:dyDescent="0.4">
      <c r="A314" s="3">
        <f t="shared" si="6"/>
        <v>310</v>
      </c>
      <c r="B314" s="16"/>
      <c r="C314" s="19"/>
      <c r="D314" s="16"/>
      <c r="E314" s="16"/>
      <c r="F314" s="19"/>
      <c r="G314" s="16"/>
      <c r="H314" s="19"/>
      <c r="I314" s="19"/>
      <c r="J314" s="16"/>
      <c r="K314" s="14" t="s">
        <v>846</v>
      </c>
      <c r="L314" s="11" t="s">
        <v>10</v>
      </c>
      <c r="M314" s="11"/>
      <c r="N314" s="11" t="s">
        <v>10</v>
      </c>
      <c r="O314" s="3"/>
    </row>
    <row r="315" spans="1:15" x14ac:dyDescent="0.4">
      <c r="A315" s="3">
        <f t="shared" si="6"/>
        <v>311</v>
      </c>
      <c r="B315" s="16"/>
      <c r="C315" s="19"/>
      <c r="D315" s="16"/>
      <c r="E315" s="16"/>
      <c r="F315" s="19"/>
      <c r="G315" s="16"/>
      <c r="H315" s="19"/>
      <c r="I315" s="19"/>
      <c r="J315" s="16"/>
      <c r="K315" s="14" t="s">
        <v>617</v>
      </c>
      <c r="L315" s="11" t="s">
        <v>9</v>
      </c>
      <c r="M315" s="11"/>
      <c r="N315" s="11" t="s">
        <v>9</v>
      </c>
      <c r="O315" s="3"/>
    </row>
    <row r="316" spans="1:15" x14ac:dyDescent="0.4">
      <c r="A316" s="3">
        <f t="shared" si="6"/>
        <v>312</v>
      </c>
      <c r="B316" s="16"/>
      <c r="C316" s="19"/>
      <c r="D316" s="16"/>
      <c r="E316" s="16"/>
      <c r="F316" s="19"/>
      <c r="G316" s="16"/>
      <c r="H316" s="19"/>
      <c r="I316" s="20"/>
      <c r="J316" s="17"/>
      <c r="K316" s="14" t="s">
        <v>618</v>
      </c>
      <c r="L316" s="11" t="s">
        <v>10</v>
      </c>
      <c r="M316" s="11"/>
      <c r="N316" s="11" t="s">
        <v>10</v>
      </c>
      <c r="O316" s="3"/>
    </row>
    <row r="317" spans="1:15" x14ac:dyDescent="0.4">
      <c r="A317" s="3">
        <f t="shared" si="6"/>
        <v>313</v>
      </c>
      <c r="B317" s="16"/>
      <c r="C317" s="19"/>
      <c r="D317" s="16"/>
      <c r="E317" s="16"/>
      <c r="F317" s="19"/>
      <c r="G317" s="16"/>
      <c r="H317" s="19"/>
      <c r="I317" s="15" t="s">
        <v>1404</v>
      </c>
      <c r="J317" s="9"/>
      <c r="K317" s="10"/>
      <c r="L317" s="8"/>
      <c r="M317" s="8"/>
      <c r="N317" s="8"/>
      <c r="O317" s="8"/>
    </row>
    <row r="318" spans="1:15" x14ac:dyDescent="0.4">
      <c r="A318" s="3">
        <f t="shared" si="6"/>
        <v>314</v>
      </c>
      <c r="B318" s="16"/>
      <c r="C318" s="19"/>
      <c r="D318" s="16"/>
      <c r="E318" s="16"/>
      <c r="F318" s="19"/>
      <c r="G318" s="16"/>
      <c r="H318" s="19"/>
      <c r="I318" s="16"/>
      <c r="J318" s="26" t="s">
        <v>1405</v>
      </c>
      <c r="K318" s="14"/>
      <c r="L318" s="11" t="s">
        <v>36</v>
      </c>
      <c r="M318" s="11"/>
      <c r="N318" s="11" t="s">
        <v>36</v>
      </c>
      <c r="O318" s="3"/>
    </row>
    <row r="319" spans="1:15" x14ac:dyDescent="0.4">
      <c r="A319" s="3">
        <f t="shared" si="6"/>
        <v>315</v>
      </c>
      <c r="B319" s="16"/>
      <c r="C319" s="19"/>
      <c r="D319" s="16"/>
      <c r="E319" s="16"/>
      <c r="F319" s="19"/>
      <c r="G319" s="16"/>
      <c r="H319" s="19"/>
      <c r="I319" s="16"/>
      <c r="J319" s="37"/>
      <c r="K319" s="14" t="s">
        <v>847</v>
      </c>
      <c r="L319" s="3">
        <v>100000</v>
      </c>
      <c r="M319" s="3"/>
      <c r="N319" s="3">
        <v>100000</v>
      </c>
      <c r="O319" s="3"/>
    </row>
    <row r="320" spans="1:15" x14ac:dyDescent="0.4">
      <c r="A320" s="3">
        <f t="shared" si="6"/>
        <v>316</v>
      </c>
      <c r="B320" s="16"/>
      <c r="C320" s="19"/>
      <c r="D320" s="16"/>
      <c r="E320" s="16"/>
      <c r="F320" s="19"/>
      <c r="G320" s="16"/>
      <c r="H320" s="19"/>
      <c r="I320" s="16"/>
      <c r="J320" s="26" t="s">
        <v>1405</v>
      </c>
      <c r="K320" s="14"/>
      <c r="L320" s="11" t="s">
        <v>36</v>
      </c>
      <c r="M320" s="11"/>
      <c r="N320" s="11" t="s">
        <v>36</v>
      </c>
      <c r="O320" s="3"/>
    </row>
    <row r="321" spans="1:15" x14ac:dyDescent="0.4">
      <c r="A321" s="3">
        <f t="shared" si="6"/>
        <v>317</v>
      </c>
      <c r="B321" s="16"/>
      <c r="C321" s="19"/>
      <c r="D321" s="16"/>
      <c r="E321" s="16"/>
      <c r="F321" s="20"/>
      <c r="G321" s="17"/>
      <c r="H321" s="20"/>
      <c r="I321" s="17"/>
      <c r="J321" s="37"/>
      <c r="K321" s="14" t="s">
        <v>848</v>
      </c>
      <c r="L321" s="3">
        <v>3600</v>
      </c>
      <c r="M321" s="3"/>
      <c r="N321" s="3">
        <v>3600</v>
      </c>
      <c r="O321" s="3"/>
    </row>
    <row r="322" spans="1:15" x14ac:dyDescent="0.4">
      <c r="A322" s="3">
        <f t="shared" si="6"/>
        <v>318</v>
      </c>
      <c r="B322" s="16"/>
      <c r="C322" s="19"/>
      <c r="D322" s="16"/>
      <c r="E322" s="16"/>
      <c r="F322" s="26">
        <v>2</v>
      </c>
      <c r="G322" s="13"/>
      <c r="H322" s="13"/>
      <c r="I322" s="13"/>
      <c r="J322" s="13"/>
      <c r="K322" s="14"/>
      <c r="L322" s="11" t="s">
        <v>1240</v>
      </c>
      <c r="M322" s="11"/>
      <c r="N322" s="11" t="s">
        <v>1240</v>
      </c>
      <c r="O322" s="3"/>
    </row>
    <row r="323" spans="1:15" x14ac:dyDescent="0.4">
      <c r="A323" s="3">
        <f t="shared" si="6"/>
        <v>319</v>
      </c>
      <c r="B323" s="16"/>
      <c r="C323" s="19"/>
      <c r="D323" s="16"/>
      <c r="E323" s="16"/>
      <c r="F323" s="19"/>
      <c r="G323" s="27" t="s">
        <v>614</v>
      </c>
      <c r="H323" s="9"/>
      <c r="I323" s="9"/>
      <c r="J323" s="9"/>
      <c r="K323" s="10"/>
      <c r="L323" s="8"/>
      <c r="M323" s="8"/>
      <c r="N323" s="8"/>
      <c r="O323" s="8"/>
    </row>
    <row r="324" spans="1:15" x14ac:dyDescent="0.4">
      <c r="A324" s="3">
        <f t="shared" si="6"/>
        <v>320</v>
      </c>
      <c r="B324" s="16"/>
      <c r="C324" s="19"/>
      <c r="D324" s="16"/>
      <c r="E324" s="16"/>
      <c r="F324" s="19"/>
      <c r="G324" s="16"/>
      <c r="H324" s="13" t="s">
        <v>844</v>
      </c>
      <c r="I324" s="13"/>
      <c r="J324" s="13"/>
      <c r="K324" s="14"/>
      <c r="L324" s="11" t="s">
        <v>10</v>
      </c>
      <c r="M324" s="11"/>
      <c r="N324" s="11" t="s">
        <v>10</v>
      </c>
      <c r="O324" s="3"/>
    </row>
    <row r="325" spans="1:15" x14ac:dyDescent="0.4">
      <c r="A325" s="3">
        <f t="shared" si="6"/>
        <v>321</v>
      </c>
      <c r="B325" s="16"/>
      <c r="C325" s="19"/>
      <c r="D325" s="16"/>
      <c r="E325" s="16"/>
      <c r="F325" s="19"/>
      <c r="G325" s="16"/>
      <c r="H325" s="13" t="s">
        <v>845</v>
      </c>
      <c r="I325" s="13"/>
      <c r="J325" s="13"/>
      <c r="K325" s="14"/>
      <c r="L325" s="11" t="s">
        <v>10</v>
      </c>
      <c r="M325" s="11"/>
      <c r="N325" s="11" t="s">
        <v>10</v>
      </c>
      <c r="O325" s="3"/>
    </row>
    <row r="326" spans="1:15" x14ac:dyDescent="0.4">
      <c r="A326" s="3">
        <f t="shared" si="6"/>
        <v>322</v>
      </c>
      <c r="B326" s="16"/>
      <c r="C326" s="19"/>
      <c r="D326" s="16"/>
      <c r="E326" s="16"/>
      <c r="F326" s="19"/>
      <c r="G326" s="16"/>
      <c r="H326" s="26" t="s">
        <v>11</v>
      </c>
      <c r="I326" s="26"/>
      <c r="J326" s="26"/>
      <c r="K326" s="14"/>
      <c r="L326" s="11" t="s">
        <v>9</v>
      </c>
      <c r="M326" s="11"/>
      <c r="N326" s="11" t="s">
        <v>9</v>
      </c>
      <c r="O326" s="3"/>
    </row>
    <row r="327" spans="1:15" x14ac:dyDescent="0.4">
      <c r="A327" s="3">
        <f t="shared" si="6"/>
        <v>323</v>
      </c>
      <c r="B327" s="16"/>
      <c r="C327" s="19"/>
      <c r="D327" s="16"/>
      <c r="E327" s="16"/>
      <c r="F327" s="19"/>
      <c r="G327" s="16"/>
      <c r="H327" s="19"/>
      <c r="I327" s="18" t="s">
        <v>1402</v>
      </c>
      <c r="J327" s="26"/>
      <c r="K327" s="14"/>
      <c r="L327" s="11" t="s">
        <v>20</v>
      </c>
      <c r="M327" s="11"/>
      <c r="N327" s="11" t="s">
        <v>20</v>
      </c>
      <c r="O327" s="3"/>
    </row>
    <row r="328" spans="1:15" x14ac:dyDescent="0.4">
      <c r="A328" s="3">
        <f t="shared" si="6"/>
        <v>324</v>
      </c>
      <c r="B328" s="16"/>
      <c r="C328" s="19"/>
      <c r="D328" s="16"/>
      <c r="E328" s="16"/>
      <c r="F328" s="19"/>
      <c r="G328" s="16"/>
      <c r="H328" s="19"/>
      <c r="I328" s="19"/>
      <c r="J328" s="12" t="s">
        <v>615</v>
      </c>
      <c r="K328" s="14"/>
      <c r="L328" s="11" t="s">
        <v>10</v>
      </c>
      <c r="M328" s="11"/>
      <c r="N328" s="11" t="s">
        <v>10</v>
      </c>
      <c r="O328" s="3"/>
    </row>
    <row r="329" spans="1:15" x14ac:dyDescent="0.4">
      <c r="A329" s="3">
        <f t="shared" si="6"/>
        <v>325</v>
      </c>
      <c r="B329" s="16"/>
      <c r="C329" s="19"/>
      <c r="D329" s="16"/>
      <c r="E329" s="16"/>
      <c r="F329" s="19"/>
      <c r="G329" s="16"/>
      <c r="H329" s="19"/>
      <c r="I329" s="20"/>
      <c r="J329" s="12" t="s">
        <v>839</v>
      </c>
      <c r="K329" s="14"/>
      <c r="L329" s="11" t="s">
        <v>9</v>
      </c>
      <c r="M329" s="11"/>
      <c r="N329" s="11" t="s">
        <v>9</v>
      </c>
      <c r="O329" s="3"/>
    </row>
    <row r="330" spans="1:15" x14ac:dyDescent="0.4">
      <c r="A330" s="3">
        <f t="shared" si="6"/>
        <v>326</v>
      </c>
      <c r="B330" s="16"/>
      <c r="C330" s="19"/>
      <c r="D330" s="16"/>
      <c r="E330" s="16"/>
      <c r="F330" s="19"/>
      <c r="G330" s="16"/>
      <c r="H330" s="19"/>
      <c r="I330" s="18" t="s">
        <v>1403</v>
      </c>
      <c r="J330" s="13"/>
      <c r="K330" s="14"/>
      <c r="L330" s="11" t="s">
        <v>36</v>
      </c>
      <c r="M330" s="11"/>
      <c r="N330" s="11" t="s">
        <v>36</v>
      </c>
      <c r="O330" s="3"/>
    </row>
    <row r="331" spans="1:15" x14ac:dyDescent="0.4">
      <c r="A331" s="3">
        <f t="shared" si="6"/>
        <v>327</v>
      </c>
      <c r="B331" s="16"/>
      <c r="C331" s="19"/>
      <c r="D331" s="16"/>
      <c r="E331" s="16"/>
      <c r="F331" s="19"/>
      <c r="G331" s="16"/>
      <c r="H331" s="19"/>
      <c r="I331" s="19"/>
      <c r="J331" s="27" t="s">
        <v>620</v>
      </c>
      <c r="K331" s="10"/>
      <c r="L331" s="8"/>
      <c r="M331" s="8"/>
      <c r="N331" s="8"/>
      <c r="O331" s="8"/>
    </row>
    <row r="332" spans="1:15" x14ac:dyDescent="0.4">
      <c r="A332" s="3">
        <f t="shared" si="6"/>
        <v>328</v>
      </c>
      <c r="B332" s="16"/>
      <c r="C332" s="19"/>
      <c r="D332" s="16"/>
      <c r="E332" s="16"/>
      <c r="F332" s="19"/>
      <c r="G332" s="16"/>
      <c r="H332" s="19"/>
      <c r="I332" s="19"/>
      <c r="J332" s="28"/>
      <c r="K332" s="14" t="s">
        <v>846</v>
      </c>
      <c r="L332" s="11" t="s">
        <v>9</v>
      </c>
      <c r="M332" s="11"/>
      <c r="N332" s="11" t="s">
        <v>9</v>
      </c>
      <c r="O332" s="3"/>
    </row>
    <row r="333" spans="1:15" x14ac:dyDescent="0.4">
      <c r="A333" s="3">
        <f t="shared" si="6"/>
        <v>329</v>
      </c>
      <c r="B333" s="16"/>
      <c r="C333" s="19"/>
      <c r="D333" s="16"/>
      <c r="E333" s="16"/>
      <c r="F333" s="19"/>
      <c r="G333" s="16"/>
      <c r="H333" s="19"/>
      <c r="I333" s="19"/>
      <c r="J333" s="28"/>
      <c r="K333" s="14" t="s">
        <v>615</v>
      </c>
      <c r="L333" s="11" t="s">
        <v>10</v>
      </c>
      <c r="M333" s="11"/>
      <c r="N333" s="11" t="s">
        <v>10</v>
      </c>
      <c r="O333" s="3"/>
    </row>
    <row r="334" spans="1:15" x14ac:dyDescent="0.4">
      <c r="A334" s="3">
        <f t="shared" si="6"/>
        <v>330</v>
      </c>
      <c r="B334" s="16"/>
      <c r="C334" s="19"/>
      <c r="D334" s="16"/>
      <c r="E334" s="16"/>
      <c r="F334" s="19"/>
      <c r="G334" s="16"/>
      <c r="H334" s="19"/>
      <c r="I334" s="19"/>
      <c r="J334" s="29"/>
      <c r="K334" s="14" t="s">
        <v>839</v>
      </c>
      <c r="L334" s="11" t="s">
        <v>10</v>
      </c>
      <c r="M334" s="11"/>
      <c r="N334" s="11" t="s">
        <v>10</v>
      </c>
      <c r="O334" s="3"/>
    </row>
    <row r="335" spans="1:15" x14ac:dyDescent="0.4">
      <c r="A335" s="3">
        <f t="shared" si="6"/>
        <v>331</v>
      </c>
      <c r="B335" s="16"/>
      <c r="C335" s="19"/>
      <c r="D335" s="16"/>
      <c r="E335" s="16"/>
      <c r="F335" s="19"/>
      <c r="G335" s="16"/>
      <c r="H335" s="19"/>
      <c r="I335" s="19"/>
      <c r="J335" s="15" t="s">
        <v>616</v>
      </c>
      <c r="K335" s="10"/>
      <c r="L335" s="8"/>
      <c r="M335" s="8"/>
      <c r="N335" s="8"/>
      <c r="O335" s="8"/>
    </row>
    <row r="336" spans="1:15" x14ac:dyDescent="0.4">
      <c r="A336" s="3">
        <f t="shared" si="6"/>
        <v>332</v>
      </c>
      <c r="B336" s="16"/>
      <c r="C336" s="19"/>
      <c r="D336" s="16"/>
      <c r="E336" s="16"/>
      <c r="F336" s="19"/>
      <c r="G336" s="16"/>
      <c r="H336" s="19"/>
      <c r="I336" s="19"/>
      <c r="J336" s="16"/>
      <c r="K336" s="14" t="s">
        <v>846</v>
      </c>
      <c r="L336" s="11" t="s">
        <v>9</v>
      </c>
      <c r="M336" s="11"/>
      <c r="N336" s="11" t="s">
        <v>9</v>
      </c>
      <c r="O336" s="3"/>
    </row>
    <row r="337" spans="1:15" x14ac:dyDescent="0.4">
      <c r="A337" s="3">
        <f t="shared" si="6"/>
        <v>333</v>
      </c>
      <c r="B337" s="16"/>
      <c r="C337" s="19"/>
      <c r="D337" s="16"/>
      <c r="E337" s="16"/>
      <c r="F337" s="19"/>
      <c r="G337" s="16"/>
      <c r="H337" s="19"/>
      <c r="I337" s="19"/>
      <c r="J337" s="16"/>
      <c r="K337" s="14" t="s">
        <v>617</v>
      </c>
      <c r="L337" s="11" t="s">
        <v>10</v>
      </c>
      <c r="M337" s="11"/>
      <c r="N337" s="11" t="s">
        <v>10</v>
      </c>
      <c r="O337" s="3"/>
    </row>
    <row r="338" spans="1:15" x14ac:dyDescent="0.4">
      <c r="A338" s="3">
        <f t="shared" si="6"/>
        <v>334</v>
      </c>
      <c r="B338" s="16"/>
      <c r="C338" s="19"/>
      <c r="D338" s="16"/>
      <c r="E338" s="16"/>
      <c r="F338" s="19"/>
      <c r="G338" s="16"/>
      <c r="H338" s="19"/>
      <c r="I338" s="20"/>
      <c r="J338" s="17"/>
      <c r="K338" s="14" t="s">
        <v>618</v>
      </c>
      <c r="L338" s="11" t="s">
        <v>10</v>
      </c>
      <c r="M338" s="11"/>
      <c r="N338" s="11" t="s">
        <v>10</v>
      </c>
      <c r="O338" s="3"/>
    </row>
    <row r="339" spans="1:15" x14ac:dyDescent="0.4">
      <c r="A339" s="3">
        <f t="shared" si="6"/>
        <v>335</v>
      </c>
      <c r="B339" s="16"/>
      <c r="C339" s="19"/>
      <c r="D339" s="16"/>
      <c r="E339" s="16"/>
      <c r="F339" s="19"/>
      <c r="G339" s="16"/>
      <c r="H339" s="19"/>
      <c r="I339" s="15" t="s">
        <v>1404</v>
      </c>
      <c r="J339" s="9"/>
      <c r="K339" s="10"/>
      <c r="L339" s="8"/>
      <c r="M339" s="8"/>
      <c r="N339" s="8"/>
      <c r="O339" s="8"/>
    </row>
    <row r="340" spans="1:15" x14ac:dyDescent="0.4">
      <c r="A340" s="3">
        <f t="shared" si="6"/>
        <v>336</v>
      </c>
      <c r="B340" s="16"/>
      <c r="C340" s="19"/>
      <c r="D340" s="16"/>
      <c r="E340" s="16"/>
      <c r="F340" s="19"/>
      <c r="G340" s="16"/>
      <c r="H340" s="19"/>
      <c r="I340" s="16"/>
      <c r="J340" s="26" t="s">
        <v>1405</v>
      </c>
      <c r="K340" s="14"/>
      <c r="L340" s="11" t="s">
        <v>36</v>
      </c>
      <c r="M340" s="11"/>
      <c r="N340" s="11" t="s">
        <v>36</v>
      </c>
      <c r="O340" s="3"/>
    </row>
    <row r="341" spans="1:15" x14ac:dyDescent="0.4">
      <c r="A341" s="3">
        <f t="shared" si="6"/>
        <v>337</v>
      </c>
      <c r="B341" s="16"/>
      <c r="C341" s="19"/>
      <c r="D341" s="16"/>
      <c r="E341" s="16"/>
      <c r="F341" s="19"/>
      <c r="G341" s="16"/>
      <c r="H341" s="19"/>
      <c r="I341" s="16"/>
      <c r="J341" s="37"/>
      <c r="K341" s="14" t="s">
        <v>847</v>
      </c>
      <c r="L341" s="3">
        <v>100000</v>
      </c>
      <c r="M341" s="3"/>
      <c r="N341" s="3">
        <v>100000</v>
      </c>
      <c r="O341" s="3"/>
    </row>
    <row r="342" spans="1:15" x14ac:dyDescent="0.4">
      <c r="A342" s="3">
        <f t="shared" si="6"/>
        <v>338</v>
      </c>
      <c r="B342" s="16"/>
      <c r="C342" s="19"/>
      <c r="D342" s="16"/>
      <c r="E342" s="16"/>
      <c r="F342" s="19"/>
      <c r="G342" s="16"/>
      <c r="H342" s="19"/>
      <c r="I342" s="16"/>
      <c r="J342" s="26" t="s">
        <v>1405</v>
      </c>
      <c r="K342" s="14"/>
      <c r="L342" s="11" t="s">
        <v>36</v>
      </c>
      <c r="M342" s="11"/>
      <c r="N342" s="11" t="s">
        <v>36</v>
      </c>
      <c r="O342" s="3"/>
    </row>
    <row r="343" spans="1:15" x14ac:dyDescent="0.4">
      <c r="A343" s="3">
        <f t="shared" si="6"/>
        <v>339</v>
      </c>
      <c r="B343" s="16"/>
      <c r="C343" s="19"/>
      <c r="D343" s="16"/>
      <c r="E343" s="16"/>
      <c r="F343" s="20"/>
      <c r="G343" s="17"/>
      <c r="H343" s="20"/>
      <c r="I343" s="17"/>
      <c r="J343" s="37"/>
      <c r="K343" s="14" t="s">
        <v>848</v>
      </c>
      <c r="L343" s="3">
        <v>3600</v>
      </c>
      <c r="M343" s="3"/>
      <c r="N343" s="3">
        <v>3600</v>
      </c>
      <c r="O343" s="3"/>
    </row>
    <row r="344" spans="1:15" x14ac:dyDescent="0.4">
      <c r="A344" s="3">
        <f t="shared" si="6"/>
        <v>340</v>
      </c>
      <c r="B344" s="16"/>
      <c r="C344" s="19"/>
      <c r="D344" s="16"/>
      <c r="E344" s="17"/>
      <c r="F344" s="12" t="s">
        <v>1406</v>
      </c>
      <c r="G344" s="13"/>
      <c r="H344" s="13"/>
      <c r="I344" s="13"/>
      <c r="J344" s="13"/>
      <c r="K344" s="14"/>
      <c r="L344" s="11" t="s">
        <v>36</v>
      </c>
      <c r="M344" s="11"/>
      <c r="N344" s="11" t="s">
        <v>36</v>
      </c>
      <c r="O344" s="3"/>
    </row>
    <row r="345" spans="1:15" x14ac:dyDescent="0.4">
      <c r="A345" s="3">
        <f t="shared" si="6"/>
        <v>341</v>
      </c>
      <c r="B345" s="16"/>
      <c r="C345" s="19"/>
      <c r="D345" s="16"/>
      <c r="E345" s="21" t="s">
        <v>621</v>
      </c>
      <c r="F345" s="9"/>
      <c r="G345" s="9"/>
      <c r="H345" s="9"/>
      <c r="I345" s="9"/>
      <c r="J345" s="9"/>
      <c r="K345" s="10"/>
      <c r="L345" s="8"/>
      <c r="M345" s="8"/>
      <c r="N345" s="8"/>
      <c r="O345" s="8"/>
    </row>
    <row r="346" spans="1:15" x14ac:dyDescent="0.4">
      <c r="A346" s="3">
        <f t="shared" si="6"/>
        <v>342</v>
      </c>
      <c r="B346" s="16"/>
      <c r="C346" s="19"/>
      <c r="D346" s="16"/>
      <c r="E346" s="16"/>
      <c r="F346" s="22">
        <v>1</v>
      </c>
      <c r="G346" s="13"/>
      <c r="H346" s="13"/>
      <c r="I346" s="13"/>
      <c r="J346" s="13"/>
      <c r="K346" s="14"/>
      <c r="L346" s="11" t="s">
        <v>1240</v>
      </c>
      <c r="M346" s="11"/>
      <c r="N346" s="11" t="s">
        <v>1240</v>
      </c>
      <c r="O346" s="3"/>
    </row>
    <row r="347" spans="1:15" x14ac:dyDescent="0.4">
      <c r="A347" s="3">
        <f t="shared" si="6"/>
        <v>343</v>
      </c>
      <c r="B347" s="16"/>
      <c r="C347" s="19"/>
      <c r="D347" s="16"/>
      <c r="E347" s="16"/>
      <c r="F347" s="19"/>
      <c r="G347" s="21" t="s">
        <v>621</v>
      </c>
      <c r="H347" s="9"/>
      <c r="I347" s="9"/>
      <c r="J347" s="9"/>
      <c r="K347" s="10"/>
      <c r="L347" s="8"/>
      <c r="M347" s="8"/>
      <c r="N347" s="8"/>
      <c r="O347" s="8"/>
    </row>
    <row r="348" spans="1:15" x14ac:dyDescent="0.4">
      <c r="A348" s="3">
        <f t="shared" si="6"/>
        <v>344</v>
      </c>
      <c r="B348" s="16"/>
      <c r="C348" s="19"/>
      <c r="D348" s="16"/>
      <c r="E348" s="16"/>
      <c r="F348" s="19"/>
      <c r="G348" s="16"/>
      <c r="H348" s="12" t="s">
        <v>849</v>
      </c>
      <c r="I348" s="13"/>
      <c r="J348" s="13"/>
      <c r="K348" s="14"/>
      <c r="L348" s="11" t="s">
        <v>9</v>
      </c>
      <c r="M348" s="11"/>
      <c r="N348" s="11" t="s">
        <v>9</v>
      </c>
      <c r="O348" s="3"/>
    </row>
    <row r="349" spans="1:15" x14ac:dyDescent="0.4">
      <c r="A349" s="3">
        <f t="shared" si="6"/>
        <v>345</v>
      </c>
      <c r="B349" s="16"/>
      <c r="C349" s="19"/>
      <c r="D349" s="16"/>
      <c r="E349" s="16"/>
      <c r="F349" s="19"/>
      <c r="G349" s="16"/>
      <c r="H349" s="18" t="s">
        <v>850</v>
      </c>
      <c r="I349" s="34"/>
      <c r="J349" s="34"/>
      <c r="K349" s="14"/>
      <c r="L349" s="11" t="s">
        <v>10</v>
      </c>
      <c r="M349" s="11"/>
      <c r="N349" s="11" t="s">
        <v>10</v>
      </c>
      <c r="O349" s="3"/>
    </row>
    <row r="350" spans="1:15" x14ac:dyDescent="0.4">
      <c r="A350" s="3">
        <f t="shared" si="6"/>
        <v>346</v>
      </c>
      <c r="B350" s="16"/>
      <c r="C350" s="19"/>
      <c r="D350" s="16"/>
      <c r="E350" s="16"/>
      <c r="F350" s="19"/>
      <c r="G350" s="16"/>
      <c r="H350" s="19"/>
      <c r="I350" s="12" t="s">
        <v>851</v>
      </c>
      <c r="J350" s="13"/>
      <c r="K350" s="14"/>
      <c r="L350" s="11" t="s">
        <v>1240</v>
      </c>
      <c r="M350" s="11"/>
      <c r="N350" s="11" t="s">
        <v>1240</v>
      </c>
      <c r="O350" s="3"/>
    </row>
    <row r="351" spans="1:15" x14ac:dyDescent="0.4">
      <c r="A351" s="3">
        <f t="shared" si="6"/>
        <v>347</v>
      </c>
      <c r="B351" s="16"/>
      <c r="C351" s="19"/>
      <c r="D351" s="16"/>
      <c r="E351" s="16"/>
      <c r="F351" s="19"/>
      <c r="G351" s="16"/>
      <c r="H351" s="19"/>
      <c r="I351" s="12" t="s">
        <v>852</v>
      </c>
      <c r="J351" s="13"/>
      <c r="K351" s="14"/>
      <c r="L351" s="11" t="s">
        <v>36</v>
      </c>
      <c r="M351" s="11"/>
      <c r="N351" s="11" t="s">
        <v>36</v>
      </c>
      <c r="O351" s="3"/>
    </row>
    <row r="352" spans="1:15" x14ac:dyDescent="0.4">
      <c r="A352" s="3">
        <f t="shared" si="6"/>
        <v>348</v>
      </c>
      <c r="B352" s="16"/>
      <c r="C352" s="19"/>
      <c r="D352" s="16"/>
      <c r="E352" s="16"/>
      <c r="F352" s="19"/>
      <c r="G352" s="16"/>
      <c r="H352" s="19"/>
      <c r="I352" s="12" t="s">
        <v>622</v>
      </c>
      <c r="J352" s="13"/>
      <c r="K352" s="14"/>
      <c r="L352" s="11" t="s">
        <v>36</v>
      </c>
      <c r="M352" s="11"/>
      <c r="N352" s="11" t="s">
        <v>36</v>
      </c>
      <c r="O352" s="3"/>
    </row>
    <row r="353" spans="1:15" x14ac:dyDescent="0.4">
      <c r="A353" s="3">
        <f t="shared" si="6"/>
        <v>349</v>
      </c>
      <c r="B353" s="16"/>
      <c r="C353" s="19"/>
      <c r="D353" s="16"/>
      <c r="E353" s="16"/>
      <c r="F353" s="19"/>
      <c r="G353" s="16"/>
      <c r="H353" s="18" t="s">
        <v>1407</v>
      </c>
      <c r="I353" s="13"/>
      <c r="J353" s="13"/>
      <c r="K353" s="14"/>
      <c r="L353" s="11" t="s">
        <v>10</v>
      </c>
      <c r="M353" s="11"/>
      <c r="N353" s="11" t="s">
        <v>10</v>
      </c>
      <c r="O353" s="3"/>
    </row>
    <row r="354" spans="1:15" x14ac:dyDescent="0.4">
      <c r="A354" s="3">
        <f t="shared" si="6"/>
        <v>350</v>
      </c>
      <c r="B354" s="17"/>
      <c r="C354" s="20"/>
      <c r="D354" s="17"/>
      <c r="E354" s="17"/>
      <c r="F354" s="20"/>
      <c r="G354" s="17"/>
      <c r="H354" s="20"/>
      <c r="I354" s="12" t="s">
        <v>853</v>
      </c>
      <c r="J354" s="13"/>
      <c r="K354" s="14"/>
      <c r="L354" s="11" t="s">
        <v>1240</v>
      </c>
      <c r="M354" s="11"/>
      <c r="N354" s="11" t="s">
        <v>1240</v>
      </c>
      <c r="O354" s="3"/>
    </row>
    <row r="355" spans="1:15" x14ac:dyDescent="0.4">
      <c r="A355" s="3">
        <f t="shared" si="6"/>
        <v>351</v>
      </c>
      <c r="B355" s="21" t="s">
        <v>1408</v>
      </c>
      <c r="C355" s="9"/>
      <c r="D355" s="9"/>
      <c r="E355" s="9"/>
      <c r="F355" s="9"/>
      <c r="G355" s="9"/>
      <c r="H355" s="9"/>
      <c r="I355" s="9"/>
      <c r="J355" s="9"/>
      <c r="K355" s="10"/>
      <c r="L355" s="8"/>
      <c r="M355" s="8"/>
      <c r="N355" s="8"/>
      <c r="O355" s="8"/>
    </row>
    <row r="356" spans="1:15" x14ac:dyDescent="0.4">
      <c r="A356" s="3">
        <f t="shared" si="6"/>
        <v>352</v>
      </c>
      <c r="B356" s="16"/>
      <c r="C356" s="15" t="s">
        <v>1409</v>
      </c>
      <c r="D356" s="9"/>
      <c r="E356" s="9"/>
      <c r="F356" s="9"/>
      <c r="G356" s="9"/>
      <c r="H356" s="9"/>
      <c r="I356" s="9"/>
      <c r="J356" s="9"/>
      <c r="K356" s="10"/>
      <c r="L356" s="8"/>
      <c r="M356" s="8"/>
      <c r="N356" s="8"/>
      <c r="O356" s="8"/>
    </row>
    <row r="357" spans="1:15" x14ac:dyDescent="0.4">
      <c r="A357" s="3">
        <f t="shared" si="6"/>
        <v>353</v>
      </c>
      <c r="B357" s="16"/>
      <c r="C357" s="16"/>
      <c r="D357" s="21" t="s">
        <v>854</v>
      </c>
      <c r="E357" s="9"/>
      <c r="F357" s="9"/>
      <c r="G357" s="9"/>
      <c r="H357" s="9"/>
      <c r="I357" s="33"/>
      <c r="J357" s="9"/>
      <c r="K357" s="10"/>
      <c r="L357" s="8"/>
      <c r="M357" s="8"/>
      <c r="N357" s="8"/>
      <c r="O357" s="8"/>
    </row>
    <row r="358" spans="1:15" x14ac:dyDescent="0.4">
      <c r="A358" s="3">
        <f t="shared" si="6"/>
        <v>354</v>
      </c>
      <c r="B358" s="16"/>
      <c r="C358" s="16"/>
      <c r="D358" s="16"/>
      <c r="E358" s="15" t="s">
        <v>855</v>
      </c>
      <c r="F358" s="9"/>
      <c r="G358" s="9"/>
      <c r="H358" s="9"/>
      <c r="I358" s="9"/>
      <c r="J358" s="9"/>
      <c r="K358" s="10"/>
      <c r="L358" s="2"/>
      <c r="M358" s="2"/>
      <c r="N358" s="2"/>
      <c r="O358" s="8"/>
    </row>
    <row r="359" spans="1:15" x14ac:dyDescent="0.4">
      <c r="A359" s="3">
        <f t="shared" si="6"/>
        <v>355</v>
      </c>
      <c r="B359" s="16"/>
      <c r="C359" s="16"/>
      <c r="D359" s="16"/>
      <c r="E359" s="16"/>
      <c r="F359" s="26" t="s">
        <v>857</v>
      </c>
      <c r="G359" s="13"/>
      <c r="H359" s="13"/>
      <c r="I359" s="13"/>
      <c r="J359" s="13"/>
      <c r="K359" s="14"/>
      <c r="L359" s="11" t="s">
        <v>36</v>
      </c>
      <c r="M359" s="11"/>
      <c r="N359" s="11" t="s">
        <v>36</v>
      </c>
      <c r="O359" s="3"/>
    </row>
    <row r="360" spans="1:15" x14ac:dyDescent="0.4">
      <c r="A360" s="3">
        <f t="shared" si="6"/>
        <v>356</v>
      </c>
      <c r="B360" s="16"/>
      <c r="C360" s="16"/>
      <c r="D360" s="16"/>
      <c r="E360" s="16"/>
      <c r="F360" s="32"/>
      <c r="G360" s="13" t="s">
        <v>858</v>
      </c>
      <c r="H360" s="13"/>
      <c r="I360" s="13"/>
      <c r="J360" s="13"/>
      <c r="K360" s="14"/>
      <c r="L360" s="11" t="s">
        <v>36</v>
      </c>
      <c r="M360" s="11"/>
      <c r="N360" s="11" t="s">
        <v>36</v>
      </c>
      <c r="O360" s="3"/>
    </row>
    <row r="361" spans="1:15" x14ac:dyDescent="0.4">
      <c r="A361" s="3">
        <f t="shared" si="6"/>
        <v>357</v>
      </c>
      <c r="B361" s="16"/>
      <c r="C361" s="16"/>
      <c r="D361" s="16"/>
      <c r="E361" s="17"/>
      <c r="F361" s="37"/>
      <c r="G361" s="13" t="s">
        <v>859</v>
      </c>
      <c r="H361" s="13"/>
      <c r="I361" s="13"/>
      <c r="J361" s="13"/>
      <c r="K361" s="14"/>
      <c r="L361" s="11" t="s">
        <v>36</v>
      </c>
      <c r="M361" s="11"/>
      <c r="N361" s="11" t="s">
        <v>36</v>
      </c>
      <c r="O361" s="3"/>
    </row>
    <row r="362" spans="1:15" x14ac:dyDescent="0.4">
      <c r="A362" s="3">
        <f t="shared" si="6"/>
        <v>358</v>
      </c>
      <c r="B362" s="16"/>
      <c r="C362" s="16"/>
      <c r="D362" s="16"/>
      <c r="E362" s="15" t="s">
        <v>1410</v>
      </c>
      <c r="F362" s="9"/>
      <c r="G362" s="9"/>
      <c r="H362" s="9"/>
      <c r="I362" s="9"/>
      <c r="J362" s="9"/>
      <c r="K362" s="10"/>
      <c r="L362" s="2"/>
      <c r="M362" s="2"/>
      <c r="N362" s="2"/>
      <c r="O362" s="8"/>
    </row>
    <row r="363" spans="1:15" x14ac:dyDescent="0.4">
      <c r="A363" s="3">
        <f t="shared" si="6"/>
        <v>359</v>
      </c>
      <c r="B363" s="16"/>
      <c r="C363" s="16"/>
      <c r="D363" s="16"/>
      <c r="E363" s="16"/>
      <c r="F363" s="26" t="s">
        <v>857</v>
      </c>
      <c r="G363" s="13"/>
      <c r="H363" s="13"/>
      <c r="I363" s="13"/>
      <c r="J363" s="13"/>
      <c r="K363" s="14"/>
      <c r="L363" s="11" t="s">
        <v>36</v>
      </c>
      <c r="M363" s="11"/>
      <c r="N363" s="11" t="s">
        <v>36</v>
      </c>
      <c r="O363" s="3"/>
    </row>
    <row r="364" spans="1:15" x14ac:dyDescent="0.4">
      <c r="A364" s="3">
        <f t="shared" si="6"/>
        <v>360</v>
      </c>
      <c r="B364" s="16"/>
      <c r="C364" s="16"/>
      <c r="D364" s="16"/>
      <c r="E364" s="16"/>
      <c r="F364" s="32"/>
      <c r="G364" s="13" t="s">
        <v>858</v>
      </c>
      <c r="H364" s="13"/>
      <c r="I364" s="13"/>
      <c r="J364" s="13"/>
      <c r="K364" s="14"/>
      <c r="L364" s="11" t="s">
        <v>36</v>
      </c>
      <c r="M364" s="11"/>
      <c r="N364" s="11" t="s">
        <v>36</v>
      </c>
      <c r="O364" s="3"/>
    </row>
    <row r="365" spans="1:15" x14ac:dyDescent="0.4">
      <c r="A365" s="3">
        <f t="shared" si="6"/>
        <v>361</v>
      </c>
      <c r="B365" s="16"/>
      <c r="C365" s="16"/>
      <c r="D365" s="16"/>
      <c r="E365" s="17"/>
      <c r="F365" s="37"/>
      <c r="G365" s="13" t="s">
        <v>859</v>
      </c>
      <c r="H365" s="13"/>
      <c r="I365" s="13"/>
      <c r="J365" s="13"/>
      <c r="K365" s="14"/>
      <c r="L365" s="11" t="s">
        <v>36</v>
      </c>
      <c r="M365" s="11"/>
      <c r="N365" s="11" t="s">
        <v>36</v>
      </c>
      <c r="O365" s="3"/>
    </row>
    <row r="366" spans="1:15" x14ac:dyDescent="0.4">
      <c r="A366" s="3">
        <f t="shared" si="6"/>
        <v>362</v>
      </c>
      <c r="B366" s="16"/>
      <c r="C366" s="16"/>
      <c r="D366" s="16"/>
      <c r="E366" s="15" t="s">
        <v>1411</v>
      </c>
      <c r="F366" s="9"/>
      <c r="G366" s="9"/>
      <c r="H366" s="9"/>
      <c r="I366" s="9"/>
      <c r="J366" s="9"/>
      <c r="K366" s="10"/>
      <c r="L366" s="2"/>
      <c r="M366" s="2"/>
      <c r="N366" s="2"/>
      <c r="O366" s="8"/>
    </row>
    <row r="367" spans="1:15" x14ac:dyDescent="0.4">
      <c r="A367" s="3">
        <f t="shared" si="6"/>
        <v>363</v>
      </c>
      <c r="B367" s="16"/>
      <c r="C367" s="16"/>
      <c r="D367" s="16"/>
      <c r="E367" s="16"/>
      <c r="F367" s="26" t="s">
        <v>857</v>
      </c>
      <c r="G367" s="13"/>
      <c r="H367" s="13"/>
      <c r="I367" s="13"/>
      <c r="J367" s="13"/>
      <c r="K367" s="14"/>
      <c r="L367" s="11" t="s">
        <v>36</v>
      </c>
      <c r="M367" s="11"/>
      <c r="N367" s="11" t="s">
        <v>36</v>
      </c>
      <c r="O367" s="3"/>
    </row>
    <row r="368" spans="1:15" x14ac:dyDescent="0.4">
      <c r="A368" s="3">
        <f t="shared" si="6"/>
        <v>364</v>
      </c>
      <c r="B368" s="16"/>
      <c r="C368" s="16"/>
      <c r="D368" s="16"/>
      <c r="E368" s="16"/>
      <c r="F368" s="32"/>
      <c r="G368" s="13" t="s">
        <v>858</v>
      </c>
      <c r="H368" s="13"/>
      <c r="I368" s="13"/>
      <c r="J368" s="13"/>
      <c r="K368" s="14"/>
      <c r="L368" s="11" t="s">
        <v>36</v>
      </c>
      <c r="M368" s="11"/>
      <c r="N368" s="11" t="s">
        <v>36</v>
      </c>
      <c r="O368" s="3"/>
    </row>
    <row r="369" spans="1:15" x14ac:dyDescent="0.4">
      <c r="A369" s="3">
        <f t="shared" ref="A369:A432" si="7">A368+1</f>
        <v>365</v>
      </c>
      <c r="B369" s="16"/>
      <c r="C369" s="16"/>
      <c r="D369" s="16"/>
      <c r="E369" s="17"/>
      <c r="F369" s="37"/>
      <c r="G369" s="13" t="s">
        <v>859</v>
      </c>
      <c r="H369" s="13"/>
      <c r="I369" s="13"/>
      <c r="J369" s="13"/>
      <c r="K369" s="14"/>
      <c r="L369" s="11" t="s">
        <v>36</v>
      </c>
      <c r="M369" s="11"/>
      <c r="N369" s="11" t="s">
        <v>36</v>
      </c>
      <c r="O369" s="3"/>
    </row>
    <row r="370" spans="1:15" x14ac:dyDescent="0.4">
      <c r="A370" s="3">
        <f t="shared" si="7"/>
        <v>366</v>
      </c>
      <c r="B370" s="16"/>
      <c r="C370" s="16"/>
      <c r="D370" s="16"/>
      <c r="E370" s="15" t="s">
        <v>856</v>
      </c>
      <c r="F370" s="9"/>
      <c r="G370" s="9"/>
      <c r="H370" s="9"/>
      <c r="I370" s="9"/>
      <c r="J370" s="9"/>
      <c r="K370" s="10"/>
      <c r="L370" s="2"/>
      <c r="M370" s="2"/>
      <c r="N370" s="2"/>
      <c r="O370" s="8"/>
    </row>
    <row r="371" spans="1:15" x14ac:dyDescent="0.4">
      <c r="A371" s="3">
        <f t="shared" si="7"/>
        <v>367</v>
      </c>
      <c r="B371" s="16"/>
      <c r="C371" s="16"/>
      <c r="D371" s="16"/>
      <c r="E371" s="16"/>
      <c r="F371" s="26" t="s">
        <v>857</v>
      </c>
      <c r="G371" s="13"/>
      <c r="H371" s="13"/>
      <c r="I371" s="13"/>
      <c r="J371" s="13"/>
      <c r="K371" s="14"/>
      <c r="L371" s="11" t="s">
        <v>36</v>
      </c>
      <c r="M371" s="11"/>
      <c r="N371" s="11" t="s">
        <v>36</v>
      </c>
      <c r="O371" s="3"/>
    </row>
    <row r="372" spans="1:15" x14ac:dyDescent="0.4">
      <c r="A372" s="3">
        <f t="shared" si="7"/>
        <v>368</v>
      </c>
      <c r="B372" s="16"/>
      <c r="C372" s="16"/>
      <c r="D372" s="16"/>
      <c r="E372" s="16"/>
      <c r="F372" s="32"/>
      <c r="G372" s="13" t="s">
        <v>858</v>
      </c>
      <c r="H372" s="13"/>
      <c r="I372" s="13"/>
      <c r="J372" s="13"/>
      <c r="K372" s="14"/>
      <c r="L372" s="11" t="s">
        <v>36</v>
      </c>
      <c r="M372" s="11"/>
      <c r="N372" s="11" t="s">
        <v>36</v>
      </c>
      <c r="O372" s="3"/>
    </row>
    <row r="373" spans="1:15" x14ac:dyDescent="0.4">
      <c r="A373" s="3">
        <f t="shared" si="7"/>
        <v>369</v>
      </c>
      <c r="B373" s="16"/>
      <c r="C373" s="16"/>
      <c r="D373" s="17"/>
      <c r="E373" s="17"/>
      <c r="F373" s="37"/>
      <c r="G373" s="13" t="s">
        <v>859</v>
      </c>
      <c r="H373" s="13"/>
      <c r="I373" s="13"/>
      <c r="J373" s="13"/>
      <c r="K373" s="14"/>
      <c r="L373" s="11" t="s">
        <v>36</v>
      </c>
      <c r="M373" s="11"/>
      <c r="N373" s="11" t="s">
        <v>36</v>
      </c>
      <c r="O373" s="3"/>
    </row>
    <row r="374" spans="1:15" x14ac:dyDescent="0.4">
      <c r="A374" s="3">
        <f t="shared" si="7"/>
        <v>370</v>
      </c>
      <c r="B374" s="16"/>
      <c r="C374" s="16"/>
      <c r="D374" s="15" t="s">
        <v>860</v>
      </c>
      <c r="E374" s="9"/>
      <c r="F374" s="9"/>
      <c r="G374" s="9"/>
      <c r="H374" s="9"/>
      <c r="I374" s="9"/>
      <c r="J374" s="9"/>
      <c r="K374" s="10"/>
      <c r="L374" s="8"/>
      <c r="M374" s="8"/>
      <c r="N374" s="8"/>
      <c r="O374" s="8"/>
    </row>
    <row r="375" spans="1:15" x14ac:dyDescent="0.4">
      <c r="A375" s="3">
        <f t="shared" si="7"/>
        <v>371</v>
      </c>
      <c r="B375" s="16"/>
      <c r="C375" s="16"/>
      <c r="D375" s="16"/>
      <c r="E375" s="15" t="s">
        <v>1412</v>
      </c>
      <c r="F375" s="9"/>
      <c r="G375" s="9"/>
      <c r="H375" s="9"/>
      <c r="I375" s="9"/>
      <c r="J375" s="9"/>
      <c r="K375" s="10"/>
      <c r="L375" s="2"/>
      <c r="M375" s="2"/>
      <c r="N375" s="2"/>
      <c r="O375" s="8"/>
    </row>
    <row r="376" spans="1:15" x14ac:dyDescent="0.4">
      <c r="A376" s="3">
        <f t="shared" si="7"/>
        <v>372</v>
      </c>
      <c r="B376" s="16"/>
      <c r="C376" s="16"/>
      <c r="D376" s="16"/>
      <c r="E376" s="16"/>
      <c r="F376" s="26" t="s">
        <v>857</v>
      </c>
      <c r="G376" s="13"/>
      <c r="H376" s="13"/>
      <c r="I376" s="13"/>
      <c r="J376" s="13"/>
      <c r="K376" s="14"/>
      <c r="L376" s="11" t="s">
        <v>36</v>
      </c>
      <c r="M376" s="11"/>
      <c r="N376" s="11" t="s">
        <v>36</v>
      </c>
      <c r="O376" s="3"/>
    </row>
    <row r="377" spans="1:15" x14ac:dyDescent="0.4">
      <c r="A377" s="3">
        <f t="shared" si="7"/>
        <v>373</v>
      </c>
      <c r="B377" s="16"/>
      <c r="C377" s="16"/>
      <c r="D377" s="16"/>
      <c r="E377" s="16"/>
      <c r="F377" s="32"/>
      <c r="G377" s="13" t="s">
        <v>858</v>
      </c>
      <c r="H377" s="13"/>
      <c r="I377" s="13"/>
      <c r="J377" s="13"/>
      <c r="K377" s="14"/>
      <c r="L377" s="11" t="s">
        <v>36</v>
      </c>
      <c r="M377" s="11"/>
      <c r="N377" s="11" t="s">
        <v>36</v>
      </c>
      <c r="O377" s="3"/>
    </row>
    <row r="378" spans="1:15" x14ac:dyDescent="0.4">
      <c r="A378" s="3">
        <f t="shared" si="7"/>
        <v>374</v>
      </c>
      <c r="B378" s="16"/>
      <c r="C378" s="16"/>
      <c r="D378" s="16"/>
      <c r="E378" s="17"/>
      <c r="F378" s="37"/>
      <c r="G378" s="13" t="s">
        <v>859</v>
      </c>
      <c r="H378" s="13"/>
      <c r="I378" s="13"/>
      <c r="J378" s="13"/>
      <c r="K378" s="14"/>
      <c r="L378" s="11" t="s">
        <v>36</v>
      </c>
      <c r="M378" s="11"/>
      <c r="N378" s="11" t="s">
        <v>36</v>
      </c>
      <c r="O378" s="3"/>
    </row>
    <row r="379" spans="1:15" x14ac:dyDescent="0.4">
      <c r="A379" s="3">
        <f t="shared" si="7"/>
        <v>375</v>
      </c>
      <c r="B379" s="16"/>
      <c r="C379" s="16"/>
      <c r="D379" s="16"/>
      <c r="E379" s="15" t="s">
        <v>1413</v>
      </c>
      <c r="F379" s="9"/>
      <c r="G379" s="9"/>
      <c r="H379" s="9"/>
      <c r="I379" s="9"/>
      <c r="J379" s="9"/>
      <c r="K379" s="10"/>
      <c r="L379" s="2"/>
      <c r="M379" s="2"/>
      <c r="N379" s="2"/>
      <c r="O379" s="8"/>
    </row>
    <row r="380" spans="1:15" x14ac:dyDescent="0.4">
      <c r="A380" s="3">
        <f t="shared" si="7"/>
        <v>376</v>
      </c>
      <c r="B380" s="16"/>
      <c r="C380" s="16"/>
      <c r="D380" s="16"/>
      <c r="E380" s="16"/>
      <c r="F380" s="26" t="s">
        <v>857</v>
      </c>
      <c r="G380" s="13"/>
      <c r="H380" s="13"/>
      <c r="I380" s="13"/>
      <c r="J380" s="13"/>
      <c r="K380" s="14"/>
      <c r="L380" s="11" t="s">
        <v>36</v>
      </c>
      <c r="M380" s="11"/>
      <c r="N380" s="11" t="s">
        <v>36</v>
      </c>
      <c r="O380" s="3"/>
    </row>
    <row r="381" spans="1:15" x14ac:dyDescent="0.4">
      <c r="A381" s="3">
        <f t="shared" si="7"/>
        <v>377</v>
      </c>
      <c r="B381" s="16"/>
      <c r="C381" s="16"/>
      <c r="D381" s="16"/>
      <c r="E381" s="16"/>
      <c r="F381" s="32"/>
      <c r="G381" s="13" t="s">
        <v>858</v>
      </c>
      <c r="H381" s="13"/>
      <c r="I381" s="13"/>
      <c r="J381" s="13"/>
      <c r="K381" s="14"/>
      <c r="L381" s="11" t="s">
        <v>36</v>
      </c>
      <c r="M381" s="11"/>
      <c r="N381" s="11" t="s">
        <v>36</v>
      </c>
      <c r="O381" s="3"/>
    </row>
    <row r="382" spans="1:15" x14ac:dyDescent="0.4">
      <c r="A382" s="3">
        <f t="shared" si="7"/>
        <v>378</v>
      </c>
      <c r="B382" s="16"/>
      <c r="C382" s="16"/>
      <c r="D382" s="16"/>
      <c r="E382" s="17"/>
      <c r="F382" s="37"/>
      <c r="G382" s="13" t="s">
        <v>859</v>
      </c>
      <c r="H382" s="13"/>
      <c r="I382" s="13"/>
      <c r="J382" s="13"/>
      <c r="K382" s="14"/>
      <c r="L382" s="11" t="s">
        <v>36</v>
      </c>
      <c r="M382" s="11"/>
      <c r="N382" s="11" t="s">
        <v>36</v>
      </c>
      <c r="O382" s="3"/>
    </row>
    <row r="383" spans="1:15" x14ac:dyDescent="0.4">
      <c r="A383" s="3">
        <f t="shared" si="7"/>
        <v>379</v>
      </c>
      <c r="B383" s="16"/>
      <c r="C383" s="16"/>
      <c r="D383" s="16"/>
      <c r="E383" s="15" t="s">
        <v>1414</v>
      </c>
      <c r="F383" s="9"/>
      <c r="G383" s="9"/>
      <c r="H383" s="9"/>
      <c r="I383" s="9"/>
      <c r="J383" s="9"/>
      <c r="K383" s="10"/>
      <c r="L383" s="2"/>
      <c r="M383" s="2"/>
      <c r="N383" s="2"/>
      <c r="O383" s="8"/>
    </row>
    <row r="384" spans="1:15" x14ac:dyDescent="0.4">
      <c r="A384" s="3">
        <f t="shared" si="7"/>
        <v>380</v>
      </c>
      <c r="B384" s="16"/>
      <c r="C384" s="16"/>
      <c r="D384" s="16"/>
      <c r="E384" s="16"/>
      <c r="F384" s="26" t="s">
        <v>857</v>
      </c>
      <c r="G384" s="13"/>
      <c r="H384" s="13"/>
      <c r="I384" s="13"/>
      <c r="J384" s="13"/>
      <c r="K384" s="14"/>
      <c r="L384" s="11" t="s">
        <v>36</v>
      </c>
      <c r="M384" s="11"/>
      <c r="N384" s="11" t="s">
        <v>36</v>
      </c>
      <c r="O384" s="3"/>
    </row>
    <row r="385" spans="1:15" x14ac:dyDescent="0.4">
      <c r="A385" s="3">
        <f t="shared" si="7"/>
        <v>381</v>
      </c>
      <c r="B385" s="16"/>
      <c r="C385" s="16"/>
      <c r="D385" s="16"/>
      <c r="E385" s="16"/>
      <c r="F385" s="32"/>
      <c r="G385" s="13" t="s">
        <v>858</v>
      </c>
      <c r="H385" s="13"/>
      <c r="I385" s="13"/>
      <c r="J385" s="13"/>
      <c r="K385" s="14"/>
      <c r="L385" s="11" t="s">
        <v>36</v>
      </c>
      <c r="M385" s="11"/>
      <c r="N385" s="11" t="s">
        <v>36</v>
      </c>
      <c r="O385" s="3"/>
    </row>
    <row r="386" spans="1:15" x14ac:dyDescent="0.4">
      <c r="A386" s="3">
        <f t="shared" si="7"/>
        <v>382</v>
      </c>
      <c r="B386" s="16"/>
      <c r="C386" s="16"/>
      <c r="D386" s="16"/>
      <c r="E386" s="17"/>
      <c r="F386" s="37"/>
      <c r="G386" s="13" t="s">
        <v>859</v>
      </c>
      <c r="H386" s="13"/>
      <c r="I386" s="13"/>
      <c r="J386" s="13"/>
      <c r="K386" s="14"/>
      <c r="L386" s="11" t="s">
        <v>36</v>
      </c>
      <c r="M386" s="11"/>
      <c r="N386" s="11" t="s">
        <v>36</v>
      </c>
      <c r="O386" s="3"/>
    </row>
    <row r="387" spans="1:15" x14ac:dyDescent="0.4">
      <c r="A387" s="3">
        <f t="shared" si="7"/>
        <v>383</v>
      </c>
      <c r="B387" s="16"/>
      <c r="C387" s="16"/>
      <c r="D387" s="16"/>
      <c r="E387" s="15" t="s">
        <v>861</v>
      </c>
      <c r="F387" s="9"/>
      <c r="G387" s="9"/>
      <c r="H387" s="9"/>
      <c r="I387" s="9"/>
      <c r="J387" s="9"/>
      <c r="K387" s="10"/>
      <c r="L387" s="2"/>
      <c r="M387" s="2"/>
      <c r="N387" s="2"/>
      <c r="O387" s="8"/>
    </row>
    <row r="388" spans="1:15" x14ac:dyDescent="0.4">
      <c r="A388" s="3">
        <f t="shared" si="7"/>
        <v>384</v>
      </c>
      <c r="B388" s="16"/>
      <c r="C388" s="16"/>
      <c r="D388" s="16"/>
      <c r="E388" s="16"/>
      <c r="F388" s="26" t="s">
        <v>857</v>
      </c>
      <c r="G388" s="13"/>
      <c r="H388" s="13"/>
      <c r="I388" s="13"/>
      <c r="J388" s="13"/>
      <c r="K388" s="14"/>
      <c r="L388" s="11" t="s">
        <v>36</v>
      </c>
      <c r="M388" s="11"/>
      <c r="N388" s="11" t="s">
        <v>36</v>
      </c>
      <c r="O388" s="3"/>
    </row>
    <row r="389" spans="1:15" x14ac:dyDescent="0.4">
      <c r="A389" s="3">
        <f t="shared" si="7"/>
        <v>385</v>
      </c>
      <c r="B389" s="16"/>
      <c r="C389" s="16"/>
      <c r="D389" s="16"/>
      <c r="E389" s="16"/>
      <c r="F389" s="32"/>
      <c r="G389" s="13" t="s">
        <v>858</v>
      </c>
      <c r="H389" s="13"/>
      <c r="I389" s="13"/>
      <c r="J389" s="13"/>
      <c r="K389" s="14"/>
      <c r="L389" s="11" t="s">
        <v>36</v>
      </c>
      <c r="M389" s="11"/>
      <c r="N389" s="11" t="s">
        <v>36</v>
      </c>
      <c r="O389" s="3"/>
    </row>
    <row r="390" spans="1:15" x14ac:dyDescent="0.4">
      <c r="A390" s="3">
        <f t="shared" si="7"/>
        <v>386</v>
      </c>
      <c r="B390" s="16"/>
      <c r="C390" s="16"/>
      <c r="D390" s="16"/>
      <c r="E390" s="17"/>
      <c r="F390" s="37"/>
      <c r="G390" s="13" t="s">
        <v>859</v>
      </c>
      <c r="H390" s="13"/>
      <c r="I390" s="13"/>
      <c r="J390" s="13"/>
      <c r="K390" s="14"/>
      <c r="L390" s="11" t="s">
        <v>36</v>
      </c>
      <c r="M390" s="11"/>
      <c r="N390" s="11" t="s">
        <v>36</v>
      </c>
      <c r="O390" s="3"/>
    </row>
    <row r="391" spans="1:15" x14ac:dyDescent="0.4">
      <c r="A391" s="3">
        <f t="shared" si="7"/>
        <v>387</v>
      </c>
      <c r="B391" s="16"/>
      <c r="C391" s="16"/>
      <c r="D391" s="16"/>
      <c r="E391" s="15" t="s">
        <v>1415</v>
      </c>
      <c r="F391" s="9"/>
      <c r="G391" s="9"/>
      <c r="H391" s="9"/>
      <c r="I391" s="9"/>
      <c r="J391" s="9"/>
      <c r="K391" s="10"/>
      <c r="L391" s="2"/>
      <c r="M391" s="2"/>
      <c r="N391" s="2"/>
      <c r="O391" s="8"/>
    </row>
    <row r="392" spans="1:15" x14ac:dyDescent="0.4">
      <c r="A392" s="3">
        <f t="shared" si="7"/>
        <v>388</v>
      </c>
      <c r="B392" s="16"/>
      <c r="C392" s="16"/>
      <c r="D392" s="16"/>
      <c r="E392" s="16"/>
      <c r="F392" s="26" t="s">
        <v>857</v>
      </c>
      <c r="G392" s="13"/>
      <c r="H392" s="13"/>
      <c r="I392" s="13"/>
      <c r="J392" s="13"/>
      <c r="K392" s="14"/>
      <c r="L392" s="11" t="s">
        <v>36</v>
      </c>
      <c r="M392" s="11"/>
      <c r="N392" s="11" t="s">
        <v>36</v>
      </c>
      <c r="O392" s="3"/>
    </row>
    <row r="393" spans="1:15" x14ac:dyDescent="0.4">
      <c r="A393" s="3">
        <f t="shared" si="7"/>
        <v>389</v>
      </c>
      <c r="B393" s="16"/>
      <c r="C393" s="16"/>
      <c r="D393" s="16"/>
      <c r="E393" s="16"/>
      <c r="F393" s="32"/>
      <c r="G393" s="13" t="s">
        <v>858</v>
      </c>
      <c r="H393" s="13"/>
      <c r="I393" s="13"/>
      <c r="J393" s="13"/>
      <c r="K393" s="14"/>
      <c r="L393" s="11" t="s">
        <v>36</v>
      </c>
      <c r="M393" s="11"/>
      <c r="N393" s="11" t="s">
        <v>36</v>
      </c>
      <c r="O393" s="3"/>
    </row>
    <row r="394" spans="1:15" x14ac:dyDescent="0.4">
      <c r="A394" s="3">
        <f t="shared" si="7"/>
        <v>390</v>
      </c>
      <c r="B394" s="16"/>
      <c r="C394" s="16"/>
      <c r="D394" s="16"/>
      <c r="E394" s="17"/>
      <c r="F394" s="37"/>
      <c r="G394" s="13" t="s">
        <v>859</v>
      </c>
      <c r="H394" s="13"/>
      <c r="I394" s="13"/>
      <c r="J394" s="13"/>
      <c r="K394" s="14"/>
      <c r="L394" s="11" t="s">
        <v>36</v>
      </c>
      <c r="M394" s="11"/>
      <c r="N394" s="11" t="s">
        <v>36</v>
      </c>
      <c r="O394" s="3"/>
    </row>
    <row r="395" spans="1:15" x14ac:dyDescent="0.4">
      <c r="A395" s="3">
        <f t="shared" si="7"/>
        <v>391</v>
      </c>
      <c r="B395" s="16"/>
      <c r="C395" s="16"/>
      <c r="D395" s="16"/>
      <c r="E395" s="15" t="s">
        <v>1416</v>
      </c>
      <c r="F395" s="9"/>
      <c r="G395" s="9"/>
      <c r="H395" s="9"/>
      <c r="I395" s="9"/>
      <c r="J395" s="9"/>
      <c r="K395" s="10"/>
      <c r="L395" s="2"/>
      <c r="M395" s="2"/>
      <c r="N395" s="2"/>
      <c r="O395" s="8"/>
    </row>
    <row r="396" spans="1:15" x14ac:dyDescent="0.4">
      <c r="A396" s="3">
        <f t="shared" si="7"/>
        <v>392</v>
      </c>
      <c r="B396" s="16"/>
      <c r="C396" s="16"/>
      <c r="D396" s="16"/>
      <c r="E396" s="16"/>
      <c r="F396" s="26" t="s">
        <v>857</v>
      </c>
      <c r="G396" s="13"/>
      <c r="H396" s="13"/>
      <c r="I396" s="13"/>
      <c r="J396" s="13"/>
      <c r="K396" s="14"/>
      <c r="L396" s="11" t="s">
        <v>36</v>
      </c>
      <c r="M396" s="11"/>
      <c r="N396" s="11" t="s">
        <v>36</v>
      </c>
      <c r="O396" s="3"/>
    </row>
    <row r="397" spans="1:15" x14ac:dyDescent="0.4">
      <c r="A397" s="3">
        <f t="shared" si="7"/>
        <v>393</v>
      </c>
      <c r="B397" s="16"/>
      <c r="C397" s="16"/>
      <c r="D397" s="16"/>
      <c r="E397" s="16"/>
      <c r="F397" s="32"/>
      <c r="G397" s="13" t="s">
        <v>858</v>
      </c>
      <c r="H397" s="13"/>
      <c r="I397" s="13"/>
      <c r="J397" s="13"/>
      <c r="K397" s="14"/>
      <c r="L397" s="11" t="s">
        <v>36</v>
      </c>
      <c r="M397" s="11"/>
      <c r="N397" s="11" t="s">
        <v>36</v>
      </c>
      <c r="O397" s="3"/>
    </row>
    <row r="398" spans="1:15" x14ac:dyDescent="0.4">
      <c r="A398" s="3">
        <f t="shared" si="7"/>
        <v>394</v>
      </c>
      <c r="B398" s="16"/>
      <c r="C398" s="16"/>
      <c r="D398" s="17"/>
      <c r="E398" s="17"/>
      <c r="F398" s="37"/>
      <c r="G398" s="13" t="s">
        <v>859</v>
      </c>
      <c r="H398" s="13"/>
      <c r="I398" s="13"/>
      <c r="J398" s="13"/>
      <c r="K398" s="14"/>
      <c r="L398" s="11" t="s">
        <v>36</v>
      </c>
      <c r="M398" s="11"/>
      <c r="N398" s="11" t="s">
        <v>36</v>
      </c>
      <c r="O398" s="3"/>
    </row>
    <row r="399" spans="1:15" x14ac:dyDescent="0.4">
      <c r="A399" s="3">
        <f t="shared" si="7"/>
        <v>395</v>
      </c>
      <c r="B399" s="16"/>
      <c r="C399" s="16"/>
      <c r="D399" s="15" t="s">
        <v>867</v>
      </c>
      <c r="E399" s="9"/>
      <c r="F399" s="9"/>
      <c r="G399" s="9"/>
      <c r="H399" s="9"/>
      <c r="I399" s="9"/>
      <c r="J399" s="9"/>
      <c r="K399" s="10"/>
      <c r="L399" s="8"/>
      <c r="M399" s="8"/>
      <c r="N399" s="8"/>
      <c r="O399" s="8"/>
    </row>
    <row r="400" spans="1:15" x14ac:dyDescent="0.4">
      <c r="A400" s="3">
        <f t="shared" si="7"/>
        <v>396</v>
      </c>
      <c r="B400" s="16"/>
      <c r="C400" s="16"/>
      <c r="D400" s="16"/>
      <c r="E400" s="15" t="s">
        <v>862</v>
      </c>
      <c r="F400" s="9"/>
      <c r="G400" s="9"/>
      <c r="H400" s="9"/>
      <c r="I400" s="9"/>
      <c r="J400" s="9"/>
      <c r="K400" s="10"/>
      <c r="L400" s="2"/>
      <c r="M400" s="2"/>
      <c r="N400" s="2"/>
      <c r="O400" s="8"/>
    </row>
    <row r="401" spans="1:15" x14ac:dyDescent="0.4">
      <c r="A401" s="3">
        <f t="shared" si="7"/>
        <v>397</v>
      </c>
      <c r="B401" s="16"/>
      <c r="C401" s="16"/>
      <c r="D401" s="16"/>
      <c r="E401" s="16"/>
      <c r="F401" s="26" t="s">
        <v>857</v>
      </c>
      <c r="G401" s="13"/>
      <c r="H401" s="13"/>
      <c r="I401" s="13"/>
      <c r="J401" s="13"/>
      <c r="K401" s="14"/>
      <c r="L401" s="11" t="s">
        <v>36</v>
      </c>
      <c r="M401" s="11"/>
      <c r="N401" s="11" t="s">
        <v>36</v>
      </c>
      <c r="O401" s="3"/>
    </row>
    <row r="402" spans="1:15" x14ac:dyDescent="0.4">
      <c r="A402" s="3">
        <f t="shared" si="7"/>
        <v>398</v>
      </c>
      <c r="B402" s="16"/>
      <c r="C402" s="16"/>
      <c r="D402" s="16"/>
      <c r="E402" s="16"/>
      <c r="F402" s="32"/>
      <c r="G402" s="13" t="s">
        <v>858</v>
      </c>
      <c r="H402" s="13"/>
      <c r="I402" s="13"/>
      <c r="J402" s="13"/>
      <c r="K402" s="14"/>
      <c r="L402" s="11" t="s">
        <v>36</v>
      </c>
      <c r="M402" s="11"/>
      <c r="N402" s="11" t="s">
        <v>36</v>
      </c>
      <c r="O402" s="3"/>
    </row>
    <row r="403" spans="1:15" x14ac:dyDescent="0.4">
      <c r="A403" s="3">
        <f t="shared" si="7"/>
        <v>399</v>
      </c>
      <c r="B403" s="16"/>
      <c r="C403" s="16"/>
      <c r="D403" s="16"/>
      <c r="E403" s="17"/>
      <c r="F403" s="37"/>
      <c r="G403" s="13" t="s">
        <v>859</v>
      </c>
      <c r="H403" s="13"/>
      <c r="I403" s="13"/>
      <c r="J403" s="13"/>
      <c r="K403" s="14"/>
      <c r="L403" s="11" t="s">
        <v>36</v>
      </c>
      <c r="M403" s="11"/>
      <c r="N403" s="11" t="s">
        <v>36</v>
      </c>
      <c r="O403" s="3"/>
    </row>
    <row r="404" spans="1:15" x14ac:dyDescent="0.4">
      <c r="A404" s="3">
        <f t="shared" si="7"/>
        <v>400</v>
      </c>
      <c r="B404" s="16"/>
      <c r="C404" s="16"/>
      <c r="D404" s="16"/>
      <c r="E404" s="15" t="s">
        <v>863</v>
      </c>
      <c r="F404" s="9"/>
      <c r="G404" s="9"/>
      <c r="H404" s="9"/>
      <c r="I404" s="9"/>
      <c r="J404" s="9"/>
      <c r="K404" s="10"/>
      <c r="L404" s="2"/>
      <c r="M404" s="2"/>
      <c r="N404" s="2"/>
      <c r="O404" s="8"/>
    </row>
    <row r="405" spans="1:15" x14ac:dyDescent="0.4">
      <c r="A405" s="3">
        <f t="shared" si="7"/>
        <v>401</v>
      </c>
      <c r="B405" s="16"/>
      <c r="C405" s="16"/>
      <c r="D405" s="16"/>
      <c r="E405" s="16"/>
      <c r="F405" s="26" t="s">
        <v>857</v>
      </c>
      <c r="G405" s="13"/>
      <c r="H405" s="13"/>
      <c r="I405" s="13"/>
      <c r="J405" s="13"/>
      <c r="K405" s="14"/>
      <c r="L405" s="11" t="s">
        <v>36</v>
      </c>
      <c r="M405" s="11"/>
      <c r="N405" s="11" t="s">
        <v>36</v>
      </c>
      <c r="O405" s="3"/>
    </row>
    <row r="406" spans="1:15" x14ac:dyDescent="0.4">
      <c r="A406" s="3">
        <f t="shared" si="7"/>
        <v>402</v>
      </c>
      <c r="B406" s="16"/>
      <c r="C406" s="16"/>
      <c r="D406" s="16"/>
      <c r="E406" s="16"/>
      <c r="F406" s="32"/>
      <c r="G406" s="13" t="s">
        <v>858</v>
      </c>
      <c r="H406" s="13"/>
      <c r="I406" s="13"/>
      <c r="J406" s="13"/>
      <c r="K406" s="14"/>
      <c r="L406" s="11" t="s">
        <v>36</v>
      </c>
      <c r="M406" s="11"/>
      <c r="N406" s="11" t="s">
        <v>36</v>
      </c>
      <c r="O406" s="3"/>
    </row>
    <row r="407" spans="1:15" x14ac:dyDescent="0.4">
      <c r="A407" s="3">
        <f t="shared" si="7"/>
        <v>403</v>
      </c>
      <c r="B407" s="16"/>
      <c r="C407" s="16"/>
      <c r="D407" s="16"/>
      <c r="E407" s="17"/>
      <c r="F407" s="37"/>
      <c r="G407" s="13" t="s">
        <v>859</v>
      </c>
      <c r="H407" s="13"/>
      <c r="I407" s="13"/>
      <c r="J407" s="13"/>
      <c r="K407" s="14"/>
      <c r="L407" s="11" t="s">
        <v>36</v>
      </c>
      <c r="M407" s="11"/>
      <c r="N407" s="11" t="s">
        <v>36</v>
      </c>
      <c r="O407" s="3"/>
    </row>
    <row r="408" spans="1:15" x14ac:dyDescent="0.4">
      <c r="A408" s="3">
        <f t="shared" si="7"/>
        <v>404</v>
      </c>
      <c r="B408" s="16"/>
      <c r="C408" s="16"/>
      <c r="D408" s="16"/>
      <c r="E408" s="15" t="s">
        <v>864</v>
      </c>
      <c r="F408" s="9"/>
      <c r="G408" s="9"/>
      <c r="H408" s="9"/>
      <c r="I408" s="9"/>
      <c r="J408" s="9"/>
      <c r="K408" s="10"/>
      <c r="L408" s="2"/>
      <c r="M408" s="2"/>
      <c r="N408" s="2"/>
      <c r="O408" s="8"/>
    </row>
    <row r="409" spans="1:15" x14ac:dyDescent="0.4">
      <c r="A409" s="3">
        <f t="shared" si="7"/>
        <v>405</v>
      </c>
      <c r="B409" s="16"/>
      <c r="C409" s="16"/>
      <c r="D409" s="16"/>
      <c r="E409" s="16"/>
      <c r="F409" s="26" t="s">
        <v>857</v>
      </c>
      <c r="G409" s="13"/>
      <c r="H409" s="13"/>
      <c r="I409" s="13"/>
      <c r="J409" s="13"/>
      <c r="K409" s="14"/>
      <c r="L409" s="11" t="s">
        <v>36</v>
      </c>
      <c r="M409" s="11"/>
      <c r="N409" s="11" t="s">
        <v>36</v>
      </c>
      <c r="O409" s="3"/>
    </row>
    <row r="410" spans="1:15" x14ac:dyDescent="0.4">
      <c r="A410" s="3">
        <f t="shared" si="7"/>
        <v>406</v>
      </c>
      <c r="B410" s="16"/>
      <c r="C410" s="16"/>
      <c r="D410" s="16"/>
      <c r="E410" s="16"/>
      <c r="F410" s="32"/>
      <c r="G410" s="13" t="s">
        <v>858</v>
      </c>
      <c r="H410" s="13"/>
      <c r="I410" s="13"/>
      <c r="J410" s="13"/>
      <c r="K410" s="14"/>
      <c r="L410" s="11" t="s">
        <v>36</v>
      </c>
      <c r="M410" s="11"/>
      <c r="N410" s="11" t="s">
        <v>36</v>
      </c>
      <c r="O410" s="3"/>
    </row>
    <row r="411" spans="1:15" x14ac:dyDescent="0.4">
      <c r="A411" s="3">
        <f t="shared" si="7"/>
        <v>407</v>
      </c>
      <c r="B411" s="16"/>
      <c r="C411" s="16"/>
      <c r="D411" s="16"/>
      <c r="E411" s="17"/>
      <c r="F411" s="37"/>
      <c r="G411" s="13" t="s">
        <v>859</v>
      </c>
      <c r="H411" s="13"/>
      <c r="I411" s="13"/>
      <c r="J411" s="13"/>
      <c r="K411" s="14"/>
      <c r="L411" s="11" t="s">
        <v>36</v>
      </c>
      <c r="M411" s="11"/>
      <c r="N411" s="11" t="s">
        <v>36</v>
      </c>
      <c r="O411" s="3"/>
    </row>
    <row r="412" spans="1:15" x14ac:dyDescent="0.4">
      <c r="A412" s="3">
        <f t="shared" si="7"/>
        <v>408</v>
      </c>
      <c r="B412" s="16"/>
      <c r="C412" s="16"/>
      <c r="D412" s="16"/>
      <c r="E412" s="15" t="s">
        <v>865</v>
      </c>
      <c r="F412" s="9"/>
      <c r="G412" s="9"/>
      <c r="H412" s="9"/>
      <c r="I412" s="9"/>
      <c r="J412" s="9"/>
      <c r="K412" s="10"/>
      <c r="L412" s="2"/>
      <c r="M412" s="2"/>
      <c r="N412" s="2"/>
      <c r="O412" s="8"/>
    </row>
    <row r="413" spans="1:15" x14ac:dyDescent="0.4">
      <c r="A413" s="3">
        <f t="shared" si="7"/>
        <v>409</v>
      </c>
      <c r="B413" s="16"/>
      <c r="C413" s="16"/>
      <c r="D413" s="16"/>
      <c r="E413" s="16"/>
      <c r="F413" s="26" t="s">
        <v>857</v>
      </c>
      <c r="G413" s="13"/>
      <c r="H413" s="13"/>
      <c r="I413" s="13"/>
      <c r="J413" s="13"/>
      <c r="K413" s="14"/>
      <c r="L413" s="11" t="s">
        <v>36</v>
      </c>
      <c r="M413" s="11"/>
      <c r="N413" s="11" t="s">
        <v>36</v>
      </c>
      <c r="O413" s="3"/>
    </row>
    <row r="414" spans="1:15" x14ac:dyDescent="0.4">
      <c r="A414" s="3">
        <f t="shared" si="7"/>
        <v>410</v>
      </c>
      <c r="B414" s="16"/>
      <c r="C414" s="16"/>
      <c r="D414" s="16"/>
      <c r="E414" s="16"/>
      <c r="F414" s="32"/>
      <c r="G414" s="13" t="s">
        <v>858</v>
      </c>
      <c r="H414" s="13"/>
      <c r="I414" s="13"/>
      <c r="J414" s="13"/>
      <c r="K414" s="14"/>
      <c r="L414" s="11" t="s">
        <v>36</v>
      </c>
      <c r="M414" s="11"/>
      <c r="N414" s="11" t="s">
        <v>36</v>
      </c>
      <c r="O414" s="3"/>
    </row>
    <row r="415" spans="1:15" x14ac:dyDescent="0.4">
      <c r="A415" s="3">
        <f t="shared" si="7"/>
        <v>411</v>
      </c>
      <c r="B415" s="16"/>
      <c r="C415" s="16"/>
      <c r="D415" s="16"/>
      <c r="E415" s="17"/>
      <c r="F415" s="37"/>
      <c r="G415" s="13" t="s">
        <v>859</v>
      </c>
      <c r="H415" s="13"/>
      <c r="I415" s="13"/>
      <c r="J415" s="13"/>
      <c r="K415" s="14"/>
      <c r="L415" s="11" t="s">
        <v>36</v>
      </c>
      <c r="M415" s="11"/>
      <c r="N415" s="11" t="s">
        <v>36</v>
      </c>
      <c r="O415" s="3"/>
    </row>
    <row r="416" spans="1:15" x14ac:dyDescent="0.4">
      <c r="A416" s="3">
        <f t="shared" si="7"/>
        <v>412</v>
      </c>
      <c r="B416" s="16"/>
      <c r="C416" s="16"/>
      <c r="D416" s="16"/>
      <c r="E416" s="15" t="s">
        <v>866</v>
      </c>
      <c r="F416" s="9"/>
      <c r="G416" s="9"/>
      <c r="H416" s="9"/>
      <c r="I416" s="9"/>
      <c r="J416" s="9"/>
      <c r="K416" s="10"/>
      <c r="L416" s="2"/>
      <c r="M416" s="2"/>
      <c r="N416" s="2"/>
      <c r="O416" s="8"/>
    </row>
    <row r="417" spans="1:15" x14ac:dyDescent="0.4">
      <c r="A417" s="3">
        <f t="shared" si="7"/>
        <v>413</v>
      </c>
      <c r="B417" s="16"/>
      <c r="C417" s="16"/>
      <c r="D417" s="16"/>
      <c r="E417" s="16"/>
      <c r="F417" s="26" t="s">
        <v>857</v>
      </c>
      <c r="G417" s="13"/>
      <c r="H417" s="13"/>
      <c r="I417" s="13"/>
      <c r="J417" s="13"/>
      <c r="K417" s="14"/>
      <c r="L417" s="11" t="s">
        <v>36</v>
      </c>
      <c r="M417" s="11"/>
      <c r="N417" s="11" t="s">
        <v>36</v>
      </c>
      <c r="O417" s="3"/>
    </row>
    <row r="418" spans="1:15" x14ac:dyDescent="0.4">
      <c r="A418" s="3">
        <f t="shared" si="7"/>
        <v>414</v>
      </c>
      <c r="B418" s="16"/>
      <c r="C418" s="16"/>
      <c r="D418" s="16"/>
      <c r="E418" s="16"/>
      <c r="F418" s="32"/>
      <c r="G418" s="13" t="s">
        <v>858</v>
      </c>
      <c r="H418" s="13"/>
      <c r="I418" s="13"/>
      <c r="J418" s="13"/>
      <c r="K418" s="14"/>
      <c r="L418" s="11" t="s">
        <v>36</v>
      </c>
      <c r="M418" s="11"/>
      <c r="N418" s="11" t="s">
        <v>36</v>
      </c>
      <c r="O418" s="3"/>
    </row>
    <row r="419" spans="1:15" x14ac:dyDescent="0.4">
      <c r="A419" s="3">
        <f t="shared" si="7"/>
        <v>415</v>
      </c>
      <c r="B419" s="16"/>
      <c r="C419" s="16"/>
      <c r="D419" s="16"/>
      <c r="E419" s="17"/>
      <c r="F419" s="37"/>
      <c r="G419" s="13" t="s">
        <v>859</v>
      </c>
      <c r="H419" s="13"/>
      <c r="I419" s="13"/>
      <c r="J419" s="13"/>
      <c r="K419" s="14"/>
      <c r="L419" s="11" t="s">
        <v>36</v>
      </c>
      <c r="M419" s="11"/>
      <c r="N419" s="11" t="s">
        <v>36</v>
      </c>
      <c r="O419" s="3"/>
    </row>
    <row r="420" spans="1:15" x14ac:dyDescent="0.4">
      <c r="A420" s="3">
        <f t="shared" si="7"/>
        <v>416</v>
      </c>
      <c r="B420" s="16"/>
      <c r="C420" s="16"/>
      <c r="D420" s="16"/>
      <c r="E420" s="15" t="s">
        <v>1417</v>
      </c>
      <c r="F420" s="9"/>
      <c r="G420" s="9"/>
      <c r="H420" s="9"/>
      <c r="I420" s="9"/>
      <c r="J420" s="9"/>
      <c r="K420" s="10"/>
      <c r="L420" s="2"/>
      <c r="M420" s="2"/>
      <c r="N420" s="2"/>
      <c r="O420" s="8"/>
    </row>
    <row r="421" spans="1:15" x14ac:dyDescent="0.4">
      <c r="A421" s="3">
        <f t="shared" si="7"/>
        <v>417</v>
      </c>
      <c r="B421" s="16"/>
      <c r="C421" s="16"/>
      <c r="D421" s="16"/>
      <c r="E421" s="16"/>
      <c r="F421" s="26" t="s">
        <v>857</v>
      </c>
      <c r="G421" s="13"/>
      <c r="H421" s="13"/>
      <c r="I421" s="13"/>
      <c r="J421" s="13"/>
      <c r="K421" s="14"/>
      <c r="L421" s="11" t="s">
        <v>36</v>
      </c>
      <c r="M421" s="11"/>
      <c r="N421" s="11" t="s">
        <v>36</v>
      </c>
      <c r="O421" s="3"/>
    </row>
    <row r="422" spans="1:15" x14ac:dyDescent="0.4">
      <c r="A422" s="3">
        <f t="shared" si="7"/>
        <v>418</v>
      </c>
      <c r="B422" s="16"/>
      <c r="C422" s="16"/>
      <c r="D422" s="16"/>
      <c r="E422" s="16"/>
      <c r="F422" s="32"/>
      <c r="G422" s="13" t="s">
        <v>858</v>
      </c>
      <c r="H422" s="13"/>
      <c r="I422" s="13"/>
      <c r="J422" s="13"/>
      <c r="K422" s="14"/>
      <c r="L422" s="11" t="s">
        <v>36</v>
      </c>
      <c r="M422" s="11"/>
      <c r="N422" s="11" t="s">
        <v>36</v>
      </c>
      <c r="O422" s="3"/>
    </row>
    <row r="423" spans="1:15" x14ac:dyDescent="0.4">
      <c r="A423" s="3">
        <f t="shared" si="7"/>
        <v>419</v>
      </c>
      <c r="B423" s="16"/>
      <c r="C423" s="16"/>
      <c r="D423" s="17"/>
      <c r="E423" s="17"/>
      <c r="F423" s="37"/>
      <c r="G423" s="13" t="s">
        <v>859</v>
      </c>
      <c r="H423" s="13"/>
      <c r="I423" s="13"/>
      <c r="J423" s="13"/>
      <c r="K423" s="14"/>
      <c r="L423" s="11" t="s">
        <v>36</v>
      </c>
      <c r="M423" s="11"/>
      <c r="N423" s="11" t="s">
        <v>36</v>
      </c>
      <c r="O423" s="3"/>
    </row>
    <row r="424" spans="1:15" x14ac:dyDescent="0.4">
      <c r="A424" s="3">
        <f t="shared" si="7"/>
        <v>420</v>
      </c>
      <c r="B424" s="16"/>
      <c r="C424" s="16"/>
      <c r="D424" s="15" t="s">
        <v>868</v>
      </c>
      <c r="E424" s="9"/>
      <c r="F424" s="9"/>
      <c r="G424" s="9"/>
      <c r="H424" s="9"/>
      <c r="I424" s="9"/>
      <c r="J424" s="9"/>
      <c r="K424" s="10"/>
      <c r="L424" s="8"/>
      <c r="M424" s="8"/>
      <c r="N424" s="8"/>
      <c r="O424" s="8"/>
    </row>
    <row r="425" spans="1:15" x14ac:dyDescent="0.4">
      <c r="A425" s="3">
        <f t="shared" si="7"/>
        <v>421</v>
      </c>
      <c r="B425" s="16"/>
      <c r="C425" s="16"/>
      <c r="D425" s="16"/>
      <c r="E425" s="15" t="s">
        <v>1418</v>
      </c>
      <c r="F425" s="9"/>
      <c r="G425" s="9"/>
      <c r="H425" s="9"/>
      <c r="I425" s="9"/>
      <c r="J425" s="9"/>
      <c r="K425" s="10"/>
      <c r="L425" s="2"/>
      <c r="M425" s="2"/>
      <c r="N425" s="2"/>
      <c r="O425" s="8"/>
    </row>
    <row r="426" spans="1:15" x14ac:dyDescent="0.4">
      <c r="A426" s="3">
        <f t="shared" si="7"/>
        <v>422</v>
      </c>
      <c r="B426" s="16"/>
      <c r="C426" s="16"/>
      <c r="D426" s="16"/>
      <c r="E426" s="16"/>
      <c r="F426" s="26" t="s">
        <v>857</v>
      </c>
      <c r="G426" s="13"/>
      <c r="H426" s="13"/>
      <c r="I426" s="13"/>
      <c r="J426" s="13"/>
      <c r="K426" s="14"/>
      <c r="L426" s="11" t="s">
        <v>36</v>
      </c>
      <c r="M426" s="11"/>
      <c r="N426" s="11" t="s">
        <v>36</v>
      </c>
      <c r="O426" s="3"/>
    </row>
    <row r="427" spans="1:15" x14ac:dyDescent="0.4">
      <c r="A427" s="3">
        <f t="shared" si="7"/>
        <v>423</v>
      </c>
      <c r="B427" s="16"/>
      <c r="C427" s="16"/>
      <c r="D427" s="16"/>
      <c r="E427" s="16"/>
      <c r="F427" s="32"/>
      <c r="G427" s="13" t="s">
        <v>858</v>
      </c>
      <c r="H427" s="13"/>
      <c r="I427" s="13"/>
      <c r="J427" s="13"/>
      <c r="K427" s="14"/>
      <c r="L427" s="11" t="s">
        <v>36</v>
      </c>
      <c r="M427" s="11"/>
      <c r="N427" s="11" t="s">
        <v>36</v>
      </c>
      <c r="O427" s="3"/>
    </row>
    <row r="428" spans="1:15" x14ac:dyDescent="0.4">
      <c r="A428" s="3">
        <f t="shared" si="7"/>
        <v>424</v>
      </c>
      <c r="B428" s="16"/>
      <c r="C428" s="16"/>
      <c r="D428" s="16"/>
      <c r="E428" s="17"/>
      <c r="F428" s="37"/>
      <c r="G428" s="13" t="s">
        <v>859</v>
      </c>
      <c r="H428" s="13"/>
      <c r="I428" s="13"/>
      <c r="J428" s="13"/>
      <c r="K428" s="14"/>
      <c r="L428" s="11" t="s">
        <v>36</v>
      </c>
      <c r="M428" s="11"/>
      <c r="N428" s="11" t="s">
        <v>36</v>
      </c>
      <c r="O428" s="3"/>
    </row>
    <row r="429" spans="1:15" x14ac:dyDescent="0.4">
      <c r="A429" s="3">
        <f t="shared" si="7"/>
        <v>425</v>
      </c>
      <c r="B429" s="16"/>
      <c r="C429" s="16"/>
      <c r="D429" s="16"/>
      <c r="E429" s="15" t="s">
        <v>1419</v>
      </c>
      <c r="F429" s="9"/>
      <c r="G429" s="9"/>
      <c r="H429" s="9"/>
      <c r="I429" s="9"/>
      <c r="J429" s="9"/>
      <c r="K429" s="10"/>
      <c r="L429" s="2"/>
      <c r="M429" s="2"/>
      <c r="N429" s="2"/>
      <c r="O429" s="8"/>
    </row>
    <row r="430" spans="1:15" x14ac:dyDescent="0.4">
      <c r="A430" s="3">
        <f t="shared" si="7"/>
        <v>426</v>
      </c>
      <c r="B430" s="16"/>
      <c r="C430" s="16"/>
      <c r="D430" s="16"/>
      <c r="E430" s="16"/>
      <c r="F430" s="26" t="s">
        <v>857</v>
      </c>
      <c r="G430" s="13"/>
      <c r="H430" s="13"/>
      <c r="I430" s="13"/>
      <c r="J430" s="13"/>
      <c r="K430" s="14"/>
      <c r="L430" s="11" t="s">
        <v>36</v>
      </c>
      <c r="M430" s="11"/>
      <c r="N430" s="11" t="s">
        <v>36</v>
      </c>
      <c r="O430" s="3"/>
    </row>
    <row r="431" spans="1:15" x14ac:dyDescent="0.4">
      <c r="A431" s="3">
        <f t="shared" si="7"/>
        <v>427</v>
      </c>
      <c r="B431" s="16"/>
      <c r="C431" s="16"/>
      <c r="D431" s="16"/>
      <c r="E431" s="16"/>
      <c r="F431" s="32"/>
      <c r="G431" s="13" t="s">
        <v>858</v>
      </c>
      <c r="H431" s="13"/>
      <c r="I431" s="13"/>
      <c r="J431" s="13"/>
      <c r="K431" s="14"/>
      <c r="L431" s="11" t="s">
        <v>36</v>
      </c>
      <c r="M431" s="11"/>
      <c r="N431" s="11" t="s">
        <v>36</v>
      </c>
      <c r="O431" s="3"/>
    </row>
    <row r="432" spans="1:15" x14ac:dyDescent="0.4">
      <c r="A432" s="3">
        <f t="shared" si="7"/>
        <v>428</v>
      </c>
      <c r="B432" s="16"/>
      <c r="C432" s="16"/>
      <c r="D432" s="16"/>
      <c r="E432" s="17"/>
      <c r="F432" s="37"/>
      <c r="G432" s="13" t="s">
        <v>859</v>
      </c>
      <c r="H432" s="13"/>
      <c r="I432" s="13"/>
      <c r="J432" s="13"/>
      <c r="K432" s="14"/>
      <c r="L432" s="11" t="s">
        <v>36</v>
      </c>
      <c r="M432" s="11"/>
      <c r="N432" s="11" t="s">
        <v>36</v>
      </c>
      <c r="O432" s="3"/>
    </row>
    <row r="433" spans="1:15" x14ac:dyDescent="0.4">
      <c r="A433" s="3">
        <f t="shared" ref="A433:A496" si="8">A432+1</f>
        <v>429</v>
      </c>
      <c r="B433" s="16"/>
      <c r="C433" s="16"/>
      <c r="D433" s="16"/>
      <c r="E433" s="15" t="s">
        <v>1420</v>
      </c>
      <c r="F433" s="9"/>
      <c r="G433" s="9"/>
      <c r="H433" s="9"/>
      <c r="I433" s="9"/>
      <c r="J433" s="9"/>
      <c r="K433" s="10"/>
      <c r="L433" s="2"/>
      <c r="M433" s="2"/>
      <c r="N433" s="2"/>
      <c r="O433" s="8"/>
    </row>
    <row r="434" spans="1:15" x14ac:dyDescent="0.4">
      <c r="A434" s="3">
        <f t="shared" si="8"/>
        <v>430</v>
      </c>
      <c r="B434" s="16"/>
      <c r="C434" s="16"/>
      <c r="D434" s="16"/>
      <c r="E434" s="16"/>
      <c r="F434" s="26" t="s">
        <v>857</v>
      </c>
      <c r="G434" s="13"/>
      <c r="H434" s="13"/>
      <c r="I434" s="13"/>
      <c r="J434" s="13"/>
      <c r="K434" s="14"/>
      <c r="L434" s="11" t="s">
        <v>36</v>
      </c>
      <c r="M434" s="11"/>
      <c r="N434" s="11" t="s">
        <v>36</v>
      </c>
      <c r="O434" s="3"/>
    </row>
    <row r="435" spans="1:15" x14ac:dyDescent="0.4">
      <c r="A435" s="3">
        <f t="shared" si="8"/>
        <v>431</v>
      </c>
      <c r="B435" s="16"/>
      <c r="C435" s="16"/>
      <c r="D435" s="16"/>
      <c r="E435" s="16"/>
      <c r="F435" s="32"/>
      <c r="G435" s="13" t="s">
        <v>858</v>
      </c>
      <c r="H435" s="13"/>
      <c r="I435" s="13"/>
      <c r="J435" s="13"/>
      <c r="K435" s="14"/>
      <c r="L435" s="11" t="s">
        <v>36</v>
      </c>
      <c r="M435" s="11"/>
      <c r="N435" s="11" t="s">
        <v>36</v>
      </c>
      <c r="O435" s="3"/>
    </row>
    <row r="436" spans="1:15" x14ac:dyDescent="0.4">
      <c r="A436" s="3">
        <f t="shared" si="8"/>
        <v>432</v>
      </c>
      <c r="B436" s="16"/>
      <c r="C436" s="16"/>
      <c r="D436" s="16"/>
      <c r="E436" s="17"/>
      <c r="F436" s="37"/>
      <c r="G436" s="13" t="s">
        <v>859</v>
      </c>
      <c r="H436" s="13"/>
      <c r="I436" s="13"/>
      <c r="J436" s="13"/>
      <c r="K436" s="14"/>
      <c r="L436" s="11" t="s">
        <v>36</v>
      </c>
      <c r="M436" s="11"/>
      <c r="N436" s="11" t="s">
        <v>36</v>
      </c>
      <c r="O436" s="3"/>
    </row>
    <row r="437" spans="1:15" x14ac:dyDescent="0.4">
      <c r="A437" s="3">
        <f t="shared" si="8"/>
        <v>433</v>
      </c>
      <c r="B437" s="16"/>
      <c r="C437" s="16"/>
      <c r="D437" s="16"/>
      <c r="E437" s="15" t="s">
        <v>1421</v>
      </c>
      <c r="F437" s="9"/>
      <c r="G437" s="9"/>
      <c r="H437" s="9"/>
      <c r="I437" s="9"/>
      <c r="J437" s="9"/>
      <c r="K437" s="10"/>
      <c r="L437" s="2"/>
      <c r="M437" s="2"/>
      <c r="N437" s="2"/>
      <c r="O437" s="8"/>
    </row>
    <row r="438" spans="1:15" x14ac:dyDescent="0.4">
      <c r="A438" s="3">
        <f t="shared" si="8"/>
        <v>434</v>
      </c>
      <c r="B438" s="16"/>
      <c r="C438" s="16"/>
      <c r="D438" s="16"/>
      <c r="E438" s="16"/>
      <c r="F438" s="26" t="s">
        <v>857</v>
      </c>
      <c r="G438" s="13"/>
      <c r="H438" s="13"/>
      <c r="I438" s="13"/>
      <c r="J438" s="13"/>
      <c r="K438" s="14"/>
      <c r="L438" s="11" t="s">
        <v>36</v>
      </c>
      <c r="M438" s="11"/>
      <c r="N438" s="11" t="s">
        <v>36</v>
      </c>
      <c r="O438" s="3"/>
    </row>
    <row r="439" spans="1:15" x14ac:dyDescent="0.4">
      <c r="A439" s="3">
        <f t="shared" si="8"/>
        <v>435</v>
      </c>
      <c r="B439" s="16"/>
      <c r="C439" s="16"/>
      <c r="D439" s="16"/>
      <c r="E439" s="16"/>
      <c r="F439" s="32"/>
      <c r="G439" s="13" t="s">
        <v>858</v>
      </c>
      <c r="H439" s="13"/>
      <c r="I439" s="13"/>
      <c r="J439" s="13"/>
      <c r="K439" s="14"/>
      <c r="L439" s="11" t="s">
        <v>36</v>
      </c>
      <c r="M439" s="11"/>
      <c r="N439" s="11" t="s">
        <v>36</v>
      </c>
      <c r="O439" s="3"/>
    </row>
    <row r="440" spans="1:15" x14ac:dyDescent="0.4">
      <c r="A440" s="3">
        <f t="shared" si="8"/>
        <v>436</v>
      </c>
      <c r="B440" s="16"/>
      <c r="C440" s="16"/>
      <c r="D440" s="17"/>
      <c r="E440" s="17"/>
      <c r="F440" s="37"/>
      <c r="G440" s="13" t="s">
        <v>859</v>
      </c>
      <c r="H440" s="13"/>
      <c r="I440" s="13"/>
      <c r="J440" s="13"/>
      <c r="K440" s="14"/>
      <c r="L440" s="11" t="s">
        <v>36</v>
      </c>
      <c r="M440" s="11"/>
      <c r="N440" s="11" t="s">
        <v>36</v>
      </c>
      <c r="O440" s="3"/>
    </row>
    <row r="441" spans="1:15" x14ac:dyDescent="0.4">
      <c r="A441" s="3">
        <f t="shared" si="8"/>
        <v>437</v>
      </c>
      <c r="B441" s="16"/>
      <c r="C441" s="16"/>
      <c r="D441" s="15" t="s">
        <v>869</v>
      </c>
      <c r="E441" s="9"/>
      <c r="F441" s="9"/>
      <c r="G441" s="9"/>
      <c r="H441" s="9"/>
      <c r="I441" s="9"/>
      <c r="J441" s="9"/>
      <c r="K441" s="10"/>
      <c r="L441" s="8"/>
      <c r="M441" s="8"/>
      <c r="N441" s="8"/>
      <c r="O441" s="8"/>
    </row>
    <row r="442" spans="1:15" x14ac:dyDescent="0.4">
      <c r="A442" s="3">
        <f t="shared" si="8"/>
        <v>438</v>
      </c>
      <c r="B442" s="16"/>
      <c r="C442" s="16"/>
      <c r="D442" s="16"/>
      <c r="E442" s="15" t="s">
        <v>870</v>
      </c>
      <c r="F442" s="9"/>
      <c r="G442" s="9"/>
      <c r="H442" s="9"/>
      <c r="I442" s="9"/>
      <c r="J442" s="9"/>
      <c r="K442" s="10"/>
      <c r="L442" s="2"/>
      <c r="M442" s="2"/>
      <c r="N442" s="2"/>
      <c r="O442" s="8"/>
    </row>
    <row r="443" spans="1:15" x14ac:dyDescent="0.4">
      <c r="A443" s="3">
        <f t="shared" si="8"/>
        <v>439</v>
      </c>
      <c r="B443" s="16"/>
      <c r="C443" s="16"/>
      <c r="D443" s="16"/>
      <c r="E443" s="16"/>
      <c r="F443" s="26" t="s">
        <v>857</v>
      </c>
      <c r="G443" s="13"/>
      <c r="H443" s="13"/>
      <c r="I443" s="13"/>
      <c r="J443" s="13"/>
      <c r="K443" s="14"/>
      <c r="L443" s="11" t="s">
        <v>36</v>
      </c>
      <c r="M443" s="11"/>
      <c r="N443" s="11" t="s">
        <v>36</v>
      </c>
      <c r="O443" s="3"/>
    </row>
    <row r="444" spans="1:15" x14ac:dyDescent="0.4">
      <c r="A444" s="3">
        <f t="shared" si="8"/>
        <v>440</v>
      </c>
      <c r="B444" s="16"/>
      <c r="C444" s="16"/>
      <c r="D444" s="16"/>
      <c r="E444" s="16"/>
      <c r="F444" s="32"/>
      <c r="G444" s="13" t="s">
        <v>858</v>
      </c>
      <c r="H444" s="13"/>
      <c r="I444" s="13"/>
      <c r="J444" s="13"/>
      <c r="K444" s="14"/>
      <c r="L444" s="11" t="s">
        <v>36</v>
      </c>
      <c r="M444" s="11"/>
      <c r="N444" s="11" t="s">
        <v>36</v>
      </c>
      <c r="O444" s="3"/>
    </row>
    <row r="445" spans="1:15" x14ac:dyDescent="0.4">
      <c r="A445" s="3">
        <f t="shared" si="8"/>
        <v>441</v>
      </c>
      <c r="B445" s="16"/>
      <c r="C445" s="16"/>
      <c r="D445" s="16"/>
      <c r="E445" s="17"/>
      <c r="F445" s="37"/>
      <c r="G445" s="13" t="s">
        <v>859</v>
      </c>
      <c r="H445" s="13"/>
      <c r="I445" s="13"/>
      <c r="J445" s="13"/>
      <c r="K445" s="14"/>
      <c r="L445" s="11" t="s">
        <v>36</v>
      </c>
      <c r="M445" s="11"/>
      <c r="N445" s="11" t="s">
        <v>36</v>
      </c>
      <c r="O445" s="3"/>
    </row>
    <row r="446" spans="1:15" x14ac:dyDescent="0.4">
      <c r="A446" s="3">
        <f t="shared" si="8"/>
        <v>442</v>
      </c>
      <c r="B446" s="16"/>
      <c r="C446" s="16"/>
      <c r="D446" s="16"/>
      <c r="E446" s="15" t="s">
        <v>1422</v>
      </c>
      <c r="F446" s="9"/>
      <c r="G446" s="9"/>
      <c r="H446" s="9"/>
      <c r="I446" s="9"/>
      <c r="J446" s="9"/>
      <c r="K446" s="10"/>
      <c r="L446" s="2"/>
      <c r="M446" s="2"/>
      <c r="N446" s="2"/>
      <c r="O446" s="8"/>
    </row>
    <row r="447" spans="1:15" x14ac:dyDescent="0.4">
      <c r="A447" s="3">
        <f t="shared" si="8"/>
        <v>443</v>
      </c>
      <c r="B447" s="16"/>
      <c r="C447" s="16"/>
      <c r="D447" s="16"/>
      <c r="E447" s="16"/>
      <c r="F447" s="26" t="s">
        <v>857</v>
      </c>
      <c r="G447" s="13"/>
      <c r="H447" s="13"/>
      <c r="I447" s="13"/>
      <c r="J447" s="13"/>
      <c r="K447" s="14"/>
      <c r="L447" s="11" t="s">
        <v>36</v>
      </c>
      <c r="M447" s="11"/>
      <c r="N447" s="11" t="s">
        <v>36</v>
      </c>
      <c r="O447" s="3"/>
    </row>
    <row r="448" spans="1:15" x14ac:dyDescent="0.4">
      <c r="A448" s="3">
        <f t="shared" si="8"/>
        <v>444</v>
      </c>
      <c r="B448" s="16"/>
      <c r="C448" s="16"/>
      <c r="D448" s="16"/>
      <c r="E448" s="16"/>
      <c r="F448" s="32"/>
      <c r="G448" s="13" t="s">
        <v>858</v>
      </c>
      <c r="H448" s="13"/>
      <c r="I448" s="13"/>
      <c r="J448" s="13"/>
      <c r="K448" s="14"/>
      <c r="L448" s="11" t="s">
        <v>36</v>
      </c>
      <c r="M448" s="11"/>
      <c r="N448" s="11" t="s">
        <v>36</v>
      </c>
      <c r="O448" s="3"/>
    </row>
    <row r="449" spans="1:15" x14ac:dyDescent="0.4">
      <c r="A449" s="3">
        <f t="shared" si="8"/>
        <v>445</v>
      </c>
      <c r="B449" s="16"/>
      <c r="C449" s="16"/>
      <c r="D449" s="16"/>
      <c r="E449" s="17"/>
      <c r="F449" s="37"/>
      <c r="G449" s="13" t="s">
        <v>859</v>
      </c>
      <c r="H449" s="13"/>
      <c r="I449" s="13"/>
      <c r="J449" s="13"/>
      <c r="K449" s="14"/>
      <c r="L449" s="11" t="s">
        <v>36</v>
      </c>
      <c r="M449" s="11"/>
      <c r="N449" s="11" t="s">
        <v>36</v>
      </c>
      <c r="O449" s="3"/>
    </row>
    <row r="450" spans="1:15" x14ac:dyDescent="0.4">
      <c r="A450" s="3">
        <f t="shared" si="8"/>
        <v>446</v>
      </c>
      <c r="B450" s="16"/>
      <c r="C450" s="16"/>
      <c r="D450" s="16"/>
      <c r="E450" s="15" t="s">
        <v>1423</v>
      </c>
      <c r="F450" s="9"/>
      <c r="G450" s="9"/>
      <c r="H450" s="9"/>
      <c r="I450" s="9"/>
      <c r="J450" s="9"/>
      <c r="K450" s="10"/>
      <c r="L450" s="2"/>
      <c r="M450" s="2"/>
      <c r="N450" s="2"/>
      <c r="O450" s="8"/>
    </row>
    <row r="451" spans="1:15" x14ac:dyDescent="0.4">
      <c r="A451" s="3">
        <f t="shared" si="8"/>
        <v>447</v>
      </c>
      <c r="B451" s="16"/>
      <c r="C451" s="16"/>
      <c r="D451" s="16"/>
      <c r="E451" s="16"/>
      <c r="F451" s="26" t="s">
        <v>857</v>
      </c>
      <c r="G451" s="13"/>
      <c r="H451" s="13"/>
      <c r="I451" s="13"/>
      <c r="J451" s="13"/>
      <c r="K451" s="14"/>
      <c r="L451" s="11" t="s">
        <v>36</v>
      </c>
      <c r="M451" s="11"/>
      <c r="N451" s="11" t="s">
        <v>36</v>
      </c>
      <c r="O451" s="3"/>
    </row>
    <row r="452" spans="1:15" x14ac:dyDescent="0.4">
      <c r="A452" s="3">
        <f t="shared" si="8"/>
        <v>448</v>
      </c>
      <c r="B452" s="16"/>
      <c r="C452" s="16"/>
      <c r="D452" s="16"/>
      <c r="E452" s="16"/>
      <c r="F452" s="32"/>
      <c r="G452" s="13" t="s">
        <v>858</v>
      </c>
      <c r="H452" s="13"/>
      <c r="I452" s="13"/>
      <c r="J452" s="13"/>
      <c r="K452" s="14"/>
      <c r="L452" s="11" t="s">
        <v>36</v>
      </c>
      <c r="M452" s="11"/>
      <c r="N452" s="11" t="s">
        <v>36</v>
      </c>
      <c r="O452" s="3"/>
    </row>
    <row r="453" spans="1:15" x14ac:dyDescent="0.4">
      <c r="A453" s="3">
        <f t="shared" si="8"/>
        <v>449</v>
      </c>
      <c r="B453" s="16"/>
      <c r="C453" s="16"/>
      <c r="D453" s="16"/>
      <c r="E453" s="17"/>
      <c r="F453" s="37"/>
      <c r="G453" s="13" t="s">
        <v>859</v>
      </c>
      <c r="H453" s="13"/>
      <c r="I453" s="13"/>
      <c r="J453" s="13"/>
      <c r="K453" s="14"/>
      <c r="L453" s="11" t="s">
        <v>36</v>
      </c>
      <c r="M453" s="11"/>
      <c r="N453" s="11" t="s">
        <v>36</v>
      </c>
      <c r="O453" s="3"/>
    </row>
    <row r="454" spans="1:15" x14ac:dyDescent="0.4">
      <c r="A454" s="3">
        <f t="shared" si="8"/>
        <v>450</v>
      </c>
      <c r="B454" s="16"/>
      <c r="C454" s="16"/>
      <c r="D454" s="16"/>
      <c r="E454" s="15" t="s">
        <v>1424</v>
      </c>
      <c r="F454" s="9"/>
      <c r="G454" s="9"/>
      <c r="H454" s="9"/>
      <c r="I454" s="9"/>
      <c r="J454" s="9"/>
      <c r="K454" s="10"/>
      <c r="L454" s="2"/>
      <c r="M454" s="2"/>
      <c r="N454" s="2"/>
      <c r="O454" s="8"/>
    </row>
    <row r="455" spans="1:15" x14ac:dyDescent="0.4">
      <c r="A455" s="3">
        <f t="shared" si="8"/>
        <v>451</v>
      </c>
      <c r="B455" s="16"/>
      <c r="C455" s="16"/>
      <c r="D455" s="16"/>
      <c r="E455" s="16"/>
      <c r="F455" s="26" t="s">
        <v>857</v>
      </c>
      <c r="G455" s="13"/>
      <c r="H455" s="13"/>
      <c r="I455" s="13"/>
      <c r="J455" s="13"/>
      <c r="K455" s="14"/>
      <c r="L455" s="11" t="s">
        <v>36</v>
      </c>
      <c r="M455" s="11"/>
      <c r="N455" s="11" t="s">
        <v>36</v>
      </c>
      <c r="O455" s="3"/>
    </row>
    <row r="456" spans="1:15" x14ac:dyDescent="0.4">
      <c r="A456" s="3">
        <f t="shared" si="8"/>
        <v>452</v>
      </c>
      <c r="B456" s="16"/>
      <c r="C456" s="16"/>
      <c r="D456" s="16"/>
      <c r="E456" s="16"/>
      <c r="F456" s="32"/>
      <c r="G456" s="13" t="s">
        <v>858</v>
      </c>
      <c r="H456" s="13"/>
      <c r="I456" s="13"/>
      <c r="J456" s="13"/>
      <c r="K456" s="14"/>
      <c r="L456" s="11" t="s">
        <v>36</v>
      </c>
      <c r="M456" s="11"/>
      <c r="N456" s="11" t="s">
        <v>36</v>
      </c>
      <c r="O456" s="3"/>
    </row>
    <row r="457" spans="1:15" x14ac:dyDescent="0.4">
      <c r="A457" s="3">
        <f t="shared" si="8"/>
        <v>453</v>
      </c>
      <c r="B457" s="16"/>
      <c r="C457" s="16"/>
      <c r="D457" s="16"/>
      <c r="E457" s="17"/>
      <c r="F457" s="37"/>
      <c r="G457" s="13" t="s">
        <v>859</v>
      </c>
      <c r="H457" s="13"/>
      <c r="I457" s="13"/>
      <c r="J457" s="13"/>
      <c r="K457" s="14"/>
      <c r="L457" s="11" t="s">
        <v>36</v>
      </c>
      <c r="M457" s="11"/>
      <c r="N457" s="11" t="s">
        <v>36</v>
      </c>
      <c r="O457" s="3"/>
    </row>
    <row r="458" spans="1:15" x14ac:dyDescent="0.4">
      <c r="A458" s="3">
        <f t="shared" si="8"/>
        <v>454</v>
      </c>
      <c r="B458" s="16"/>
      <c r="C458" s="16"/>
      <c r="D458" s="16"/>
      <c r="E458" s="15" t="s">
        <v>1425</v>
      </c>
      <c r="F458" s="9"/>
      <c r="G458" s="9"/>
      <c r="H458" s="9"/>
      <c r="I458" s="9"/>
      <c r="J458" s="9"/>
      <c r="K458" s="10"/>
      <c r="L458" s="2"/>
      <c r="M458" s="2"/>
      <c r="N458" s="2"/>
      <c r="O458" s="8"/>
    </row>
    <row r="459" spans="1:15" x14ac:dyDescent="0.4">
      <c r="A459" s="3">
        <f t="shared" si="8"/>
        <v>455</v>
      </c>
      <c r="B459" s="16"/>
      <c r="C459" s="16"/>
      <c r="D459" s="16"/>
      <c r="E459" s="16"/>
      <c r="F459" s="26" t="s">
        <v>857</v>
      </c>
      <c r="G459" s="13"/>
      <c r="H459" s="13"/>
      <c r="I459" s="13"/>
      <c r="J459" s="13"/>
      <c r="K459" s="14"/>
      <c r="L459" s="11" t="s">
        <v>36</v>
      </c>
      <c r="M459" s="11"/>
      <c r="N459" s="11" t="s">
        <v>36</v>
      </c>
      <c r="O459" s="3"/>
    </row>
    <row r="460" spans="1:15" x14ac:dyDescent="0.4">
      <c r="A460" s="3">
        <f t="shared" si="8"/>
        <v>456</v>
      </c>
      <c r="B460" s="16"/>
      <c r="C460" s="16"/>
      <c r="D460" s="16"/>
      <c r="E460" s="16"/>
      <c r="F460" s="32"/>
      <c r="G460" s="13" t="s">
        <v>858</v>
      </c>
      <c r="H460" s="13"/>
      <c r="I460" s="13"/>
      <c r="J460" s="13"/>
      <c r="K460" s="14"/>
      <c r="L460" s="11" t="s">
        <v>36</v>
      </c>
      <c r="M460" s="11"/>
      <c r="N460" s="11" t="s">
        <v>36</v>
      </c>
      <c r="O460" s="3"/>
    </row>
    <row r="461" spans="1:15" x14ac:dyDescent="0.4">
      <c r="A461" s="3">
        <f t="shared" si="8"/>
        <v>457</v>
      </c>
      <c r="B461" s="16"/>
      <c r="C461" s="16"/>
      <c r="D461" s="16"/>
      <c r="E461" s="17"/>
      <c r="F461" s="37"/>
      <c r="G461" s="13" t="s">
        <v>859</v>
      </c>
      <c r="H461" s="13"/>
      <c r="I461" s="13"/>
      <c r="J461" s="13"/>
      <c r="K461" s="14"/>
      <c r="L461" s="11" t="s">
        <v>36</v>
      </c>
      <c r="M461" s="11"/>
      <c r="N461" s="11" t="s">
        <v>36</v>
      </c>
      <c r="O461" s="3"/>
    </row>
    <row r="462" spans="1:15" x14ac:dyDescent="0.4">
      <c r="A462" s="3">
        <f t="shared" si="8"/>
        <v>458</v>
      </c>
      <c r="B462" s="16"/>
      <c r="C462" s="16"/>
      <c r="D462" s="16"/>
      <c r="E462" s="15" t="s">
        <v>1426</v>
      </c>
      <c r="F462" s="9"/>
      <c r="G462" s="9"/>
      <c r="H462" s="9"/>
      <c r="I462" s="9"/>
      <c r="J462" s="9"/>
      <c r="K462" s="10"/>
      <c r="L462" s="2"/>
      <c r="M462" s="2"/>
      <c r="N462" s="2"/>
      <c r="O462" s="8"/>
    </row>
    <row r="463" spans="1:15" x14ac:dyDescent="0.4">
      <c r="A463" s="3">
        <f t="shared" si="8"/>
        <v>459</v>
      </c>
      <c r="B463" s="16"/>
      <c r="C463" s="16"/>
      <c r="D463" s="16"/>
      <c r="E463" s="16"/>
      <c r="F463" s="26" t="s">
        <v>857</v>
      </c>
      <c r="G463" s="13"/>
      <c r="H463" s="13"/>
      <c r="I463" s="13"/>
      <c r="J463" s="13"/>
      <c r="K463" s="14"/>
      <c r="L463" s="11" t="s">
        <v>36</v>
      </c>
      <c r="M463" s="11"/>
      <c r="N463" s="11" t="s">
        <v>36</v>
      </c>
      <c r="O463" s="3"/>
    </row>
    <row r="464" spans="1:15" x14ac:dyDescent="0.4">
      <c r="A464" s="3">
        <f t="shared" si="8"/>
        <v>460</v>
      </c>
      <c r="B464" s="16"/>
      <c r="C464" s="16"/>
      <c r="D464" s="16"/>
      <c r="E464" s="16"/>
      <c r="F464" s="32"/>
      <c r="G464" s="13" t="s">
        <v>858</v>
      </c>
      <c r="H464" s="13"/>
      <c r="I464" s="13"/>
      <c r="J464" s="13"/>
      <c r="K464" s="14"/>
      <c r="L464" s="11" t="s">
        <v>36</v>
      </c>
      <c r="M464" s="11"/>
      <c r="N464" s="11" t="s">
        <v>36</v>
      </c>
      <c r="O464" s="3"/>
    </row>
    <row r="465" spans="1:15" x14ac:dyDescent="0.4">
      <c r="A465" s="3">
        <f t="shared" si="8"/>
        <v>461</v>
      </c>
      <c r="B465" s="16"/>
      <c r="C465" s="16"/>
      <c r="D465" s="16"/>
      <c r="E465" s="17"/>
      <c r="F465" s="37"/>
      <c r="G465" s="13" t="s">
        <v>859</v>
      </c>
      <c r="H465" s="13"/>
      <c r="I465" s="13"/>
      <c r="J465" s="13"/>
      <c r="K465" s="14"/>
      <c r="L465" s="11" t="s">
        <v>36</v>
      </c>
      <c r="M465" s="11"/>
      <c r="N465" s="11" t="s">
        <v>36</v>
      </c>
      <c r="O465" s="3"/>
    </row>
    <row r="466" spans="1:15" x14ac:dyDescent="0.4">
      <c r="A466" s="3">
        <f t="shared" si="8"/>
        <v>462</v>
      </c>
      <c r="B466" s="16"/>
      <c r="C466" s="16"/>
      <c r="D466" s="16"/>
      <c r="E466" s="15" t="s">
        <v>871</v>
      </c>
      <c r="F466" s="9"/>
      <c r="G466" s="9"/>
      <c r="H466" s="9"/>
      <c r="I466" s="9"/>
      <c r="J466" s="9"/>
      <c r="K466" s="10"/>
      <c r="L466" s="2"/>
      <c r="M466" s="2"/>
      <c r="N466" s="2"/>
      <c r="O466" s="8"/>
    </row>
    <row r="467" spans="1:15" x14ac:dyDescent="0.4">
      <c r="A467" s="3">
        <f t="shared" si="8"/>
        <v>463</v>
      </c>
      <c r="B467" s="16"/>
      <c r="C467" s="16"/>
      <c r="D467" s="16"/>
      <c r="E467" s="16"/>
      <c r="F467" s="26" t="s">
        <v>857</v>
      </c>
      <c r="G467" s="13"/>
      <c r="H467" s="13"/>
      <c r="I467" s="13"/>
      <c r="J467" s="13"/>
      <c r="K467" s="14"/>
      <c r="L467" s="11" t="s">
        <v>36</v>
      </c>
      <c r="M467" s="11"/>
      <c r="N467" s="11" t="s">
        <v>36</v>
      </c>
      <c r="O467" s="3"/>
    </row>
    <row r="468" spans="1:15" x14ac:dyDescent="0.4">
      <c r="A468" s="3">
        <f t="shared" si="8"/>
        <v>464</v>
      </c>
      <c r="B468" s="16"/>
      <c r="C468" s="16"/>
      <c r="D468" s="16"/>
      <c r="E468" s="16"/>
      <c r="F468" s="32"/>
      <c r="G468" s="13" t="s">
        <v>858</v>
      </c>
      <c r="H468" s="13"/>
      <c r="I468" s="13"/>
      <c r="J468" s="13"/>
      <c r="K468" s="14"/>
      <c r="L468" s="11" t="s">
        <v>36</v>
      </c>
      <c r="M468" s="11"/>
      <c r="N468" s="11" t="s">
        <v>36</v>
      </c>
      <c r="O468" s="3"/>
    </row>
    <row r="469" spans="1:15" x14ac:dyDescent="0.4">
      <c r="A469" s="3">
        <f t="shared" si="8"/>
        <v>465</v>
      </c>
      <c r="B469" s="16"/>
      <c r="C469" s="16"/>
      <c r="D469" s="16"/>
      <c r="E469" s="17"/>
      <c r="F469" s="37"/>
      <c r="G469" s="13" t="s">
        <v>859</v>
      </c>
      <c r="H469" s="13"/>
      <c r="I469" s="13"/>
      <c r="J469" s="13"/>
      <c r="K469" s="14"/>
      <c r="L469" s="11" t="s">
        <v>36</v>
      </c>
      <c r="M469" s="11"/>
      <c r="N469" s="11" t="s">
        <v>36</v>
      </c>
      <c r="O469" s="3"/>
    </row>
    <row r="470" spans="1:15" x14ac:dyDescent="0.4">
      <c r="A470" s="3">
        <f t="shared" si="8"/>
        <v>466</v>
      </c>
      <c r="B470" s="16"/>
      <c r="C470" s="16"/>
      <c r="D470" s="16"/>
      <c r="E470" s="15" t="s">
        <v>872</v>
      </c>
      <c r="F470" s="9"/>
      <c r="G470" s="9"/>
      <c r="H470" s="9"/>
      <c r="I470" s="9"/>
      <c r="J470" s="9"/>
      <c r="K470" s="10"/>
      <c r="L470" s="2"/>
      <c r="M470" s="2"/>
      <c r="N470" s="2"/>
      <c r="O470" s="8"/>
    </row>
    <row r="471" spans="1:15" x14ac:dyDescent="0.4">
      <c r="A471" s="3">
        <f t="shared" si="8"/>
        <v>467</v>
      </c>
      <c r="B471" s="16"/>
      <c r="C471" s="16"/>
      <c r="D471" s="16"/>
      <c r="E471" s="16"/>
      <c r="F471" s="26" t="s">
        <v>857</v>
      </c>
      <c r="G471" s="13"/>
      <c r="H471" s="13"/>
      <c r="I471" s="13"/>
      <c r="J471" s="13"/>
      <c r="K471" s="14"/>
      <c r="L471" s="11" t="s">
        <v>36</v>
      </c>
      <c r="M471" s="11"/>
      <c r="N471" s="11" t="s">
        <v>36</v>
      </c>
      <c r="O471" s="3"/>
    </row>
    <row r="472" spans="1:15" x14ac:dyDescent="0.4">
      <c r="A472" s="3">
        <f t="shared" si="8"/>
        <v>468</v>
      </c>
      <c r="B472" s="16"/>
      <c r="C472" s="16"/>
      <c r="D472" s="16"/>
      <c r="E472" s="16"/>
      <c r="F472" s="32"/>
      <c r="G472" s="13" t="s">
        <v>858</v>
      </c>
      <c r="H472" s="13"/>
      <c r="I472" s="13"/>
      <c r="J472" s="13"/>
      <c r="K472" s="14"/>
      <c r="L472" s="11" t="s">
        <v>36</v>
      </c>
      <c r="M472" s="11"/>
      <c r="N472" s="11" t="s">
        <v>36</v>
      </c>
      <c r="O472" s="3"/>
    </row>
    <row r="473" spans="1:15" x14ac:dyDescent="0.4">
      <c r="A473" s="3">
        <f t="shared" si="8"/>
        <v>469</v>
      </c>
      <c r="B473" s="16"/>
      <c r="C473" s="16"/>
      <c r="D473" s="16"/>
      <c r="E473" s="17"/>
      <c r="F473" s="37"/>
      <c r="G473" s="13" t="s">
        <v>859</v>
      </c>
      <c r="H473" s="13"/>
      <c r="I473" s="13"/>
      <c r="J473" s="13"/>
      <c r="K473" s="14"/>
      <c r="L473" s="11" t="s">
        <v>36</v>
      </c>
      <c r="M473" s="11"/>
      <c r="N473" s="11" t="s">
        <v>36</v>
      </c>
      <c r="O473" s="3"/>
    </row>
    <row r="474" spans="1:15" x14ac:dyDescent="0.4">
      <c r="A474" s="3">
        <f t="shared" si="8"/>
        <v>470</v>
      </c>
      <c r="B474" s="16"/>
      <c r="C474" s="16"/>
      <c r="D474" s="16"/>
      <c r="E474" s="15" t="s">
        <v>1427</v>
      </c>
      <c r="F474" s="9"/>
      <c r="G474" s="9"/>
      <c r="H474" s="9"/>
      <c r="I474" s="9"/>
      <c r="J474" s="9"/>
      <c r="K474" s="10"/>
      <c r="L474" s="2"/>
      <c r="M474" s="2"/>
      <c r="N474" s="2"/>
      <c r="O474" s="8"/>
    </row>
    <row r="475" spans="1:15" x14ac:dyDescent="0.4">
      <c r="A475" s="3">
        <f t="shared" si="8"/>
        <v>471</v>
      </c>
      <c r="B475" s="16"/>
      <c r="C475" s="16"/>
      <c r="D475" s="16"/>
      <c r="E475" s="16"/>
      <c r="F475" s="26" t="s">
        <v>857</v>
      </c>
      <c r="G475" s="13"/>
      <c r="H475" s="13"/>
      <c r="I475" s="13"/>
      <c r="J475" s="13"/>
      <c r="K475" s="14"/>
      <c r="L475" s="11" t="s">
        <v>36</v>
      </c>
      <c r="M475" s="11"/>
      <c r="N475" s="11" t="s">
        <v>36</v>
      </c>
      <c r="O475" s="3"/>
    </row>
    <row r="476" spans="1:15" x14ac:dyDescent="0.4">
      <c r="A476" s="3">
        <f t="shared" si="8"/>
        <v>472</v>
      </c>
      <c r="B476" s="16"/>
      <c r="C476" s="16"/>
      <c r="D476" s="16"/>
      <c r="E476" s="16"/>
      <c r="F476" s="32"/>
      <c r="G476" s="13" t="s">
        <v>858</v>
      </c>
      <c r="H476" s="13"/>
      <c r="I476" s="13"/>
      <c r="J476" s="13"/>
      <c r="K476" s="14"/>
      <c r="L476" s="11" t="s">
        <v>36</v>
      </c>
      <c r="M476" s="11"/>
      <c r="N476" s="11" t="s">
        <v>36</v>
      </c>
      <c r="O476" s="3"/>
    </row>
    <row r="477" spans="1:15" x14ac:dyDescent="0.4">
      <c r="A477" s="3">
        <f t="shared" si="8"/>
        <v>473</v>
      </c>
      <c r="B477" s="16"/>
      <c r="C477" s="16"/>
      <c r="D477" s="16"/>
      <c r="E477" s="17"/>
      <c r="F477" s="37"/>
      <c r="G477" s="13" t="s">
        <v>859</v>
      </c>
      <c r="H477" s="13"/>
      <c r="I477" s="13"/>
      <c r="J477" s="13"/>
      <c r="K477" s="14"/>
      <c r="L477" s="11" t="s">
        <v>36</v>
      </c>
      <c r="M477" s="11"/>
      <c r="N477" s="11" t="s">
        <v>36</v>
      </c>
      <c r="O477" s="3"/>
    </row>
    <row r="478" spans="1:15" x14ac:dyDescent="0.4">
      <c r="A478" s="3">
        <f t="shared" si="8"/>
        <v>474</v>
      </c>
      <c r="B478" s="16"/>
      <c r="C478" s="16"/>
      <c r="D478" s="16"/>
      <c r="E478" s="15" t="s">
        <v>873</v>
      </c>
      <c r="F478" s="9"/>
      <c r="G478" s="9"/>
      <c r="H478" s="9"/>
      <c r="I478" s="9"/>
      <c r="J478" s="9"/>
      <c r="K478" s="10"/>
      <c r="L478" s="2"/>
      <c r="M478" s="2"/>
      <c r="N478" s="2"/>
      <c r="O478" s="8"/>
    </row>
    <row r="479" spans="1:15" x14ac:dyDescent="0.4">
      <c r="A479" s="3">
        <f t="shared" si="8"/>
        <v>475</v>
      </c>
      <c r="B479" s="16"/>
      <c r="C479" s="16"/>
      <c r="D479" s="16"/>
      <c r="E479" s="16"/>
      <c r="F479" s="26" t="s">
        <v>857</v>
      </c>
      <c r="G479" s="13"/>
      <c r="H479" s="13"/>
      <c r="I479" s="13"/>
      <c r="J479" s="13"/>
      <c r="K479" s="14"/>
      <c r="L479" s="11" t="s">
        <v>36</v>
      </c>
      <c r="M479" s="11"/>
      <c r="N479" s="11" t="s">
        <v>36</v>
      </c>
      <c r="O479" s="3"/>
    </row>
    <row r="480" spans="1:15" x14ac:dyDescent="0.4">
      <c r="A480" s="3">
        <f t="shared" si="8"/>
        <v>476</v>
      </c>
      <c r="B480" s="16"/>
      <c r="C480" s="16"/>
      <c r="D480" s="16"/>
      <c r="E480" s="16"/>
      <c r="F480" s="32"/>
      <c r="G480" s="13" t="s">
        <v>858</v>
      </c>
      <c r="H480" s="13"/>
      <c r="I480" s="13"/>
      <c r="J480" s="13"/>
      <c r="K480" s="14"/>
      <c r="L480" s="11" t="s">
        <v>36</v>
      </c>
      <c r="M480" s="11"/>
      <c r="N480" s="11" t="s">
        <v>36</v>
      </c>
      <c r="O480" s="3"/>
    </row>
    <row r="481" spans="1:15" x14ac:dyDescent="0.4">
      <c r="A481" s="3">
        <f t="shared" si="8"/>
        <v>477</v>
      </c>
      <c r="B481" s="16"/>
      <c r="C481" s="16"/>
      <c r="D481" s="16"/>
      <c r="E481" s="17"/>
      <c r="F481" s="37"/>
      <c r="G481" s="13" t="s">
        <v>859</v>
      </c>
      <c r="H481" s="13"/>
      <c r="I481" s="13"/>
      <c r="J481" s="13"/>
      <c r="K481" s="14"/>
      <c r="L481" s="11" t="s">
        <v>36</v>
      </c>
      <c r="M481" s="11"/>
      <c r="N481" s="11" t="s">
        <v>36</v>
      </c>
      <c r="O481" s="3"/>
    </row>
    <row r="482" spans="1:15" x14ac:dyDescent="0.4">
      <c r="A482" s="3">
        <f t="shared" si="8"/>
        <v>478</v>
      </c>
      <c r="B482" s="16"/>
      <c r="C482" s="16"/>
      <c r="D482" s="16"/>
      <c r="E482" s="15" t="s">
        <v>874</v>
      </c>
      <c r="F482" s="9"/>
      <c r="G482" s="9"/>
      <c r="H482" s="9"/>
      <c r="I482" s="9"/>
      <c r="J482" s="9"/>
      <c r="K482" s="10"/>
      <c r="L482" s="2"/>
      <c r="M482" s="2"/>
      <c r="N482" s="2"/>
      <c r="O482" s="8"/>
    </row>
    <row r="483" spans="1:15" x14ac:dyDescent="0.4">
      <c r="A483" s="3">
        <f t="shared" si="8"/>
        <v>479</v>
      </c>
      <c r="B483" s="16"/>
      <c r="C483" s="16"/>
      <c r="D483" s="16"/>
      <c r="E483" s="16"/>
      <c r="F483" s="26" t="s">
        <v>857</v>
      </c>
      <c r="G483" s="13"/>
      <c r="H483" s="13"/>
      <c r="I483" s="13"/>
      <c r="J483" s="13"/>
      <c r="K483" s="14"/>
      <c r="L483" s="11" t="s">
        <v>36</v>
      </c>
      <c r="M483" s="11"/>
      <c r="N483" s="11" t="s">
        <v>36</v>
      </c>
      <c r="O483" s="3"/>
    </row>
    <row r="484" spans="1:15" x14ac:dyDescent="0.4">
      <c r="A484" s="3">
        <f t="shared" si="8"/>
        <v>480</v>
      </c>
      <c r="B484" s="16"/>
      <c r="C484" s="16"/>
      <c r="D484" s="16"/>
      <c r="E484" s="16"/>
      <c r="F484" s="32"/>
      <c r="G484" s="13" t="s">
        <v>858</v>
      </c>
      <c r="H484" s="13"/>
      <c r="I484" s="13"/>
      <c r="J484" s="13"/>
      <c r="K484" s="14"/>
      <c r="L484" s="11" t="s">
        <v>36</v>
      </c>
      <c r="M484" s="11"/>
      <c r="N484" s="11" t="s">
        <v>36</v>
      </c>
      <c r="O484" s="3"/>
    </row>
    <row r="485" spans="1:15" x14ac:dyDescent="0.4">
      <c r="A485" s="3">
        <f t="shared" si="8"/>
        <v>481</v>
      </c>
      <c r="B485" s="16"/>
      <c r="C485" s="16"/>
      <c r="D485" s="17"/>
      <c r="E485" s="17"/>
      <c r="F485" s="37"/>
      <c r="G485" s="13" t="s">
        <v>859</v>
      </c>
      <c r="H485" s="13"/>
      <c r="I485" s="13"/>
      <c r="J485" s="13"/>
      <c r="K485" s="14"/>
      <c r="L485" s="11" t="s">
        <v>36</v>
      </c>
      <c r="M485" s="11"/>
      <c r="N485" s="11" t="s">
        <v>36</v>
      </c>
      <c r="O485" s="3"/>
    </row>
    <row r="486" spans="1:15" x14ac:dyDescent="0.4">
      <c r="A486" s="3">
        <f t="shared" si="8"/>
        <v>482</v>
      </c>
      <c r="B486" s="16"/>
      <c r="C486" s="16"/>
      <c r="D486" s="15" t="s">
        <v>875</v>
      </c>
      <c r="E486" s="9"/>
      <c r="F486" s="9"/>
      <c r="G486" s="9"/>
      <c r="H486" s="9"/>
      <c r="I486" s="9"/>
      <c r="J486" s="9"/>
      <c r="K486" s="10"/>
      <c r="L486" s="8"/>
      <c r="M486" s="8"/>
      <c r="N486" s="8"/>
      <c r="O486" s="8"/>
    </row>
    <row r="487" spans="1:15" x14ac:dyDescent="0.4">
      <c r="A487" s="3">
        <f t="shared" si="8"/>
        <v>483</v>
      </c>
      <c r="B487" s="16"/>
      <c r="C487" s="16"/>
      <c r="D487" s="16"/>
      <c r="E487" s="15" t="s">
        <v>1428</v>
      </c>
      <c r="F487" s="9"/>
      <c r="G487" s="9"/>
      <c r="H487" s="9"/>
      <c r="I487" s="9"/>
      <c r="J487" s="9"/>
      <c r="K487" s="10"/>
      <c r="L487" s="2"/>
      <c r="M487" s="2"/>
      <c r="N487" s="2"/>
      <c r="O487" s="8"/>
    </row>
    <row r="488" spans="1:15" x14ac:dyDescent="0.4">
      <c r="A488" s="3">
        <f t="shared" si="8"/>
        <v>484</v>
      </c>
      <c r="B488" s="16"/>
      <c r="C488" s="16"/>
      <c r="D488" s="16"/>
      <c r="E488" s="16"/>
      <c r="F488" s="26" t="s">
        <v>857</v>
      </c>
      <c r="G488" s="13"/>
      <c r="H488" s="13"/>
      <c r="I488" s="13"/>
      <c r="J488" s="13"/>
      <c r="K488" s="14"/>
      <c r="L488" s="11" t="s">
        <v>36</v>
      </c>
      <c r="M488" s="11"/>
      <c r="N488" s="11" t="s">
        <v>36</v>
      </c>
      <c r="O488" s="3"/>
    </row>
    <row r="489" spans="1:15" x14ac:dyDescent="0.4">
      <c r="A489" s="3">
        <f t="shared" si="8"/>
        <v>485</v>
      </c>
      <c r="B489" s="16"/>
      <c r="C489" s="16"/>
      <c r="D489" s="16"/>
      <c r="E489" s="16"/>
      <c r="F489" s="32"/>
      <c r="G489" s="13" t="s">
        <v>858</v>
      </c>
      <c r="H489" s="13"/>
      <c r="I489" s="13"/>
      <c r="J489" s="13"/>
      <c r="K489" s="14"/>
      <c r="L489" s="11" t="s">
        <v>36</v>
      </c>
      <c r="M489" s="11"/>
      <c r="N489" s="11" t="s">
        <v>36</v>
      </c>
      <c r="O489" s="3"/>
    </row>
    <row r="490" spans="1:15" x14ac:dyDescent="0.4">
      <c r="A490" s="3">
        <f t="shared" si="8"/>
        <v>486</v>
      </c>
      <c r="B490" s="16"/>
      <c r="C490" s="16"/>
      <c r="D490" s="16"/>
      <c r="E490" s="17"/>
      <c r="F490" s="37"/>
      <c r="G490" s="13" t="s">
        <v>859</v>
      </c>
      <c r="H490" s="13"/>
      <c r="I490" s="13"/>
      <c r="J490" s="13"/>
      <c r="K490" s="14"/>
      <c r="L490" s="11" t="s">
        <v>36</v>
      </c>
      <c r="M490" s="11"/>
      <c r="N490" s="11" t="s">
        <v>36</v>
      </c>
      <c r="O490" s="3"/>
    </row>
    <row r="491" spans="1:15" x14ac:dyDescent="0.4">
      <c r="A491" s="3">
        <f t="shared" si="8"/>
        <v>487</v>
      </c>
      <c r="B491" s="16"/>
      <c r="C491" s="16"/>
      <c r="D491" s="16"/>
      <c r="E491" s="15" t="s">
        <v>1429</v>
      </c>
      <c r="F491" s="9"/>
      <c r="G491" s="9"/>
      <c r="H491" s="9"/>
      <c r="I491" s="9"/>
      <c r="J491" s="9"/>
      <c r="K491" s="10"/>
      <c r="L491" s="2"/>
      <c r="M491" s="2"/>
      <c r="N491" s="2"/>
      <c r="O491" s="8"/>
    </row>
    <row r="492" spans="1:15" x14ac:dyDescent="0.4">
      <c r="A492" s="3">
        <f t="shared" si="8"/>
        <v>488</v>
      </c>
      <c r="B492" s="16"/>
      <c r="C492" s="16"/>
      <c r="D492" s="16"/>
      <c r="E492" s="16"/>
      <c r="F492" s="26" t="s">
        <v>857</v>
      </c>
      <c r="G492" s="13"/>
      <c r="H492" s="13"/>
      <c r="I492" s="13"/>
      <c r="J492" s="13"/>
      <c r="K492" s="14"/>
      <c r="L492" s="11" t="s">
        <v>36</v>
      </c>
      <c r="M492" s="11"/>
      <c r="N492" s="11" t="s">
        <v>36</v>
      </c>
      <c r="O492" s="3"/>
    </row>
    <row r="493" spans="1:15" x14ac:dyDescent="0.4">
      <c r="A493" s="3">
        <f t="shared" si="8"/>
        <v>489</v>
      </c>
      <c r="B493" s="16"/>
      <c r="C493" s="16"/>
      <c r="D493" s="16"/>
      <c r="E493" s="16"/>
      <c r="F493" s="32"/>
      <c r="G493" s="13" t="s">
        <v>858</v>
      </c>
      <c r="H493" s="13"/>
      <c r="I493" s="13"/>
      <c r="J493" s="13"/>
      <c r="K493" s="14"/>
      <c r="L493" s="11" t="s">
        <v>36</v>
      </c>
      <c r="M493" s="11"/>
      <c r="N493" s="11" t="s">
        <v>36</v>
      </c>
      <c r="O493" s="3"/>
    </row>
    <row r="494" spans="1:15" x14ac:dyDescent="0.4">
      <c r="A494" s="3">
        <f t="shared" si="8"/>
        <v>490</v>
      </c>
      <c r="B494" s="16"/>
      <c r="C494" s="16"/>
      <c r="D494" s="16"/>
      <c r="E494" s="17"/>
      <c r="F494" s="37"/>
      <c r="G494" s="13" t="s">
        <v>859</v>
      </c>
      <c r="H494" s="13"/>
      <c r="I494" s="13"/>
      <c r="J494" s="13"/>
      <c r="K494" s="14"/>
      <c r="L494" s="11" t="s">
        <v>36</v>
      </c>
      <c r="M494" s="11"/>
      <c r="N494" s="11" t="s">
        <v>36</v>
      </c>
      <c r="O494" s="3"/>
    </row>
    <row r="495" spans="1:15" x14ac:dyDescent="0.4">
      <c r="A495" s="3">
        <f t="shared" si="8"/>
        <v>491</v>
      </c>
      <c r="B495" s="16"/>
      <c r="C495" s="16"/>
      <c r="D495" s="16"/>
      <c r="E495" s="15" t="s">
        <v>876</v>
      </c>
      <c r="F495" s="9"/>
      <c r="G495" s="9"/>
      <c r="H495" s="9"/>
      <c r="I495" s="9"/>
      <c r="J495" s="9"/>
      <c r="K495" s="10"/>
      <c r="L495" s="2"/>
      <c r="M495" s="2"/>
      <c r="N495" s="2"/>
      <c r="O495" s="8"/>
    </row>
    <row r="496" spans="1:15" x14ac:dyDescent="0.4">
      <c r="A496" s="3">
        <f t="shared" si="8"/>
        <v>492</v>
      </c>
      <c r="B496" s="16"/>
      <c r="C496" s="16"/>
      <c r="D496" s="16"/>
      <c r="E496" s="16"/>
      <c r="F496" s="26" t="s">
        <v>857</v>
      </c>
      <c r="G496" s="13"/>
      <c r="H496" s="13"/>
      <c r="I496" s="13"/>
      <c r="J496" s="13"/>
      <c r="K496" s="14"/>
      <c r="L496" s="11" t="s">
        <v>36</v>
      </c>
      <c r="M496" s="11"/>
      <c r="N496" s="11" t="s">
        <v>36</v>
      </c>
      <c r="O496" s="3"/>
    </row>
    <row r="497" spans="1:15" x14ac:dyDescent="0.4">
      <c r="A497" s="3">
        <f t="shared" ref="A497:A560" si="9">A496+1</f>
        <v>493</v>
      </c>
      <c r="B497" s="16"/>
      <c r="C497" s="16"/>
      <c r="D497" s="16"/>
      <c r="E497" s="16"/>
      <c r="F497" s="32"/>
      <c r="G497" s="13" t="s">
        <v>858</v>
      </c>
      <c r="H497" s="13"/>
      <c r="I497" s="13"/>
      <c r="J497" s="13"/>
      <c r="K497" s="14"/>
      <c r="L497" s="11" t="s">
        <v>36</v>
      </c>
      <c r="M497" s="11"/>
      <c r="N497" s="11" t="s">
        <v>36</v>
      </c>
      <c r="O497" s="3"/>
    </row>
    <row r="498" spans="1:15" x14ac:dyDescent="0.4">
      <c r="A498" s="3">
        <f t="shared" si="9"/>
        <v>494</v>
      </c>
      <c r="B498" s="16"/>
      <c r="C498" s="16"/>
      <c r="D498" s="16"/>
      <c r="E498" s="17"/>
      <c r="F498" s="37"/>
      <c r="G498" s="13" t="s">
        <v>859</v>
      </c>
      <c r="H498" s="13"/>
      <c r="I498" s="13"/>
      <c r="J498" s="13"/>
      <c r="K498" s="14"/>
      <c r="L498" s="11" t="s">
        <v>36</v>
      </c>
      <c r="M498" s="11"/>
      <c r="N498" s="11" t="s">
        <v>36</v>
      </c>
      <c r="O498" s="3"/>
    </row>
    <row r="499" spans="1:15" x14ac:dyDescent="0.4">
      <c r="A499" s="3">
        <f t="shared" si="9"/>
        <v>495</v>
      </c>
      <c r="B499" s="16"/>
      <c r="C499" s="16"/>
      <c r="D499" s="16"/>
      <c r="E499" s="15" t="s">
        <v>877</v>
      </c>
      <c r="F499" s="9"/>
      <c r="G499" s="9"/>
      <c r="H499" s="9"/>
      <c r="I499" s="9"/>
      <c r="J499" s="9"/>
      <c r="K499" s="10"/>
      <c r="L499" s="2"/>
      <c r="M499" s="2"/>
      <c r="N499" s="2"/>
      <c r="O499" s="8"/>
    </row>
    <row r="500" spans="1:15" x14ac:dyDescent="0.4">
      <c r="A500" s="3">
        <f t="shared" si="9"/>
        <v>496</v>
      </c>
      <c r="B500" s="16"/>
      <c r="C500" s="16"/>
      <c r="D500" s="16"/>
      <c r="E500" s="16"/>
      <c r="F500" s="26" t="s">
        <v>857</v>
      </c>
      <c r="G500" s="13"/>
      <c r="H500" s="13"/>
      <c r="I500" s="13"/>
      <c r="J500" s="13"/>
      <c r="K500" s="14"/>
      <c r="L500" s="11" t="s">
        <v>36</v>
      </c>
      <c r="M500" s="11"/>
      <c r="N500" s="11" t="s">
        <v>36</v>
      </c>
      <c r="O500" s="3"/>
    </row>
    <row r="501" spans="1:15" x14ac:dyDescent="0.4">
      <c r="A501" s="3">
        <f t="shared" si="9"/>
        <v>497</v>
      </c>
      <c r="B501" s="16"/>
      <c r="C501" s="16"/>
      <c r="D501" s="16"/>
      <c r="E501" s="16"/>
      <c r="F501" s="32"/>
      <c r="G501" s="13" t="s">
        <v>858</v>
      </c>
      <c r="H501" s="13"/>
      <c r="I501" s="13"/>
      <c r="J501" s="13"/>
      <c r="K501" s="14"/>
      <c r="L501" s="11" t="s">
        <v>36</v>
      </c>
      <c r="M501" s="11"/>
      <c r="N501" s="11" t="s">
        <v>36</v>
      </c>
      <c r="O501" s="3"/>
    </row>
    <row r="502" spans="1:15" x14ac:dyDescent="0.4">
      <c r="A502" s="3">
        <f t="shared" si="9"/>
        <v>498</v>
      </c>
      <c r="B502" s="16"/>
      <c r="C502" s="16"/>
      <c r="D502" s="16"/>
      <c r="E502" s="17"/>
      <c r="F502" s="37"/>
      <c r="G502" s="13" t="s">
        <v>859</v>
      </c>
      <c r="H502" s="13"/>
      <c r="I502" s="13"/>
      <c r="J502" s="13"/>
      <c r="K502" s="14"/>
      <c r="L502" s="11" t="s">
        <v>36</v>
      </c>
      <c r="M502" s="11"/>
      <c r="N502" s="11" t="s">
        <v>36</v>
      </c>
      <c r="O502" s="3"/>
    </row>
    <row r="503" spans="1:15" x14ac:dyDescent="0.4">
      <c r="A503" s="3">
        <f t="shared" si="9"/>
        <v>499</v>
      </c>
      <c r="B503" s="16"/>
      <c r="C503" s="16"/>
      <c r="D503" s="16"/>
      <c r="E503" s="15" t="s">
        <v>878</v>
      </c>
      <c r="F503" s="9"/>
      <c r="G503" s="9"/>
      <c r="H503" s="9"/>
      <c r="I503" s="9"/>
      <c r="J503" s="9"/>
      <c r="K503" s="10"/>
      <c r="L503" s="2"/>
      <c r="M503" s="2"/>
      <c r="N503" s="2"/>
      <c r="O503" s="8"/>
    </row>
    <row r="504" spans="1:15" x14ac:dyDescent="0.4">
      <c r="A504" s="3">
        <f t="shared" si="9"/>
        <v>500</v>
      </c>
      <c r="B504" s="16"/>
      <c r="C504" s="16"/>
      <c r="D504" s="16"/>
      <c r="E504" s="16"/>
      <c r="F504" s="26" t="s">
        <v>857</v>
      </c>
      <c r="G504" s="13"/>
      <c r="H504" s="13"/>
      <c r="I504" s="13"/>
      <c r="J504" s="13"/>
      <c r="K504" s="14"/>
      <c r="L504" s="11" t="s">
        <v>36</v>
      </c>
      <c r="M504" s="11"/>
      <c r="N504" s="11" t="s">
        <v>36</v>
      </c>
      <c r="O504" s="3"/>
    </row>
    <row r="505" spans="1:15" x14ac:dyDescent="0.4">
      <c r="A505" s="3">
        <f t="shared" si="9"/>
        <v>501</v>
      </c>
      <c r="B505" s="16"/>
      <c r="C505" s="16"/>
      <c r="D505" s="16"/>
      <c r="E505" s="16"/>
      <c r="F505" s="32"/>
      <c r="G505" s="13" t="s">
        <v>858</v>
      </c>
      <c r="H505" s="13"/>
      <c r="I505" s="13"/>
      <c r="J505" s="13"/>
      <c r="K505" s="14"/>
      <c r="L505" s="11" t="s">
        <v>36</v>
      </c>
      <c r="M505" s="11"/>
      <c r="N505" s="11" t="s">
        <v>36</v>
      </c>
      <c r="O505" s="3"/>
    </row>
    <row r="506" spans="1:15" x14ac:dyDescent="0.4">
      <c r="A506" s="3">
        <f t="shared" si="9"/>
        <v>502</v>
      </c>
      <c r="B506" s="16"/>
      <c r="C506" s="16"/>
      <c r="D506" s="16"/>
      <c r="E506" s="17"/>
      <c r="F506" s="37"/>
      <c r="G506" s="13" t="s">
        <v>859</v>
      </c>
      <c r="H506" s="13"/>
      <c r="I506" s="13"/>
      <c r="J506" s="13"/>
      <c r="K506" s="14"/>
      <c r="L506" s="11" t="s">
        <v>36</v>
      </c>
      <c r="M506" s="11"/>
      <c r="N506" s="11" t="s">
        <v>36</v>
      </c>
      <c r="O506" s="3"/>
    </row>
    <row r="507" spans="1:15" x14ac:dyDescent="0.4">
      <c r="A507" s="3">
        <f t="shared" si="9"/>
        <v>503</v>
      </c>
      <c r="B507" s="16"/>
      <c r="C507" s="16"/>
      <c r="D507" s="16"/>
      <c r="E507" s="15" t="s">
        <v>1430</v>
      </c>
      <c r="F507" s="9"/>
      <c r="G507" s="9"/>
      <c r="H507" s="9"/>
      <c r="I507" s="9"/>
      <c r="J507" s="9"/>
      <c r="K507" s="10"/>
      <c r="L507" s="2"/>
      <c r="M507" s="2"/>
      <c r="N507" s="2"/>
      <c r="O507" s="8"/>
    </row>
    <row r="508" spans="1:15" x14ac:dyDescent="0.4">
      <c r="A508" s="3">
        <f t="shared" si="9"/>
        <v>504</v>
      </c>
      <c r="B508" s="16"/>
      <c r="C508" s="16"/>
      <c r="D508" s="16"/>
      <c r="E508" s="16"/>
      <c r="F508" s="26" t="s">
        <v>857</v>
      </c>
      <c r="G508" s="13"/>
      <c r="H508" s="13"/>
      <c r="I508" s="13"/>
      <c r="J508" s="13"/>
      <c r="K508" s="14"/>
      <c r="L508" s="11" t="s">
        <v>36</v>
      </c>
      <c r="M508" s="11"/>
      <c r="N508" s="11" t="s">
        <v>36</v>
      </c>
      <c r="O508" s="3"/>
    </row>
    <row r="509" spans="1:15" x14ac:dyDescent="0.4">
      <c r="A509" s="3">
        <f t="shared" si="9"/>
        <v>505</v>
      </c>
      <c r="B509" s="16"/>
      <c r="C509" s="16"/>
      <c r="D509" s="16"/>
      <c r="E509" s="16"/>
      <c r="F509" s="32"/>
      <c r="G509" s="13" t="s">
        <v>858</v>
      </c>
      <c r="H509" s="13"/>
      <c r="I509" s="13"/>
      <c r="J509" s="13"/>
      <c r="K509" s="14"/>
      <c r="L509" s="11" t="s">
        <v>36</v>
      </c>
      <c r="M509" s="11"/>
      <c r="N509" s="11" t="s">
        <v>36</v>
      </c>
      <c r="O509" s="3"/>
    </row>
    <row r="510" spans="1:15" x14ac:dyDescent="0.4">
      <c r="A510" s="3">
        <f t="shared" si="9"/>
        <v>506</v>
      </c>
      <c r="B510" s="16"/>
      <c r="C510" s="16"/>
      <c r="D510" s="16"/>
      <c r="E510" s="17"/>
      <c r="F510" s="37"/>
      <c r="G510" s="13" t="s">
        <v>859</v>
      </c>
      <c r="H510" s="13"/>
      <c r="I510" s="13"/>
      <c r="J510" s="13"/>
      <c r="K510" s="14"/>
      <c r="L510" s="11" t="s">
        <v>36</v>
      </c>
      <c r="M510" s="11"/>
      <c r="N510" s="11" t="s">
        <v>36</v>
      </c>
      <c r="O510" s="3"/>
    </row>
    <row r="511" spans="1:15" x14ac:dyDescent="0.4">
      <c r="A511" s="3">
        <f t="shared" si="9"/>
        <v>507</v>
      </c>
      <c r="B511" s="16"/>
      <c r="C511" s="16"/>
      <c r="D511" s="16"/>
      <c r="E511" s="15" t="s">
        <v>1431</v>
      </c>
      <c r="F511" s="9"/>
      <c r="G511" s="9"/>
      <c r="H511" s="9"/>
      <c r="I511" s="9"/>
      <c r="J511" s="9"/>
      <c r="K511" s="10"/>
      <c r="L511" s="2"/>
      <c r="M511" s="2"/>
      <c r="N511" s="2"/>
      <c r="O511" s="8"/>
    </row>
    <row r="512" spans="1:15" x14ac:dyDescent="0.4">
      <c r="A512" s="3">
        <f t="shared" si="9"/>
        <v>508</v>
      </c>
      <c r="B512" s="16"/>
      <c r="C512" s="16"/>
      <c r="D512" s="16"/>
      <c r="E512" s="16"/>
      <c r="F512" s="26" t="s">
        <v>857</v>
      </c>
      <c r="G512" s="13"/>
      <c r="H512" s="13"/>
      <c r="I512" s="13"/>
      <c r="J512" s="13"/>
      <c r="K512" s="14"/>
      <c r="L512" s="11" t="s">
        <v>36</v>
      </c>
      <c r="M512" s="11"/>
      <c r="N512" s="11" t="s">
        <v>36</v>
      </c>
      <c r="O512" s="3"/>
    </row>
    <row r="513" spans="1:15" x14ac:dyDescent="0.4">
      <c r="A513" s="3">
        <f t="shared" si="9"/>
        <v>509</v>
      </c>
      <c r="B513" s="16"/>
      <c r="C513" s="16"/>
      <c r="D513" s="16"/>
      <c r="E513" s="16"/>
      <c r="F513" s="32"/>
      <c r="G513" s="13" t="s">
        <v>858</v>
      </c>
      <c r="H513" s="13"/>
      <c r="I513" s="13"/>
      <c r="J513" s="13"/>
      <c r="K513" s="14"/>
      <c r="L513" s="11" t="s">
        <v>36</v>
      </c>
      <c r="M513" s="11"/>
      <c r="N513" s="11" t="s">
        <v>36</v>
      </c>
      <c r="O513" s="3"/>
    </row>
    <row r="514" spans="1:15" x14ac:dyDescent="0.4">
      <c r="A514" s="3">
        <f t="shared" si="9"/>
        <v>510</v>
      </c>
      <c r="B514" s="16"/>
      <c r="C514" s="16"/>
      <c r="D514" s="16"/>
      <c r="E514" s="17"/>
      <c r="F514" s="37"/>
      <c r="G514" s="13" t="s">
        <v>859</v>
      </c>
      <c r="H514" s="13"/>
      <c r="I514" s="13"/>
      <c r="J514" s="13"/>
      <c r="K514" s="14"/>
      <c r="L514" s="11" t="s">
        <v>36</v>
      </c>
      <c r="M514" s="11"/>
      <c r="N514" s="11" t="s">
        <v>36</v>
      </c>
      <c r="O514" s="3"/>
    </row>
    <row r="515" spans="1:15" x14ac:dyDescent="0.4">
      <c r="A515" s="3">
        <f t="shared" si="9"/>
        <v>511</v>
      </c>
      <c r="B515" s="16"/>
      <c r="C515" s="16"/>
      <c r="D515" s="16"/>
      <c r="E515" s="15" t="s">
        <v>879</v>
      </c>
      <c r="F515" s="9"/>
      <c r="G515" s="9"/>
      <c r="H515" s="9"/>
      <c r="I515" s="9"/>
      <c r="J515" s="9"/>
      <c r="K515" s="10"/>
      <c r="L515" s="2"/>
      <c r="M515" s="2"/>
      <c r="N515" s="2"/>
      <c r="O515" s="8"/>
    </row>
    <row r="516" spans="1:15" x14ac:dyDescent="0.4">
      <c r="A516" s="3">
        <f t="shared" si="9"/>
        <v>512</v>
      </c>
      <c r="B516" s="16"/>
      <c r="C516" s="16"/>
      <c r="D516" s="16"/>
      <c r="E516" s="16"/>
      <c r="F516" s="26" t="s">
        <v>857</v>
      </c>
      <c r="G516" s="13"/>
      <c r="H516" s="13"/>
      <c r="I516" s="13"/>
      <c r="J516" s="13"/>
      <c r="K516" s="14"/>
      <c r="L516" s="11" t="s">
        <v>36</v>
      </c>
      <c r="M516" s="11"/>
      <c r="N516" s="11" t="s">
        <v>36</v>
      </c>
      <c r="O516" s="3"/>
    </row>
    <row r="517" spans="1:15" x14ac:dyDescent="0.4">
      <c r="A517" s="3">
        <f t="shared" si="9"/>
        <v>513</v>
      </c>
      <c r="B517" s="16"/>
      <c r="C517" s="16"/>
      <c r="D517" s="16"/>
      <c r="E517" s="16"/>
      <c r="F517" s="32"/>
      <c r="G517" s="13" t="s">
        <v>858</v>
      </c>
      <c r="H517" s="13"/>
      <c r="I517" s="13"/>
      <c r="J517" s="13"/>
      <c r="K517" s="14"/>
      <c r="L517" s="11" t="s">
        <v>36</v>
      </c>
      <c r="M517" s="11"/>
      <c r="N517" s="11" t="s">
        <v>36</v>
      </c>
      <c r="O517" s="3"/>
    </row>
    <row r="518" spans="1:15" x14ac:dyDescent="0.4">
      <c r="A518" s="3">
        <f t="shared" si="9"/>
        <v>514</v>
      </c>
      <c r="B518" s="16"/>
      <c r="C518" s="16"/>
      <c r="D518" s="16"/>
      <c r="E518" s="17"/>
      <c r="F518" s="37"/>
      <c r="G518" s="13" t="s">
        <v>859</v>
      </c>
      <c r="H518" s="13"/>
      <c r="I518" s="13"/>
      <c r="J518" s="13"/>
      <c r="K518" s="14"/>
      <c r="L518" s="11" t="s">
        <v>36</v>
      </c>
      <c r="M518" s="11"/>
      <c r="N518" s="11" t="s">
        <v>36</v>
      </c>
      <c r="O518" s="3"/>
    </row>
    <row r="519" spans="1:15" x14ac:dyDescent="0.4">
      <c r="A519" s="3">
        <f t="shared" si="9"/>
        <v>515</v>
      </c>
      <c r="B519" s="16"/>
      <c r="C519" s="16"/>
      <c r="D519" s="16"/>
      <c r="E519" s="15" t="s">
        <v>1432</v>
      </c>
      <c r="F519" s="9"/>
      <c r="G519" s="9"/>
      <c r="H519" s="9"/>
      <c r="I519" s="9"/>
      <c r="J519" s="9"/>
      <c r="K519" s="10"/>
      <c r="L519" s="2"/>
      <c r="M519" s="2"/>
      <c r="N519" s="2"/>
      <c r="O519" s="8"/>
    </row>
    <row r="520" spans="1:15" x14ac:dyDescent="0.4">
      <c r="A520" s="3">
        <f t="shared" si="9"/>
        <v>516</v>
      </c>
      <c r="B520" s="16"/>
      <c r="C520" s="16"/>
      <c r="D520" s="16"/>
      <c r="E520" s="16"/>
      <c r="F520" s="26" t="s">
        <v>857</v>
      </c>
      <c r="G520" s="13"/>
      <c r="H520" s="13"/>
      <c r="I520" s="13"/>
      <c r="J520" s="13"/>
      <c r="K520" s="14"/>
      <c r="L520" s="11" t="s">
        <v>36</v>
      </c>
      <c r="M520" s="11"/>
      <c r="N520" s="11" t="s">
        <v>36</v>
      </c>
      <c r="O520" s="3"/>
    </row>
    <row r="521" spans="1:15" x14ac:dyDescent="0.4">
      <c r="A521" s="3">
        <f t="shared" si="9"/>
        <v>517</v>
      </c>
      <c r="B521" s="16"/>
      <c r="C521" s="16"/>
      <c r="D521" s="16"/>
      <c r="E521" s="16"/>
      <c r="F521" s="32"/>
      <c r="G521" s="13" t="s">
        <v>858</v>
      </c>
      <c r="H521" s="13"/>
      <c r="I521" s="13"/>
      <c r="J521" s="13"/>
      <c r="K521" s="14"/>
      <c r="L521" s="11" t="s">
        <v>36</v>
      </c>
      <c r="M521" s="11"/>
      <c r="N521" s="11" t="s">
        <v>36</v>
      </c>
      <c r="O521" s="3"/>
    </row>
    <row r="522" spans="1:15" x14ac:dyDescent="0.4">
      <c r="A522" s="3">
        <f t="shared" si="9"/>
        <v>518</v>
      </c>
      <c r="B522" s="16"/>
      <c r="C522" s="16"/>
      <c r="D522" s="16"/>
      <c r="E522" s="17"/>
      <c r="F522" s="37"/>
      <c r="G522" s="13" t="s">
        <v>859</v>
      </c>
      <c r="H522" s="13"/>
      <c r="I522" s="13"/>
      <c r="J522" s="13"/>
      <c r="K522" s="14"/>
      <c r="L522" s="11" t="s">
        <v>36</v>
      </c>
      <c r="M522" s="11"/>
      <c r="N522" s="11" t="s">
        <v>36</v>
      </c>
      <c r="O522" s="3"/>
    </row>
    <row r="523" spans="1:15" x14ac:dyDescent="0.4">
      <c r="A523" s="3">
        <f t="shared" si="9"/>
        <v>519</v>
      </c>
      <c r="B523" s="16"/>
      <c r="C523" s="16"/>
      <c r="D523" s="16"/>
      <c r="E523" s="15" t="s">
        <v>880</v>
      </c>
      <c r="F523" s="9"/>
      <c r="G523" s="9"/>
      <c r="H523" s="9"/>
      <c r="I523" s="9"/>
      <c r="J523" s="9"/>
      <c r="K523" s="10"/>
      <c r="L523" s="2"/>
      <c r="M523" s="2"/>
      <c r="N523" s="2"/>
      <c r="O523" s="8"/>
    </row>
    <row r="524" spans="1:15" x14ac:dyDescent="0.4">
      <c r="A524" s="3">
        <f t="shared" si="9"/>
        <v>520</v>
      </c>
      <c r="B524" s="16"/>
      <c r="C524" s="16"/>
      <c r="D524" s="16"/>
      <c r="E524" s="16"/>
      <c r="F524" s="26" t="s">
        <v>857</v>
      </c>
      <c r="G524" s="13"/>
      <c r="H524" s="13"/>
      <c r="I524" s="13"/>
      <c r="J524" s="13"/>
      <c r="K524" s="14"/>
      <c r="L524" s="11" t="s">
        <v>36</v>
      </c>
      <c r="M524" s="11"/>
      <c r="N524" s="11" t="s">
        <v>36</v>
      </c>
      <c r="O524" s="3"/>
    </row>
    <row r="525" spans="1:15" x14ac:dyDescent="0.4">
      <c r="A525" s="3">
        <f t="shared" si="9"/>
        <v>521</v>
      </c>
      <c r="B525" s="16"/>
      <c r="C525" s="16"/>
      <c r="D525" s="16"/>
      <c r="E525" s="16"/>
      <c r="F525" s="32"/>
      <c r="G525" s="13" t="s">
        <v>858</v>
      </c>
      <c r="H525" s="13"/>
      <c r="I525" s="13"/>
      <c r="J525" s="13"/>
      <c r="K525" s="14"/>
      <c r="L525" s="11" t="s">
        <v>36</v>
      </c>
      <c r="M525" s="11"/>
      <c r="N525" s="11" t="s">
        <v>36</v>
      </c>
      <c r="O525" s="3"/>
    </row>
    <row r="526" spans="1:15" x14ac:dyDescent="0.4">
      <c r="A526" s="3">
        <f t="shared" si="9"/>
        <v>522</v>
      </c>
      <c r="B526" s="16"/>
      <c r="C526" s="16"/>
      <c r="D526" s="16"/>
      <c r="E526" s="17"/>
      <c r="F526" s="37"/>
      <c r="G526" s="13" t="s">
        <v>859</v>
      </c>
      <c r="H526" s="13"/>
      <c r="I526" s="13"/>
      <c r="J526" s="13"/>
      <c r="K526" s="14"/>
      <c r="L526" s="11" t="s">
        <v>36</v>
      </c>
      <c r="M526" s="11"/>
      <c r="N526" s="11" t="s">
        <v>36</v>
      </c>
      <c r="O526" s="3"/>
    </row>
    <row r="527" spans="1:15" x14ac:dyDescent="0.4">
      <c r="A527" s="3">
        <f t="shared" si="9"/>
        <v>523</v>
      </c>
      <c r="B527" s="16"/>
      <c r="C527" s="16"/>
      <c r="D527" s="16"/>
      <c r="E527" s="15" t="s">
        <v>881</v>
      </c>
      <c r="F527" s="9"/>
      <c r="G527" s="9"/>
      <c r="H527" s="9"/>
      <c r="I527" s="9"/>
      <c r="J527" s="9"/>
      <c r="K527" s="10"/>
      <c r="L527" s="2"/>
      <c r="M527" s="2"/>
      <c r="N527" s="2"/>
      <c r="O527" s="8"/>
    </row>
    <row r="528" spans="1:15" x14ac:dyDescent="0.4">
      <c r="A528" s="3">
        <f t="shared" si="9"/>
        <v>524</v>
      </c>
      <c r="B528" s="16"/>
      <c r="C528" s="16"/>
      <c r="D528" s="16"/>
      <c r="E528" s="16"/>
      <c r="F528" s="26" t="s">
        <v>857</v>
      </c>
      <c r="G528" s="13"/>
      <c r="H528" s="13"/>
      <c r="I528" s="13"/>
      <c r="J528" s="13"/>
      <c r="K528" s="14"/>
      <c r="L528" s="11" t="s">
        <v>36</v>
      </c>
      <c r="M528" s="11"/>
      <c r="N528" s="11" t="s">
        <v>36</v>
      </c>
      <c r="O528" s="3"/>
    </row>
    <row r="529" spans="1:15" x14ac:dyDescent="0.4">
      <c r="A529" s="3">
        <f t="shared" si="9"/>
        <v>525</v>
      </c>
      <c r="B529" s="16"/>
      <c r="C529" s="16"/>
      <c r="D529" s="16"/>
      <c r="E529" s="16"/>
      <c r="F529" s="32"/>
      <c r="G529" s="13" t="s">
        <v>858</v>
      </c>
      <c r="H529" s="13"/>
      <c r="I529" s="13"/>
      <c r="J529" s="13"/>
      <c r="K529" s="14"/>
      <c r="L529" s="11" t="s">
        <v>36</v>
      </c>
      <c r="M529" s="11"/>
      <c r="N529" s="11" t="s">
        <v>36</v>
      </c>
      <c r="O529" s="3"/>
    </row>
    <row r="530" spans="1:15" x14ac:dyDescent="0.4">
      <c r="A530" s="3">
        <f t="shared" si="9"/>
        <v>526</v>
      </c>
      <c r="B530" s="16"/>
      <c r="C530" s="16"/>
      <c r="D530" s="16"/>
      <c r="E530" s="17"/>
      <c r="F530" s="37"/>
      <c r="G530" s="13" t="s">
        <v>859</v>
      </c>
      <c r="H530" s="13"/>
      <c r="I530" s="13"/>
      <c r="J530" s="13"/>
      <c r="K530" s="14"/>
      <c r="L530" s="11" t="s">
        <v>36</v>
      </c>
      <c r="M530" s="11"/>
      <c r="N530" s="11" t="s">
        <v>36</v>
      </c>
      <c r="O530" s="3"/>
    </row>
    <row r="531" spans="1:15" x14ac:dyDescent="0.4">
      <c r="A531" s="3">
        <f t="shared" si="9"/>
        <v>527</v>
      </c>
      <c r="B531" s="16"/>
      <c r="C531" s="16"/>
      <c r="D531" s="16"/>
      <c r="E531" s="15" t="s">
        <v>1433</v>
      </c>
      <c r="F531" s="9"/>
      <c r="G531" s="9"/>
      <c r="H531" s="9"/>
      <c r="I531" s="9"/>
      <c r="J531" s="9"/>
      <c r="K531" s="10"/>
      <c r="L531" s="2"/>
      <c r="M531" s="2"/>
      <c r="N531" s="2"/>
      <c r="O531" s="8"/>
    </row>
    <row r="532" spans="1:15" x14ac:dyDescent="0.4">
      <c r="A532" s="3">
        <f t="shared" si="9"/>
        <v>528</v>
      </c>
      <c r="B532" s="16"/>
      <c r="C532" s="16"/>
      <c r="D532" s="16"/>
      <c r="E532" s="16"/>
      <c r="F532" s="26" t="s">
        <v>857</v>
      </c>
      <c r="G532" s="13"/>
      <c r="H532" s="13"/>
      <c r="I532" s="13"/>
      <c r="J532" s="13"/>
      <c r="K532" s="14"/>
      <c r="L532" s="11" t="s">
        <v>36</v>
      </c>
      <c r="M532" s="11"/>
      <c r="N532" s="11" t="s">
        <v>36</v>
      </c>
      <c r="O532" s="3"/>
    </row>
    <row r="533" spans="1:15" x14ac:dyDescent="0.4">
      <c r="A533" s="3">
        <f t="shared" si="9"/>
        <v>529</v>
      </c>
      <c r="B533" s="16"/>
      <c r="C533" s="16"/>
      <c r="D533" s="16"/>
      <c r="E533" s="16"/>
      <c r="F533" s="32"/>
      <c r="G533" s="13" t="s">
        <v>858</v>
      </c>
      <c r="H533" s="13"/>
      <c r="I533" s="13"/>
      <c r="J533" s="13"/>
      <c r="K533" s="14"/>
      <c r="L533" s="11" t="s">
        <v>36</v>
      </c>
      <c r="M533" s="11"/>
      <c r="N533" s="11" t="s">
        <v>36</v>
      </c>
      <c r="O533" s="3"/>
    </row>
    <row r="534" spans="1:15" x14ac:dyDescent="0.4">
      <c r="A534" s="3">
        <f t="shared" si="9"/>
        <v>530</v>
      </c>
      <c r="B534" s="16"/>
      <c r="C534" s="16"/>
      <c r="D534" s="16"/>
      <c r="E534" s="17"/>
      <c r="F534" s="37"/>
      <c r="G534" s="13" t="s">
        <v>859</v>
      </c>
      <c r="H534" s="13"/>
      <c r="I534" s="13"/>
      <c r="J534" s="13"/>
      <c r="K534" s="14"/>
      <c r="L534" s="11" t="s">
        <v>36</v>
      </c>
      <c r="M534" s="11"/>
      <c r="N534" s="11" t="s">
        <v>36</v>
      </c>
      <c r="O534" s="3"/>
    </row>
    <row r="535" spans="1:15" x14ac:dyDescent="0.4">
      <c r="A535" s="3">
        <f t="shared" si="9"/>
        <v>531</v>
      </c>
      <c r="B535" s="16"/>
      <c r="C535" s="16"/>
      <c r="D535" s="16"/>
      <c r="E535" s="15" t="s">
        <v>882</v>
      </c>
      <c r="F535" s="9"/>
      <c r="G535" s="9"/>
      <c r="H535" s="9"/>
      <c r="I535" s="9"/>
      <c r="J535" s="9"/>
      <c r="K535" s="10"/>
      <c r="L535" s="2"/>
      <c r="M535" s="2"/>
      <c r="N535" s="2"/>
      <c r="O535" s="8"/>
    </row>
    <row r="536" spans="1:15" x14ac:dyDescent="0.4">
      <c r="A536" s="3">
        <f t="shared" si="9"/>
        <v>532</v>
      </c>
      <c r="B536" s="16"/>
      <c r="C536" s="16"/>
      <c r="D536" s="16"/>
      <c r="E536" s="16"/>
      <c r="F536" s="26" t="s">
        <v>857</v>
      </c>
      <c r="G536" s="13"/>
      <c r="H536" s="13"/>
      <c r="I536" s="13"/>
      <c r="J536" s="13"/>
      <c r="K536" s="14"/>
      <c r="L536" s="11" t="s">
        <v>36</v>
      </c>
      <c r="M536" s="11"/>
      <c r="N536" s="11" t="s">
        <v>36</v>
      </c>
      <c r="O536" s="3"/>
    </row>
    <row r="537" spans="1:15" x14ac:dyDescent="0.4">
      <c r="A537" s="3">
        <f t="shared" si="9"/>
        <v>533</v>
      </c>
      <c r="B537" s="16"/>
      <c r="C537" s="16"/>
      <c r="D537" s="16"/>
      <c r="E537" s="16"/>
      <c r="F537" s="32"/>
      <c r="G537" s="13" t="s">
        <v>858</v>
      </c>
      <c r="H537" s="13"/>
      <c r="I537" s="13"/>
      <c r="J537" s="13"/>
      <c r="K537" s="14"/>
      <c r="L537" s="11" t="s">
        <v>36</v>
      </c>
      <c r="M537" s="11"/>
      <c r="N537" s="11" t="s">
        <v>36</v>
      </c>
      <c r="O537" s="3"/>
    </row>
    <row r="538" spans="1:15" x14ac:dyDescent="0.4">
      <c r="A538" s="3">
        <f t="shared" si="9"/>
        <v>534</v>
      </c>
      <c r="B538" s="16"/>
      <c r="C538" s="16"/>
      <c r="D538" s="16"/>
      <c r="E538" s="17"/>
      <c r="F538" s="37"/>
      <c r="G538" s="13" t="s">
        <v>859</v>
      </c>
      <c r="H538" s="13"/>
      <c r="I538" s="13"/>
      <c r="J538" s="13"/>
      <c r="K538" s="14"/>
      <c r="L538" s="11" t="s">
        <v>36</v>
      </c>
      <c r="M538" s="11"/>
      <c r="N538" s="11" t="s">
        <v>36</v>
      </c>
      <c r="O538" s="3"/>
    </row>
    <row r="539" spans="1:15" x14ac:dyDescent="0.4">
      <c r="A539" s="3">
        <f t="shared" si="9"/>
        <v>535</v>
      </c>
      <c r="B539" s="16"/>
      <c r="C539" s="16"/>
      <c r="D539" s="16"/>
      <c r="E539" s="15" t="s">
        <v>1434</v>
      </c>
      <c r="F539" s="9"/>
      <c r="G539" s="9"/>
      <c r="H539" s="9"/>
      <c r="I539" s="9"/>
      <c r="J539" s="9"/>
      <c r="K539" s="10"/>
      <c r="L539" s="2"/>
      <c r="M539" s="2"/>
      <c r="N539" s="2"/>
      <c r="O539" s="8"/>
    </row>
    <row r="540" spans="1:15" x14ac:dyDescent="0.4">
      <c r="A540" s="3">
        <f t="shared" si="9"/>
        <v>536</v>
      </c>
      <c r="B540" s="16"/>
      <c r="C540" s="16"/>
      <c r="D540" s="16"/>
      <c r="E540" s="16"/>
      <c r="F540" s="26" t="s">
        <v>857</v>
      </c>
      <c r="G540" s="13"/>
      <c r="H540" s="13"/>
      <c r="I540" s="13"/>
      <c r="J540" s="13"/>
      <c r="K540" s="14"/>
      <c r="L540" s="11" t="s">
        <v>36</v>
      </c>
      <c r="M540" s="11"/>
      <c r="N540" s="11" t="s">
        <v>36</v>
      </c>
      <c r="O540" s="3"/>
    </row>
    <row r="541" spans="1:15" x14ac:dyDescent="0.4">
      <c r="A541" s="3">
        <f t="shared" si="9"/>
        <v>537</v>
      </c>
      <c r="B541" s="16"/>
      <c r="C541" s="16"/>
      <c r="D541" s="16"/>
      <c r="E541" s="16"/>
      <c r="F541" s="32"/>
      <c r="G541" s="13" t="s">
        <v>858</v>
      </c>
      <c r="H541" s="13"/>
      <c r="I541" s="13"/>
      <c r="J541" s="13"/>
      <c r="K541" s="14"/>
      <c r="L541" s="11" t="s">
        <v>36</v>
      </c>
      <c r="M541" s="11"/>
      <c r="N541" s="11" t="s">
        <v>36</v>
      </c>
      <c r="O541" s="3"/>
    </row>
    <row r="542" spans="1:15" x14ac:dyDescent="0.4">
      <c r="A542" s="3">
        <f t="shared" si="9"/>
        <v>538</v>
      </c>
      <c r="B542" s="16"/>
      <c r="C542" s="16"/>
      <c r="D542" s="17"/>
      <c r="E542" s="17"/>
      <c r="F542" s="37"/>
      <c r="G542" s="13" t="s">
        <v>859</v>
      </c>
      <c r="H542" s="13"/>
      <c r="I542" s="13"/>
      <c r="J542" s="13"/>
      <c r="K542" s="14"/>
      <c r="L542" s="11" t="s">
        <v>36</v>
      </c>
      <c r="M542" s="11"/>
      <c r="N542" s="11" t="s">
        <v>36</v>
      </c>
      <c r="O542" s="3"/>
    </row>
    <row r="543" spans="1:15" x14ac:dyDescent="0.4">
      <c r="A543" s="3">
        <f t="shared" si="9"/>
        <v>539</v>
      </c>
      <c r="B543" s="16"/>
      <c r="C543" s="16"/>
      <c r="D543" s="21" t="s">
        <v>1435</v>
      </c>
      <c r="E543" s="9"/>
      <c r="F543" s="9"/>
      <c r="G543" s="9"/>
      <c r="H543" s="9"/>
      <c r="I543" s="9"/>
      <c r="J543" s="9"/>
      <c r="K543" s="10"/>
      <c r="L543" s="8"/>
      <c r="M543" s="8"/>
      <c r="N543" s="8"/>
      <c r="O543" s="8"/>
    </row>
    <row r="544" spans="1:15" x14ac:dyDescent="0.4">
      <c r="A544" s="3">
        <f t="shared" si="9"/>
        <v>540</v>
      </c>
      <c r="B544" s="16"/>
      <c r="C544" s="16"/>
      <c r="D544" s="16"/>
      <c r="E544" s="15" t="s">
        <v>1436</v>
      </c>
      <c r="F544" s="9"/>
      <c r="G544" s="9"/>
      <c r="H544" s="9"/>
      <c r="I544" s="9"/>
      <c r="J544" s="9"/>
      <c r="K544" s="10"/>
      <c r="L544" s="8"/>
      <c r="M544" s="8"/>
      <c r="N544" s="8"/>
      <c r="O544" s="8"/>
    </row>
    <row r="545" spans="1:15" x14ac:dyDescent="0.4">
      <c r="A545" s="3">
        <f t="shared" si="9"/>
        <v>541</v>
      </c>
      <c r="B545" s="16"/>
      <c r="C545" s="16"/>
      <c r="D545" s="16"/>
      <c r="E545" s="16"/>
      <c r="F545" s="26" t="s">
        <v>857</v>
      </c>
      <c r="G545" s="13"/>
      <c r="H545" s="13"/>
      <c r="I545" s="13"/>
      <c r="J545" s="13"/>
      <c r="K545" s="14"/>
      <c r="L545" s="11" t="s">
        <v>36</v>
      </c>
      <c r="M545" s="11"/>
      <c r="N545" s="11" t="s">
        <v>36</v>
      </c>
      <c r="O545" s="3"/>
    </row>
    <row r="546" spans="1:15" x14ac:dyDescent="0.4">
      <c r="A546" s="3">
        <f t="shared" si="9"/>
        <v>542</v>
      </c>
      <c r="B546" s="16"/>
      <c r="C546" s="16"/>
      <c r="D546" s="16"/>
      <c r="E546" s="16"/>
      <c r="F546" s="32"/>
      <c r="G546" s="13" t="s">
        <v>858</v>
      </c>
      <c r="H546" s="13"/>
      <c r="I546" s="13"/>
      <c r="J546" s="13"/>
      <c r="K546" s="14"/>
      <c r="L546" s="11" t="s">
        <v>36</v>
      </c>
      <c r="M546" s="11"/>
      <c r="N546" s="11" t="s">
        <v>36</v>
      </c>
      <c r="O546" s="3"/>
    </row>
    <row r="547" spans="1:15" x14ac:dyDescent="0.4">
      <c r="A547" s="3">
        <f t="shared" si="9"/>
        <v>543</v>
      </c>
      <c r="B547" s="16"/>
      <c r="C547" s="16"/>
      <c r="D547" s="16"/>
      <c r="E547" s="17"/>
      <c r="F547" s="37"/>
      <c r="G547" s="13" t="s">
        <v>859</v>
      </c>
      <c r="H547" s="13"/>
      <c r="I547" s="13"/>
      <c r="J547" s="13"/>
      <c r="K547" s="14"/>
      <c r="L547" s="11" t="s">
        <v>36</v>
      </c>
      <c r="M547" s="11"/>
      <c r="N547" s="11" t="s">
        <v>36</v>
      </c>
      <c r="O547" s="3"/>
    </row>
    <row r="548" spans="1:15" x14ac:dyDescent="0.4">
      <c r="A548" s="3">
        <f t="shared" si="9"/>
        <v>544</v>
      </c>
      <c r="B548" s="16"/>
      <c r="C548" s="16"/>
      <c r="D548" s="16"/>
      <c r="E548" s="15" t="s">
        <v>1437</v>
      </c>
      <c r="F548" s="9"/>
      <c r="G548" s="9"/>
      <c r="H548" s="9"/>
      <c r="I548" s="9"/>
      <c r="J548" s="9"/>
      <c r="K548" s="10"/>
      <c r="L548" s="8"/>
      <c r="M548" s="8"/>
      <c r="N548" s="8"/>
      <c r="O548" s="8"/>
    </row>
    <row r="549" spans="1:15" x14ac:dyDescent="0.4">
      <c r="A549" s="3">
        <f t="shared" si="9"/>
        <v>545</v>
      </c>
      <c r="B549" s="16"/>
      <c r="C549" s="16"/>
      <c r="D549" s="16"/>
      <c r="E549" s="16"/>
      <c r="F549" s="26" t="s">
        <v>857</v>
      </c>
      <c r="G549" s="13"/>
      <c r="H549" s="13"/>
      <c r="I549" s="13"/>
      <c r="J549" s="13"/>
      <c r="K549" s="14"/>
      <c r="L549" s="11" t="s">
        <v>36</v>
      </c>
      <c r="M549" s="11"/>
      <c r="N549" s="11" t="s">
        <v>36</v>
      </c>
      <c r="O549" s="3"/>
    </row>
    <row r="550" spans="1:15" x14ac:dyDescent="0.4">
      <c r="A550" s="3">
        <f t="shared" si="9"/>
        <v>546</v>
      </c>
      <c r="B550" s="16"/>
      <c r="C550" s="16"/>
      <c r="D550" s="16"/>
      <c r="E550" s="16"/>
      <c r="F550" s="32"/>
      <c r="G550" s="13" t="s">
        <v>858</v>
      </c>
      <c r="H550" s="13"/>
      <c r="I550" s="13"/>
      <c r="J550" s="13"/>
      <c r="K550" s="14"/>
      <c r="L550" s="11" t="s">
        <v>36</v>
      </c>
      <c r="M550" s="11"/>
      <c r="N550" s="11" t="s">
        <v>36</v>
      </c>
      <c r="O550" s="3"/>
    </row>
    <row r="551" spans="1:15" x14ac:dyDescent="0.4">
      <c r="A551" s="3">
        <f t="shared" si="9"/>
        <v>547</v>
      </c>
      <c r="B551" s="16"/>
      <c r="C551" s="16"/>
      <c r="D551" s="16"/>
      <c r="E551" s="17"/>
      <c r="F551" s="37"/>
      <c r="G551" s="13" t="s">
        <v>859</v>
      </c>
      <c r="H551" s="13"/>
      <c r="I551" s="13"/>
      <c r="J551" s="13"/>
      <c r="K551" s="14"/>
      <c r="L551" s="11" t="s">
        <v>36</v>
      </c>
      <c r="M551" s="11"/>
      <c r="N551" s="11" t="s">
        <v>36</v>
      </c>
      <c r="O551" s="3"/>
    </row>
    <row r="552" spans="1:15" x14ac:dyDescent="0.4">
      <c r="A552" s="3">
        <f t="shared" si="9"/>
        <v>548</v>
      </c>
      <c r="B552" s="16"/>
      <c r="C552" s="16"/>
      <c r="D552" s="16"/>
      <c r="E552" s="15" t="s">
        <v>1438</v>
      </c>
      <c r="F552" s="9"/>
      <c r="G552" s="9"/>
      <c r="H552" s="9"/>
      <c r="I552" s="9"/>
      <c r="J552" s="9"/>
      <c r="K552" s="10"/>
      <c r="L552" s="8"/>
      <c r="M552" s="8"/>
      <c r="N552" s="8"/>
      <c r="O552" s="8"/>
    </row>
    <row r="553" spans="1:15" x14ac:dyDescent="0.4">
      <c r="A553" s="3">
        <f t="shared" si="9"/>
        <v>549</v>
      </c>
      <c r="B553" s="16"/>
      <c r="C553" s="16"/>
      <c r="D553" s="16"/>
      <c r="E553" s="16"/>
      <c r="F553" s="26" t="s">
        <v>857</v>
      </c>
      <c r="G553" s="13"/>
      <c r="H553" s="13"/>
      <c r="I553" s="13"/>
      <c r="J553" s="13"/>
      <c r="K553" s="14"/>
      <c r="L553" s="11" t="s">
        <v>36</v>
      </c>
      <c r="M553" s="11"/>
      <c r="N553" s="11" t="s">
        <v>36</v>
      </c>
      <c r="O553" s="3"/>
    </row>
    <row r="554" spans="1:15" x14ac:dyDescent="0.4">
      <c r="A554" s="3">
        <f t="shared" si="9"/>
        <v>550</v>
      </c>
      <c r="B554" s="16"/>
      <c r="C554" s="16"/>
      <c r="D554" s="16"/>
      <c r="E554" s="16"/>
      <c r="F554" s="32"/>
      <c r="G554" s="13" t="s">
        <v>858</v>
      </c>
      <c r="H554" s="13"/>
      <c r="I554" s="13"/>
      <c r="J554" s="13"/>
      <c r="K554" s="14"/>
      <c r="L554" s="11" t="s">
        <v>36</v>
      </c>
      <c r="M554" s="11"/>
      <c r="N554" s="11" t="s">
        <v>36</v>
      </c>
      <c r="O554" s="3"/>
    </row>
    <row r="555" spans="1:15" x14ac:dyDescent="0.4">
      <c r="A555" s="3">
        <f t="shared" si="9"/>
        <v>551</v>
      </c>
      <c r="B555" s="16"/>
      <c r="C555" s="16"/>
      <c r="D555" s="16"/>
      <c r="E555" s="17"/>
      <c r="F555" s="37"/>
      <c r="G555" s="13" t="s">
        <v>859</v>
      </c>
      <c r="H555" s="13"/>
      <c r="I555" s="13"/>
      <c r="J555" s="13"/>
      <c r="K555" s="14"/>
      <c r="L555" s="11" t="s">
        <v>36</v>
      </c>
      <c r="M555" s="11"/>
      <c r="N555" s="11" t="s">
        <v>36</v>
      </c>
      <c r="O555" s="3"/>
    </row>
    <row r="556" spans="1:15" x14ac:dyDescent="0.4">
      <c r="A556" s="3">
        <f t="shared" si="9"/>
        <v>552</v>
      </c>
      <c r="B556" s="16"/>
      <c r="C556" s="16"/>
      <c r="D556" s="16"/>
      <c r="E556" s="15" t="s">
        <v>1439</v>
      </c>
      <c r="F556" s="9"/>
      <c r="G556" s="9"/>
      <c r="H556" s="9"/>
      <c r="I556" s="9"/>
      <c r="J556" s="9"/>
      <c r="K556" s="10"/>
      <c r="L556" s="8"/>
      <c r="M556" s="8"/>
      <c r="N556" s="8"/>
      <c r="O556" s="8"/>
    </row>
    <row r="557" spans="1:15" x14ac:dyDescent="0.4">
      <c r="A557" s="3">
        <f t="shared" si="9"/>
        <v>553</v>
      </c>
      <c r="B557" s="16"/>
      <c r="C557" s="16"/>
      <c r="D557" s="16"/>
      <c r="E557" s="16"/>
      <c r="F557" s="26" t="s">
        <v>857</v>
      </c>
      <c r="G557" s="13"/>
      <c r="H557" s="13"/>
      <c r="I557" s="13"/>
      <c r="J557" s="13"/>
      <c r="K557" s="14"/>
      <c r="L557" s="11" t="s">
        <v>36</v>
      </c>
      <c r="M557" s="11"/>
      <c r="N557" s="11" t="s">
        <v>36</v>
      </c>
      <c r="O557" s="3"/>
    </row>
    <row r="558" spans="1:15" x14ac:dyDescent="0.4">
      <c r="A558" s="3">
        <f t="shared" si="9"/>
        <v>554</v>
      </c>
      <c r="B558" s="16"/>
      <c r="C558" s="16"/>
      <c r="D558" s="16"/>
      <c r="E558" s="16"/>
      <c r="F558" s="32"/>
      <c r="G558" s="13" t="s">
        <v>858</v>
      </c>
      <c r="H558" s="13"/>
      <c r="I558" s="13"/>
      <c r="J558" s="13"/>
      <c r="K558" s="14"/>
      <c r="L558" s="11" t="s">
        <v>36</v>
      </c>
      <c r="M558" s="11"/>
      <c r="N558" s="11" t="s">
        <v>36</v>
      </c>
      <c r="O558" s="3"/>
    </row>
    <row r="559" spans="1:15" x14ac:dyDescent="0.4">
      <c r="A559" s="3">
        <f t="shared" si="9"/>
        <v>555</v>
      </c>
      <c r="B559" s="16"/>
      <c r="C559" s="16"/>
      <c r="D559" s="16"/>
      <c r="E559" s="17"/>
      <c r="F559" s="37"/>
      <c r="G559" s="13" t="s">
        <v>859</v>
      </c>
      <c r="H559" s="13"/>
      <c r="I559" s="13"/>
      <c r="J559" s="13"/>
      <c r="K559" s="14"/>
      <c r="L559" s="11" t="s">
        <v>36</v>
      </c>
      <c r="M559" s="11"/>
      <c r="N559" s="11" t="s">
        <v>36</v>
      </c>
      <c r="O559" s="3"/>
    </row>
    <row r="560" spans="1:15" x14ac:dyDescent="0.4">
      <c r="A560" s="3">
        <f t="shared" si="9"/>
        <v>556</v>
      </c>
      <c r="B560" s="16"/>
      <c r="C560" s="16"/>
      <c r="D560" s="16"/>
      <c r="E560" s="15" t="s">
        <v>1440</v>
      </c>
      <c r="F560" s="9"/>
      <c r="G560" s="9"/>
      <c r="H560" s="9"/>
      <c r="I560" s="9"/>
      <c r="J560" s="9"/>
      <c r="K560" s="10"/>
      <c r="L560" s="8"/>
      <c r="M560" s="8"/>
      <c r="N560" s="8"/>
      <c r="O560" s="8"/>
    </row>
    <row r="561" spans="1:15" x14ac:dyDescent="0.4">
      <c r="A561" s="3">
        <f t="shared" ref="A561:A610" si="10">A560+1</f>
        <v>557</v>
      </c>
      <c r="B561" s="16"/>
      <c r="C561" s="16"/>
      <c r="D561" s="16"/>
      <c r="E561" s="16"/>
      <c r="F561" s="26" t="s">
        <v>857</v>
      </c>
      <c r="G561" s="13"/>
      <c r="H561" s="13"/>
      <c r="I561" s="13"/>
      <c r="J561" s="13"/>
      <c r="K561" s="14"/>
      <c r="L561" s="11" t="s">
        <v>36</v>
      </c>
      <c r="M561" s="11"/>
      <c r="N561" s="11" t="s">
        <v>36</v>
      </c>
      <c r="O561" s="3"/>
    </row>
    <row r="562" spans="1:15" x14ac:dyDescent="0.4">
      <c r="A562" s="3">
        <f t="shared" si="10"/>
        <v>558</v>
      </c>
      <c r="B562" s="16"/>
      <c r="C562" s="16"/>
      <c r="D562" s="16"/>
      <c r="E562" s="16"/>
      <c r="F562" s="32"/>
      <c r="G562" s="13" t="s">
        <v>858</v>
      </c>
      <c r="H562" s="13"/>
      <c r="I562" s="13"/>
      <c r="J562" s="13"/>
      <c r="K562" s="14"/>
      <c r="L562" s="11" t="s">
        <v>36</v>
      </c>
      <c r="M562" s="11"/>
      <c r="N562" s="11" t="s">
        <v>36</v>
      </c>
      <c r="O562" s="3"/>
    </row>
    <row r="563" spans="1:15" x14ac:dyDescent="0.4">
      <c r="A563" s="3">
        <f t="shared" si="10"/>
        <v>559</v>
      </c>
      <c r="B563" s="16"/>
      <c r="C563" s="16"/>
      <c r="D563" s="16"/>
      <c r="E563" s="17"/>
      <c r="F563" s="37"/>
      <c r="G563" s="13" t="s">
        <v>859</v>
      </c>
      <c r="H563" s="13"/>
      <c r="I563" s="13"/>
      <c r="J563" s="13"/>
      <c r="K563" s="14"/>
      <c r="L563" s="11" t="s">
        <v>36</v>
      </c>
      <c r="M563" s="11"/>
      <c r="N563" s="11" t="s">
        <v>36</v>
      </c>
      <c r="O563" s="3"/>
    </row>
    <row r="564" spans="1:15" x14ac:dyDescent="0.4">
      <c r="A564" s="3">
        <f t="shared" si="10"/>
        <v>560</v>
      </c>
      <c r="B564" s="16"/>
      <c r="C564" s="16"/>
      <c r="D564" s="16"/>
      <c r="E564" s="15" t="s">
        <v>1441</v>
      </c>
      <c r="F564" s="9"/>
      <c r="G564" s="9"/>
      <c r="H564" s="9"/>
      <c r="I564" s="9"/>
      <c r="J564" s="9"/>
      <c r="K564" s="10"/>
      <c r="L564" s="8"/>
      <c r="M564" s="8"/>
      <c r="N564" s="8"/>
      <c r="O564" s="8"/>
    </row>
    <row r="565" spans="1:15" x14ac:dyDescent="0.4">
      <c r="A565" s="3">
        <f t="shared" si="10"/>
        <v>561</v>
      </c>
      <c r="B565" s="16"/>
      <c r="C565" s="16"/>
      <c r="D565" s="16"/>
      <c r="E565" s="16"/>
      <c r="F565" s="26" t="s">
        <v>857</v>
      </c>
      <c r="G565" s="13"/>
      <c r="H565" s="13"/>
      <c r="I565" s="13"/>
      <c r="J565" s="13"/>
      <c r="K565" s="14"/>
      <c r="L565" s="11" t="s">
        <v>36</v>
      </c>
      <c r="M565" s="11"/>
      <c r="N565" s="11" t="s">
        <v>36</v>
      </c>
      <c r="O565" s="3"/>
    </row>
    <row r="566" spans="1:15" x14ac:dyDescent="0.4">
      <c r="A566" s="3">
        <f t="shared" si="10"/>
        <v>562</v>
      </c>
      <c r="B566" s="16"/>
      <c r="C566" s="16"/>
      <c r="D566" s="16"/>
      <c r="E566" s="16"/>
      <c r="F566" s="32"/>
      <c r="G566" s="13" t="s">
        <v>858</v>
      </c>
      <c r="H566" s="13"/>
      <c r="I566" s="13"/>
      <c r="J566" s="13"/>
      <c r="K566" s="14"/>
      <c r="L566" s="11" t="s">
        <v>36</v>
      </c>
      <c r="M566" s="11"/>
      <c r="N566" s="11" t="s">
        <v>36</v>
      </c>
      <c r="O566" s="3"/>
    </row>
    <row r="567" spans="1:15" x14ac:dyDescent="0.4">
      <c r="A567" s="3">
        <f t="shared" si="10"/>
        <v>563</v>
      </c>
      <c r="B567" s="16"/>
      <c r="C567" s="16"/>
      <c r="D567" s="17"/>
      <c r="E567" s="17"/>
      <c r="F567" s="37"/>
      <c r="G567" s="13" t="s">
        <v>859</v>
      </c>
      <c r="H567" s="13"/>
      <c r="I567" s="13"/>
      <c r="J567" s="13"/>
      <c r="K567" s="14"/>
      <c r="L567" s="11" t="s">
        <v>36</v>
      </c>
      <c r="M567" s="11"/>
      <c r="N567" s="11" t="s">
        <v>36</v>
      </c>
      <c r="O567" s="3"/>
    </row>
    <row r="568" spans="1:15" x14ac:dyDescent="0.4">
      <c r="A568" s="3">
        <f t="shared" si="10"/>
        <v>564</v>
      </c>
      <c r="B568" s="16"/>
      <c r="C568" s="16"/>
      <c r="D568" s="15" t="s">
        <v>883</v>
      </c>
      <c r="E568" s="9"/>
      <c r="F568" s="9"/>
      <c r="G568" s="9"/>
      <c r="H568" s="9"/>
      <c r="I568" s="9"/>
      <c r="J568" s="9"/>
      <c r="K568" s="10"/>
      <c r="L568" s="8"/>
      <c r="M568" s="8"/>
      <c r="N568" s="8"/>
      <c r="O568" s="8"/>
    </row>
    <row r="569" spans="1:15" x14ac:dyDescent="0.4">
      <c r="A569" s="3">
        <f t="shared" si="10"/>
        <v>565</v>
      </c>
      <c r="B569" s="16"/>
      <c r="C569" s="16"/>
      <c r="D569" s="16"/>
      <c r="E569" s="15" t="s">
        <v>884</v>
      </c>
      <c r="F569" s="9"/>
      <c r="G569" s="9"/>
      <c r="H569" s="9"/>
      <c r="I569" s="9"/>
      <c r="J569" s="9"/>
      <c r="K569" s="10"/>
      <c r="L569" s="8"/>
      <c r="M569" s="8"/>
      <c r="N569" s="8"/>
      <c r="O569" s="8"/>
    </row>
    <row r="570" spans="1:15" x14ac:dyDescent="0.4">
      <c r="A570" s="3">
        <f t="shared" si="10"/>
        <v>566</v>
      </c>
      <c r="B570" s="16"/>
      <c r="C570" s="16"/>
      <c r="D570" s="16"/>
      <c r="E570" s="16"/>
      <c r="F570" s="26" t="s">
        <v>857</v>
      </c>
      <c r="G570" s="13"/>
      <c r="H570" s="13"/>
      <c r="I570" s="13"/>
      <c r="J570" s="13"/>
      <c r="K570" s="14"/>
      <c r="L570" s="11" t="s">
        <v>36</v>
      </c>
      <c r="M570" s="11"/>
      <c r="N570" s="11" t="s">
        <v>36</v>
      </c>
      <c r="O570" s="3"/>
    </row>
    <row r="571" spans="1:15" x14ac:dyDescent="0.4">
      <c r="A571" s="3">
        <f t="shared" si="10"/>
        <v>567</v>
      </c>
      <c r="B571" s="16"/>
      <c r="C571" s="16"/>
      <c r="D571" s="16"/>
      <c r="E571" s="16"/>
      <c r="F571" s="32"/>
      <c r="G571" s="13" t="s">
        <v>858</v>
      </c>
      <c r="H571" s="13"/>
      <c r="I571" s="13"/>
      <c r="J571" s="13"/>
      <c r="K571" s="14"/>
      <c r="L571" s="11" t="s">
        <v>36</v>
      </c>
      <c r="M571" s="11"/>
      <c r="N571" s="11" t="s">
        <v>36</v>
      </c>
      <c r="O571" s="3"/>
    </row>
    <row r="572" spans="1:15" x14ac:dyDescent="0.4">
      <c r="A572" s="3">
        <f t="shared" si="10"/>
        <v>568</v>
      </c>
      <c r="B572" s="16"/>
      <c r="C572" s="16"/>
      <c r="D572" s="16"/>
      <c r="E572" s="17"/>
      <c r="F572" s="37"/>
      <c r="G572" s="13" t="s">
        <v>859</v>
      </c>
      <c r="H572" s="13"/>
      <c r="I572" s="13"/>
      <c r="J572" s="13"/>
      <c r="K572" s="14"/>
      <c r="L572" s="11" t="s">
        <v>36</v>
      </c>
      <c r="M572" s="11"/>
      <c r="N572" s="11" t="s">
        <v>36</v>
      </c>
      <c r="O572" s="3"/>
    </row>
    <row r="573" spans="1:15" x14ac:dyDescent="0.4">
      <c r="A573" s="3">
        <f t="shared" si="10"/>
        <v>569</v>
      </c>
      <c r="B573" s="16"/>
      <c r="C573" s="16"/>
      <c r="D573" s="16"/>
      <c r="E573" s="15" t="s">
        <v>885</v>
      </c>
      <c r="F573" s="9"/>
      <c r="G573" s="9"/>
      <c r="H573" s="9"/>
      <c r="I573" s="9"/>
      <c r="J573" s="9"/>
      <c r="K573" s="10"/>
      <c r="L573" s="8"/>
      <c r="M573" s="8"/>
      <c r="N573" s="8"/>
      <c r="O573" s="8"/>
    </row>
    <row r="574" spans="1:15" x14ac:dyDescent="0.4">
      <c r="A574" s="3">
        <f t="shared" si="10"/>
        <v>570</v>
      </c>
      <c r="B574" s="16"/>
      <c r="C574" s="16"/>
      <c r="D574" s="16"/>
      <c r="E574" s="16"/>
      <c r="F574" s="26" t="s">
        <v>857</v>
      </c>
      <c r="G574" s="13"/>
      <c r="H574" s="13"/>
      <c r="I574" s="13"/>
      <c r="J574" s="13"/>
      <c r="K574" s="14"/>
      <c r="L574" s="11" t="s">
        <v>36</v>
      </c>
      <c r="M574" s="11"/>
      <c r="N574" s="11" t="s">
        <v>36</v>
      </c>
      <c r="O574" s="3"/>
    </row>
    <row r="575" spans="1:15" x14ac:dyDescent="0.4">
      <c r="A575" s="3">
        <f t="shared" si="10"/>
        <v>571</v>
      </c>
      <c r="B575" s="16"/>
      <c r="C575" s="16"/>
      <c r="D575" s="16"/>
      <c r="E575" s="16"/>
      <c r="F575" s="32"/>
      <c r="G575" s="13" t="s">
        <v>858</v>
      </c>
      <c r="H575" s="13"/>
      <c r="I575" s="13"/>
      <c r="J575" s="13"/>
      <c r="K575" s="14"/>
      <c r="L575" s="11" t="s">
        <v>36</v>
      </c>
      <c r="M575" s="11"/>
      <c r="N575" s="11" t="s">
        <v>36</v>
      </c>
      <c r="O575" s="3"/>
    </row>
    <row r="576" spans="1:15" x14ac:dyDescent="0.4">
      <c r="A576" s="3">
        <f t="shared" si="10"/>
        <v>572</v>
      </c>
      <c r="B576" s="16"/>
      <c r="C576" s="16"/>
      <c r="D576" s="16"/>
      <c r="E576" s="17"/>
      <c r="F576" s="37"/>
      <c r="G576" s="13" t="s">
        <v>859</v>
      </c>
      <c r="H576" s="13"/>
      <c r="I576" s="13"/>
      <c r="J576" s="13"/>
      <c r="K576" s="14"/>
      <c r="L576" s="11" t="s">
        <v>36</v>
      </c>
      <c r="M576" s="11"/>
      <c r="N576" s="11" t="s">
        <v>36</v>
      </c>
      <c r="O576" s="3"/>
    </row>
    <row r="577" spans="1:15" x14ac:dyDescent="0.4">
      <c r="A577" s="3">
        <f t="shared" si="10"/>
        <v>573</v>
      </c>
      <c r="B577" s="16"/>
      <c r="C577" s="16"/>
      <c r="D577" s="16"/>
      <c r="E577" s="15" t="s">
        <v>886</v>
      </c>
      <c r="F577" s="9"/>
      <c r="G577" s="9"/>
      <c r="H577" s="9"/>
      <c r="I577" s="9"/>
      <c r="J577" s="9"/>
      <c r="K577" s="10"/>
      <c r="L577" s="8"/>
      <c r="M577" s="8"/>
      <c r="N577" s="8"/>
      <c r="O577" s="8"/>
    </row>
    <row r="578" spans="1:15" x14ac:dyDescent="0.4">
      <c r="A578" s="3">
        <f t="shared" si="10"/>
        <v>574</v>
      </c>
      <c r="B578" s="16"/>
      <c r="C578" s="16"/>
      <c r="D578" s="16"/>
      <c r="E578" s="16"/>
      <c r="F578" s="26" t="s">
        <v>857</v>
      </c>
      <c r="G578" s="13"/>
      <c r="H578" s="13"/>
      <c r="I578" s="13"/>
      <c r="J578" s="13"/>
      <c r="K578" s="14"/>
      <c r="L578" s="11" t="s">
        <v>36</v>
      </c>
      <c r="M578" s="11"/>
      <c r="N578" s="11" t="s">
        <v>36</v>
      </c>
      <c r="O578" s="3"/>
    </row>
    <row r="579" spans="1:15" x14ac:dyDescent="0.4">
      <c r="A579" s="3">
        <f t="shared" si="10"/>
        <v>575</v>
      </c>
      <c r="B579" s="16"/>
      <c r="C579" s="16"/>
      <c r="D579" s="16"/>
      <c r="E579" s="16"/>
      <c r="F579" s="32"/>
      <c r="G579" s="13" t="s">
        <v>858</v>
      </c>
      <c r="H579" s="13"/>
      <c r="I579" s="13"/>
      <c r="J579" s="13"/>
      <c r="K579" s="14"/>
      <c r="L579" s="11" t="s">
        <v>36</v>
      </c>
      <c r="M579" s="11"/>
      <c r="N579" s="11" t="s">
        <v>36</v>
      </c>
      <c r="O579" s="3"/>
    </row>
    <row r="580" spans="1:15" x14ac:dyDescent="0.4">
      <c r="A580" s="3">
        <f t="shared" si="10"/>
        <v>576</v>
      </c>
      <c r="B580" s="16"/>
      <c r="C580" s="16"/>
      <c r="D580" s="17"/>
      <c r="E580" s="17"/>
      <c r="F580" s="37"/>
      <c r="G580" s="13" t="s">
        <v>859</v>
      </c>
      <c r="H580" s="13"/>
      <c r="I580" s="13"/>
      <c r="J580" s="13"/>
      <c r="K580" s="14"/>
      <c r="L580" s="11" t="s">
        <v>36</v>
      </c>
      <c r="M580" s="11"/>
      <c r="N580" s="11" t="s">
        <v>36</v>
      </c>
      <c r="O580" s="3"/>
    </row>
    <row r="581" spans="1:15" x14ac:dyDescent="0.4">
      <c r="A581" s="3">
        <f t="shared" si="10"/>
        <v>577</v>
      </c>
      <c r="B581" s="16"/>
      <c r="C581" s="16"/>
      <c r="D581" s="15" t="s">
        <v>24</v>
      </c>
      <c r="E581" s="9"/>
      <c r="F581" s="9"/>
      <c r="G581" s="9"/>
      <c r="H581" s="9"/>
      <c r="I581" s="9"/>
      <c r="J581" s="9"/>
      <c r="K581" s="10"/>
      <c r="L581" s="8"/>
      <c r="M581" s="8"/>
      <c r="N581" s="8"/>
      <c r="O581" s="8"/>
    </row>
    <row r="582" spans="1:15" x14ac:dyDescent="0.4">
      <c r="A582" s="3">
        <f t="shared" si="10"/>
        <v>578</v>
      </c>
      <c r="B582" s="16"/>
      <c r="C582" s="16"/>
      <c r="D582" s="16"/>
      <c r="E582" s="15" t="s">
        <v>1442</v>
      </c>
      <c r="F582" s="9"/>
      <c r="G582" s="9"/>
      <c r="H582" s="9"/>
      <c r="I582" s="9"/>
      <c r="J582" s="9"/>
      <c r="K582" s="10"/>
      <c r="L582" s="8"/>
      <c r="M582" s="8"/>
      <c r="N582" s="8"/>
      <c r="O582" s="8"/>
    </row>
    <row r="583" spans="1:15" x14ac:dyDescent="0.4">
      <c r="A583" s="3">
        <f t="shared" si="10"/>
        <v>579</v>
      </c>
      <c r="B583" s="16"/>
      <c r="C583" s="16"/>
      <c r="D583" s="16"/>
      <c r="E583" s="16"/>
      <c r="F583" s="26" t="s">
        <v>857</v>
      </c>
      <c r="G583" s="13"/>
      <c r="H583" s="13"/>
      <c r="I583" s="13"/>
      <c r="J583" s="13"/>
      <c r="K583" s="14"/>
      <c r="L583" s="11" t="s">
        <v>36</v>
      </c>
      <c r="M583" s="11"/>
      <c r="N583" s="11" t="s">
        <v>36</v>
      </c>
      <c r="O583" s="3"/>
    </row>
    <row r="584" spans="1:15" x14ac:dyDescent="0.4">
      <c r="A584" s="3">
        <f t="shared" si="10"/>
        <v>580</v>
      </c>
      <c r="B584" s="16"/>
      <c r="C584" s="16"/>
      <c r="D584" s="16"/>
      <c r="E584" s="16"/>
      <c r="F584" s="32"/>
      <c r="G584" s="13" t="s">
        <v>858</v>
      </c>
      <c r="H584" s="13"/>
      <c r="I584" s="13"/>
      <c r="J584" s="13"/>
      <c r="K584" s="14"/>
      <c r="L584" s="11" t="s">
        <v>36</v>
      </c>
      <c r="M584" s="11"/>
      <c r="N584" s="11" t="s">
        <v>36</v>
      </c>
      <c r="O584" s="3"/>
    </row>
    <row r="585" spans="1:15" x14ac:dyDescent="0.4">
      <c r="A585" s="3">
        <f t="shared" si="10"/>
        <v>581</v>
      </c>
      <c r="B585" s="16"/>
      <c r="C585" s="16"/>
      <c r="D585" s="16"/>
      <c r="E585" s="17"/>
      <c r="F585" s="37"/>
      <c r="G585" s="13" t="s">
        <v>859</v>
      </c>
      <c r="H585" s="13"/>
      <c r="I585" s="13"/>
      <c r="J585" s="13"/>
      <c r="K585" s="14"/>
      <c r="L585" s="11" t="s">
        <v>36</v>
      </c>
      <c r="M585" s="11"/>
      <c r="N585" s="11" t="s">
        <v>36</v>
      </c>
      <c r="O585" s="3"/>
    </row>
    <row r="586" spans="1:15" x14ac:dyDescent="0.4">
      <c r="A586" s="3">
        <f t="shared" si="10"/>
        <v>582</v>
      </c>
      <c r="B586" s="16"/>
      <c r="C586" s="16"/>
      <c r="D586" s="16"/>
      <c r="E586" s="15" t="s">
        <v>887</v>
      </c>
      <c r="F586" s="9"/>
      <c r="G586" s="9"/>
      <c r="H586" s="9"/>
      <c r="I586" s="9"/>
      <c r="J586" s="9"/>
      <c r="K586" s="10"/>
      <c r="L586" s="8"/>
      <c r="M586" s="8"/>
      <c r="N586" s="8"/>
      <c r="O586" s="8"/>
    </row>
    <row r="587" spans="1:15" x14ac:dyDescent="0.4">
      <c r="A587" s="3">
        <f t="shared" si="10"/>
        <v>583</v>
      </c>
      <c r="B587" s="16"/>
      <c r="C587" s="16"/>
      <c r="D587" s="16"/>
      <c r="E587" s="16"/>
      <c r="F587" s="26" t="s">
        <v>857</v>
      </c>
      <c r="G587" s="13"/>
      <c r="H587" s="13"/>
      <c r="I587" s="13"/>
      <c r="J587" s="13"/>
      <c r="K587" s="14"/>
      <c r="L587" s="11" t="s">
        <v>36</v>
      </c>
      <c r="M587" s="11"/>
      <c r="N587" s="11" t="s">
        <v>36</v>
      </c>
      <c r="O587" s="3"/>
    </row>
    <row r="588" spans="1:15" x14ac:dyDescent="0.4">
      <c r="A588" s="3">
        <f t="shared" si="10"/>
        <v>584</v>
      </c>
      <c r="B588" s="16"/>
      <c r="C588" s="16"/>
      <c r="D588" s="16"/>
      <c r="E588" s="16"/>
      <c r="F588" s="32"/>
      <c r="G588" s="13" t="s">
        <v>858</v>
      </c>
      <c r="H588" s="13"/>
      <c r="I588" s="13"/>
      <c r="J588" s="13"/>
      <c r="K588" s="14"/>
      <c r="L588" s="11" t="s">
        <v>36</v>
      </c>
      <c r="M588" s="11"/>
      <c r="N588" s="11" t="s">
        <v>36</v>
      </c>
      <c r="O588" s="3"/>
    </row>
    <row r="589" spans="1:15" x14ac:dyDescent="0.4">
      <c r="A589" s="3">
        <f t="shared" si="10"/>
        <v>585</v>
      </c>
      <c r="B589" s="16"/>
      <c r="C589" s="16"/>
      <c r="D589" s="16"/>
      <c r="E589" s="17"/>
      <c r="F589" s="37"/>
      <c r="G589" s="13" t="s">
        <v>859</v>
      </c>
      <c r="H589" s="13"/>
      <c r="I589" s="13"/>
      <c r="J589" s="13"/>
      <c r="K589" s="14"/>
      <c r="L589" s="11" t="s">
        <v>36</v>
      </c>
      <c r="M589" s="11"/>
      <c r="N589" s="11" t="s">
        <v>36</v>
      </c>
      <c r="O589" s="3"/>
    </row>
    <row r="590" spans="1:15" x14ac:dyDescent="0.4">
      <c r="A590" s="3">
        <f t="shared" si="10"/>
        <v>586</v>
      </c>
      <c r="B590" s="16"/>
      <c r="C590" s="16"/>
      <c r="D590" s="16"/>
      <c r="E590" s="15" t="s">
        <v>888</v>
      </c>
      <c r="F590" s="9"/>
      <c r="G590" s="9"/>
      <c r="H590" s="9"/>
      <c r="I590" s="9"/>
      <c r="J590" s="9"/>
      <c r="K590" s="10"/>
      <c r="L590" s="8"/>
      <c r="M590" s="8"/>
      <c r="N590" s="8"/>
      <c r="O590" s="8"/>
    </row>
    <row r="591" spans="1:15" x14ac:dyDescent="0.4">
      <c r="A591" s="3">
        <f t="shared" si="10"/>
        <v>587</v>
      </c>
      <c r="B591" s="16"/>
      <c r="C591" s="16"/>
      <c r="D591" s="16"/>
      <c r="E591" s="16"/>
      <c r="F591" s="26" t="s">
        <v>857</v>
      </c>
      <c r="G591" s="13"/>
      <c r="H591" s="13"/>
      <c r="I591" s="13"/>
      <c r="J591" s="13"/>
      <c r="K591" s="14"/>
      <c r="L591" s="11" t="s">
        <v>36</v>
      </c>
      <c r="M591" s="11"/>
      <c r="N591" s="11" t="s">
        <v>36</v>
      </c>
      <c r="O591" s="3"/>
    </row>
    <row r="592" spans="1:15" x14ac:dyDescent="0.4">
      <c r="A592" s="3">
        <f t="shared" si="10"/>
        <v>588</v>
      </c>
      <c r="B592" s="16"/>
      <c r="C592" s="16"/>
      <c r="D592" s="16"/>
      <c r="E592" s="16"/>
      <c r="F592" s="32"/>
      <c r="G592" s="13" t="s">
        <v>858</v>
      </c>
      <c r="H592" s="13"/>
      <c r="I592" s="13"/>
      <c r="J592" s="13"/>
      <c r="K592" s="14"/>
      <c r="L592" s="11" t="s">
        <v>36</v>
      </c>
      <c r="M592" s="11"/>
      <c r="N592" s="11" t="s">
        <v>36</v>
      </c>
      <c r="O592" s="3"/>
    </row>
    <row r="593" spans="1:15" x14ac:dyDescent="0.4">
      <c r="A593" s="3">
        <f t="shared" si="10"/>
        <v>589</v>
      </c>
      <c r="B593" s="16"/>
      <c r="C593" s="16"/>
      <c r="D593" s="16"/>
      <c r="E593" s="17"/>
      <c r="F593" s="37"/>
      <c r="G593" s="13" t="s">
        <v>859</v>
      </c>
      <c r="H593" s="13"/>
      <c r="I593" s="13"/>
      <c r="J593" s="13"/>
      <c r="K593" s="14"/>
      <c r="L593" s="11" t="s">
        <v>36</v>
      </c>
      <c r="M593" s="11"/>
      <c r="N593" s="11" t="s">
        <v>36</v>
      </c>
      <c r="O593" s="3"/>
    </row>
    <row r="594" spans="1:15" x14ac:dyDescent="0.4">
      <c r="A594" s="3">
        <f t="shared" si="10"/>
        <v>590</v>
      </c>
      <c r="B594" s="16"/>
      <c r="C594" s="16"/>
      <c r="D594" s="16"/>
      <c r="E594" s="15" t="s">
        <v>889</v>
      </c>
      <c r="F594" s="9"/>
      <c r="G594" s="9"/>
      <c r="H594" s="9"/>
      <c r="I594" s="9"/>
      <c r="J594" s="9"/>
      <c r="K594" s="10"/>
      <c r="L594" s="8"/>
      <c r="M594" s="8"/>
      <c r="N594" s="8"/>
      <c r="O594" s="8"/>
    </row>
    <row r="595" spans="1:15" x14ac:dyDescent="0.4">
      <c r="A595" s="3">
        <f t="shared" si="10"/>
        <v>591</v>
      </c>
      <c r="B595" s="16"/>
      <c r="C595" s="16"/>
      <c r="D595" s="16"/>
      <c r="E595" s="16"/>
      <c r="F595" s="26" t="s">
        <v>857</v>
      </c>
      <c r="G595" s="13"/>
      <c r="H595" s="13"/>
      <c r="I595" s="13"/>
      <c r="J595" s="13"/>
      <c r="K595" s="14"/>
      <c r="L595" s="11" t="s">
        <v>36</v>
      </c>
      <c r="M595" s="11"/>
      <c r="N595" s="11" t="s">
        <v>36</v>
      </c>
      <c r="O595" s="3"/>
    </row>
    <row r="596" spans="1:15" x14ac:dyDescent="0.4">
      <c r="A596" s="3">
        <f t="shared" si="10"/>
        <v>592</v>
      </c>
      <c r="B596" s="16"/>
      <c r="C596" s="16"/>
      <c r="D596" s="16"/>
      <c r="E596" s="16"/>
      <c r="F596" s="32"/>
      <c r="G596" s="13" t="s">
        <v>858</v>
      </c>
      <c r="H596" s="13"/>
      <c r="I596" s="13"/>
      <c r="J596" s="13"/>
      <c r="K596" s="14"/>
      <c r="L596" s="11" t="s">
        <v>36</v>
      </c>
      <c r="M596" s="11"/>
      <c r="N596" s="11" t="s">
        <v>36</v>
      </c>
      <c r="O596" s="3"/>
    </row>
    <row r="597" spans="1:15" x14ac:dyDescent="0.4">
      <c r="A597" s="3">
        <f t="shared" si="10"/>
        <v>593</v>
      </c>
      <c r="B597" s="16"/>
      <c r="C597" s="16"/>
      <c r="D597" s="16"/>
      <c r="E597" s="17"/>
      <c r="F597" s="37"/>
      <c r="G597" s="13" t="s">
        <v>859</v>
      </c>
      <c r="H597" s="13"/>
      <c r="I597" s="13"/>
      <c r="J597" s="13"/>
      <c r="K597" s="14"/>
      <c r="L597" s="11" t="s">
        <v>36</v>
      </c>
      <c r="M597" s="11"/>
      <c r="N597" s="11" t="s">
        <v>36</v>
      </c>
      <c r="O597" s="3"/>
    </row>
    <row r="598" spans="1:15" x14ac:dyDescent="0.4">
      <c r="A598" s="3">
        <f t="shared" si="10"/>
        <v>594</v>
      </c>
      <c r="B598" s="16"/>
      <c r="C598" s="16"/>
      <c r="D598" s="16"/>
      <c r="E598" s="15" t="s">
        <v>890</v>
      </c>
      <c r="F598" s="9"/>
      <c r="G598" s="9"/>
      <c r="H598" s="9"/>
      <c r="I598" s="9"/>
      <c r="J598" s="9"/>
      <c r="K598" s="10"/>
      <c r="L598" s="8"/>
      <c r="M598" s="8"/>
      <c r="N598" s="8"/>
      <c r="O598" s="8"/>
    </row>
    <row r="599" spans="1:15" x14ac:dyDescent="0.4">
      <c r="A599" s="3">
        <f t="shared" si="10"/>
        <v>595</v>
      </c>
      <c r="B599" s="16"/>
      <c r="C599" s="16"/>
      <c r="D599" s="16"/>
      <c r="E599" s="16"/>
      <c r="F599" s="26" t="s">
        <v>857</v>
      </c>
      <c r="G599" s="13"/>
      <c r="H599" s="13"/>
      <c r="I599" s="13"/>
      <c r="J599" s="13"/>
      <c r="K599" s="14"/>
      <c r="L599" s="11" t="s">
        <v>36</v>
      </c>
      <c r="M599" s="11"/>
      <c r="N599" s="11" t="s">
        <v>36</v>
      </c>
      <c r="O599" s="3"/>
    </row>
    <row r="600" spans="1:15" x14ac:dyDescent="0.4">
      <c r="A600" s="3">
        <f t="shared" si="10"/>
        <v>596</v>
      </c>
      <c r="B600" s="16"/>
      <c r="C600" s="16"/>
      <c r="D600" s="16"/>
      <c r="E600" s="16"/>
      <c r="F600" s="32"/>
      <c r="G600" s="13" t="s">
        <v>858</v>
      </c>
      <c r="H600" s="13"/>
      <c r="I600" s="13"/>
      <c r="J600" s="13"/>
      <c r="K600" s="14"/>
      <c r="L600" s="11" t="s">
        <v>36</v>
      </c>
      <c r="M600" s="11"/>
      <c r="N600" s="11" t="s">
        <v>36</v>
      </c>
      <c r="O600" s="3"/>
    </row>
    <row r="601" spans="1:15" x14ac:dyDescent="0.4">
      <c r="A601" s="3">
        <f t="shared" si="10"/>
        <v>597</v>
      </c>
      <c r="B601" s="16"/>
      <c r="C601" s="16"/>
      <c r="D601" s="17"/>
      <c r="E601" s="17"/>
      <c r="F601" s="37"/>
      <c r="G601" s="13" t="s">
        <v>859</v>
      </c>
      <c r="H601" s="13"/>
      <c r="I601" s="13"/>
      <c r="J601" s="13"/>
      <c r="K601" s="14"/>
      <c r="L601" s="11" t="s">
        <v>36</v>
      </c>
      <c r="M601" s="11"/>
      <c r="N601" s="11" t="s">
        <v>36</v>
      </c>
      <c r="O601" s="3"/>
    </row>
    <row r="602" spans="1:15" x14ac:dyDescent="0.4">
      <c r="A602" s="3">
        <f t="shared" si="10"/>
        <v>598</v>
      </c>
      <c r="B602" s="16"/>
      <c r="C602" s="16"/>
      <c r="D602" s="15" t="s">
        <v>1443</v>
      </c>
      <c r="E602" s="9"/>
      <c r="F602" s="9"/>
      <c r="G602" s="9"/>
      <c r="H602" s="9"/>
      <c r="I602" s="9"/>
      <c r="J602" s="9"/>
      <c r="K602" s="10"/>
      <c r="L602" s="8"/>
      <c r="M602" s="8"/>
      <c r="N602" s="8"/>
      <c r="O602" s="8"/>
    </row>
    <row r="603" spans="1:15" x14ac:dyDescent="0.4">
      <c r="A603" s="3">
        <f t="shared" si="10"/>
        <v>599</v>
      </c>
      <c r="B603" s="16"/>
      <c r="C603" s="16"/>
      <c r="D603" s="16"/>
      <c r="E603" s="15" t="s">
        <v>120</v>
      </c>
      <c r="F603" s="9"/>
      <c r="G603" s="9"/>
      <c r="H603" s="9"/>
      <c r="I603" s="9"/>
      <c r="J603" s="9"/>
      <c r="K603" s="10"/>
      <c r="L603" s="8"/>
      <c r="M603" s="8"/>
      <c r="N603" s="8"/>
      <c r="O603" s="8"/>
    </row>
    <row r="604" spans="1:15" x14ac:dyDescent="0.4">
      <c r="A604" s="3">
        <f t="shared" si="10"/>
        <v>600</v>
      </c>
      <c r="B604" s="16"/>
      <c r="C604" s="16"/>
      <c r="D604" s="16"/>
      <c r="E604" s="16"/>
      <c r="F604" s="26" t="s">
        <v>857</v>
      </c>
      <c r="G604" s="13"/>
      <c r="H604" s="13"/>
      <c r="I604" s="13"/>
      <c r="J604" s="13"/>
      <c r="K604" s="14"/>
      <c r="L604" s="11" t="s">
        <v>36</v>
      </c>
      <c r="M604" s="11"/>
      <c r="N604" s="11" t="s">
        <v>36</v>
      </c>
      <c r="O604" s="3"/>
    </row>
    <row r="605" spans="1:15" x14ac:dyDescent="0.4">
      <c r="A605" s="3">
        <f t="shared" si="10"/>
        <v>601</v>
      </c>
      <c r="B605" s="16"/>
      <c r="C605" s="16"/>
      <c r="D605" s="16"/>
      <c r="E605" s="16"/>
      <c r="F605" s="32"/>
      <c r="G605" s="13" t="s">
        <v>858</v>
      </c>
      <c r="H605" s="13"/>
      <c r="I605" s="13"/>
      <c r="J605" s="13"/>
      <c r="K605" s="14"/>
      <c r="L605" s="11" t="s">
        <v>36</v>
      </c>
      <c r="M605" s="11"/>
      <c r="N605" s="11" t="s">
        <v>36</v>
      </c>
      <c r="O605" s="3"/>
    </row>
    <row r="606" spans="1:15" x14ac:dyDescent="0.4">
      <c r="A606" s="3">
        <f t="shared" si="10"/>
        <v>602</v>
      </c>
      <c r="B606" s="16"/>
      <c r="C606" s="16"/>
      <c r="D606" s="16"/>
      <c r="E606" s="17"/>
      <c r="F606" s="37"/>
      <c r="G606" s="13" t="s">
        <v>859</v>
      </c>
      <c r="H606" s="13"/>
      <c r="I606" s="13"/>
      <c r="J606" s="13"/>
      <c r="K606" s="14"/>
      <c r="L606" s="11" t="s">
        <v>36</v>
      </c>
      <c r="M606" s="11"/>
      <c r="N606" s="11" t="s">
        <v>36</v>
      </c>
      <c r="O606" s="3"/>
    </row>
    <row r="607" spans="1:15" x14ac:dyDescent="0.4">
      <c r="A607" s="3">
        <f t="shared" si="10"/>
        <v>603</v>
      </c>
      <c r="B607" s="16"/>
      <c r="C607" s="16"/>
      <c r="D607" s="16"/>
      <c r="E607" s="15" t="s">
        <v>891</v>
      </c>
      <c r="F607" s="9"/>
      <c r="G607" s="9"/>
      <c r="H607" s="9"/>
      <c r="I607" s="9"/>
      <c r="J607" s="9"/>
      <c r="K607" s="10"/>
      <c r="L607" s="8"/>
      <c r="M607" s="8"/>
      <c r="N607" s="8"/>
      <c r="O607" s="8"/>
    </row>
    <row r="608" spans="1:15" x14ac:dyDescent="0.4">
      <c r="A608" s="3">
        <f t="shared" si="10"/>
        <v>604</v>
      </c>
      <c r="B608" s="16"/>
      <c r="C608" s="16"/>
      <c r="D608" s="16"/>
      <c r="E608" s="16"/>
      <c r="F608" s="26" t="s">
        <v>857</v>
      </c>
      <c r="G608" s="13"/>
      <c r="H608" s="13"/>
      <c r="I608" s="13"/>
      <c r="J608" s="13"/>
      <c r="K608" s="14"/>
      <c r="L608" s="11" t="s">
        <v>36</v>
      </c>
      <c r="M608" s="11"/>
      <c r="N608" s="11" t="s">
        <v>36</v>
      </c>
      <c r="O608" s="3"/>
    </row>
    <row r="609" spans="1:15" x14ac:dyDescent="0.4">
      <c r="A609" s="3">
        <f t="shared" si="10"/>
        <v>605</v>
      </c>
      <c r="B609" s="16"/>
      <c r="C609" s="16"/>
      <c r="D609" s="16"/>
      <c r="E609" s="16"/>
      <c r="F609" s="32"/>
      <c r="G609" s="13" t="s">
        <v>858</v>
      </c>
      <c r="H609" s="13"/>
      <c r="I609" s="13"/>
      <c r="J609" s="13"/>
      <c r="K609" s="14"/>
      <c r="L609" s="11" t="s">
        <v>36</v>
      </c>
      <c r="M609" s="11"/>
      <c r="N609" s="11" t="s">
        <v>36</v>
      </c>
      <c r="O609" s="3"/>
    </row>
    <row r="610" spans="1:15" x14ac:dyDescent="0.4">
      <c r="A610" s="3">
        <f t="shared" si="10"/>
        <v>606</v>
      </c>
      <c r="B610" s="17"/>
      <c r="C610" s="17"/>
      <c r="D610" s="17"/>
      <c r="E610" s="17"/>
      <c r="F610" s="37"/>
      <c r="G610" s="13" t="s">
        <v>859</v>
      </c>
      <c r="H610" s="13"/>
      <c r="I610" s="13"/>
      <c r="J610" s="13"/>
      <c r="K610" s="14"/>
      <c r="L610" s="11" t="s">
        <v>36</v>
      </c>
      <c r="M610" s="11"/>
      <c r="N610" s="11" t="s">
        <v>36</v>
      </c>
      <c r="O610" s="3"/>
    </row>
  </sheetData>
  <phoneticPr fontId="1"/>
  <conditionalFormatting sqref="N5:N610">
    <cfRule type="expression" dxfId="3" priority="1">
      <formula>$L5&lt;&gt;$N5</formula>
    </cfRule>
  </conditionalFormatting>
  <dataValidations count="3">
    <dataValidation type="list" allowBlank="1" showInputMessage="1" showErrorMessage="1" sqref="N88 N96:N97 N90 N99:N100 N104 N107:N108 N110 N125 N129 N133 N137 N141 N284 N305 N308 N318 N320 N327 N330 N340 N342 N344 N351:N352 N359:N361 N363:N365 N367:N369 N371:N373 N376:N378 N380:N382 N384:N386 N388:N390 N392:N394 N396:N398 N401:N403 N405:N407 N409:N411 N413:N415 N417:N419 N421:N423 N426:N428 N430:N432 N434:N436 N438:N440 N443:N445 N447:N449 N451:N453 N455:N457 N459:N461 N463:N465 N467:N469 N471:N473 N475:N477 N479:N481 N483:N485 N488:N490 N492:N494 N496:N498 N500:N502 N504:N506 N508:N510 N512:N514 N516:N518 N520:N522 N524:N526 N528:N530 N532:N534 N536:N538 N540:N542 N545:N547 N549:N551 N553:N555 N557:N559 N561:N563 N565:N567 N570:N572 N574:N576 N578:N580 N583:N585 N587:N589 N591:N593 N595:N597 N599:N601 N604:N606 N608:N610 N80 L80 L608:L610 L604:L606 L599:L601 L595:L597 L591:L593 L587:L589 L583:L585 L578:L580 L574:L576 L570:L572 L565:L567 L561:L563 L557:L559 L553:L555 L549:L551 L545:L547 L540:L542 L536:L538 L532:L534 L528:L530 L524:L526 L520:L522 L516:L518 L512:L514 L508:L510 L504:L506 L500:L502 L496:L498 L492:L494 L488:L490 L483:L485 L479:L481 L475:L477 L471:L473 L467:L469 L463:L465 L459:L461 L455:L457 L451:L453 L447:L449 L443:L445 L438:L440 L434:L436 L430:L432 L426:L428 L421:L423 L417:L419 L413:L415 L409:L411 L405:L407 L401:L403 L396:L398 L392:L394 L388:L390 L384:L386 L380:L382 L376:L378 L371:L373 L367:L369 L363:L365 L359:L361 L351:L352 L344 L342 L340 L330 L327 L320 L318 L308 L305 L284 L141 L137 L133 L129 L125 L110 L107:L108 L104 L99:L100 L90 L96:L97 L88 L82:L83 N82:N83" xr:uid="{35783811-1CBA-8A47-B708-762453E9E808}">
      <formula1>work_チェックボックス</formula1>
    </dataValidation>
    <dataValidation type="list" allowBlank="1" showInputMessage="1" showErrorMessage="1" sqref="N15:N17 N21:N23 N27:N29 N31:N33 N35:N37 N41:N42 N45:N47 N50:N51 N54:N56 N59:N61 N63:N65 N76:N77 N86:N87 N92:N94 N115:N117 N126:N127 N130:N131 N134:N135 N138:N139 N148:N149 N160:N161 N172:N173 N185:N186 N193:N195 N203:N204 N215:N216 N228:N229 N240:N241 N252:N253 N265:N266 N272:N274 N289:N290 N292:N293 N295:N297 N302:N304 N306:N307 N310:N312 N314:N316 N324:N325 N326 N328:N329 N332:N334 N336:N338 N348:N349 N353 L353 L348:L349 L336:L338 L332:L334 L328:L329 L326 L324:L325 L314:L316 L310:L312 L306:L307 L302:L304 L295:L297 L292:L293 L289:L290 L272:L274 L265:L266 L252:L253 L240:L241 L228:L229 L215:L216 L203:L204 L193:L195 L185:L186 L172:L173 L160:L161 L148:L149 L138:L139 L134:L135 L130:L131 L126:L127 L115:L117 L92:L94 L86:L87 L76:L77 L63:L65 L59:L61 L54:L56 L50:L51 L45:L47 L41:L42 L35:L37 L31:L33 L27:L29 L21:L23 L15:L17 L11:L13 N11:N13" xr:uid="{D3925707-F843-BE41-A9BE-C62BE4FDB0E6}">
      <formula1>work_ラジオボタン</formula1>
    </dataValidation>
    <dataValidation type="list" allowBlank="1" showInputMessage="1" showErrorMessage="1" sqref="M5:M610" xr:uid="{9A18CA9A-BFF5-46EF-8392-711205F798C1}">
      <formula1>"-,変更"</formula1>
    </dataValidation>
  </dataValidations>
  <pageMargins left="0.7" right="0.7" top="0.75" bottom="0.75" header="0.3" footer="0.3"/>
  <pageSetup paperSize="9" orientation="portrait" horizontalDpi="0" verticalDpi="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90EFAB-121B-E742-9E4A-79C77616BA13}">
  <dimension ref="A1:N468"/>
  <sheetViews>
    <sheetView topLeftCell="A343" zoomScale="90" zoomScaleNormal="90" workbookViewId="0">
      <selection activeCell="J12" sqref="J12"/>
    </sheetView>
  </sheetViews>
  <sheetFormatPr defaultColWidth="11.5546875" defaultRowHeight="19.5" x14ac:dyDescent="0.4"/>
  <cols>
    <col min="1" max="9" width="4.6640625" customWidth="1"/>
    <col min="10" max="10" width="60.6640625" customWidth="1"/>
    <col min="11" max="11" width="28.88671875" bestFit="1" customWidth="1"/>
    <col min="12" max="12" width="8.6640625" bestFit="1" customWidth="1"/>
    <col min="13" max="14" width="28.88671875" bestFit="1" customWidth="1"/>
  </cols>
  <sheetData>
    <row r="1" spans="1:14" x14ac:dyDescent="0.4">
      <c r="A1" s="1" t="str">
        <f ca="1">RIGHT(CELL("filename",A1),LEN(CELL("filename",A1))-FIND("]",CELL("filename",A1)))</f>
        <v>11.ユーザー</v>
      </c>
    </row>
    <row r="3" spans="1:14" x14ac:dyDescent="0.4">
      <c r="A3" s="61" t="s">
        <v>3</v>
      </c>
      <c r="B3" s="61" t="s">
        <v>4</v>
      </c>
      <c r="C3" s="82"/>
      <c r="D3" s="82"/>
      <c r="E3" s="82"/>
      <c r="F3" s="82"/>
      <c r="G3" s="82"/>
      <c r="H3" s="82"/>
      <c r="I3" s="82"/>
      <c r="J3" s="113"/>
      <c r="K3" s="62" t="s">
        <v>2751</v>
      </c>
      <c r="L3" s="207" t="s">
        <v>2915</v>
      </c>
      <c r="M3" s="207"/>
      <c r="N3" s="62" t="s">
        <v>5</v>
      </c>
    </row>
    <row r="4" spans="1:14" x14ac:dyDescent="0.4">
      <c r="A4" s="63"/>
      <c r="B4" s="63"/>
      <c r="C4" s="227"/>
      <c r="D4" s="227"/>
      <c r="E4" s="227"/>
      <c r="F4" s="227"/>
      <c r="G4" s="227"/>
      <c r="H4" s="227"/>
      <c r="I4" s="227"/>
      <c r="J4" s="228"/>
      <c r="K4" s="64"/>
      <c r="L4" s="64" t="s">
        <v>2913</v>
      </c>
      <c r="M4" s="64" t="s">
        <v>2912</v>
      </c>
      <c r="N4" s="64"/>
    </row>
    <row r="5" spans="1:14" x14ac:dyDescent="0.4">
      <c r="A5" s="12">
        <v>1</v>
      </c>
      <c r="B5" s="18" t="s">
        <v>2749</v>
      </c>
      <c r="C5" s="13"/>
      <c r="D5" s="13"/>
      <c r="E5" s="13"/>
      <c r="F5" s="13"/>
      <c r="G5" s="13"/>
      <c r="H5" s="13"/>
      <c r="I5" s="13"/>
      <c r="J5" s="14"/>
      <c r="K5" s="11" t="s">
        <v>1240</v>
      </c>
      <c r="L5" s="11"/>
      <c r="M5" s="11" t="s">
        <v>1240</v>
      </c>
      <c r="N5" s="3"/>
    </row>
    <row r="6" spans="1:14" x14ac:dyDescent="0.4">
      <c r="A6" s="12">
        <f>A5+1</f>
        <v>2</v>
      </c>
      <c r="B6" s="19"/>
      <c r="C6" s="27" t="s">
        <v>110</v>
      </c>
      <c r="D6" s="9"/>
      <c r="E6" s="9"/>
      <c r="F6" s="9"/>
      <c r="G6" s="9"/>
      <c r="H6" s="9"/>
      <c r="I6" s="9"/>
      <c r="J6" s="10"/>
      <c r="K6" s="8"/>
      <c r="L6" s="8"/>
      <c r="M6" s="8"/>
      <c r="N6" s="8"/>
    </row>
    <row r="7" spans="1:14" x14ac:dyDescent="0.4">
      <c r="A7" s="12">
        <f>A6+1</f>
        <v>3</v>
      </c>
      <c r="B7" s="19"/>
      <c r="C7" s="16"/>
      <c r="D7" s="13" t="s">
        <v>2750</v>
      </c>
      <c r="E7" s="13"/>
      <c r="F7" s="13"/>
      <c r="G7" s="13"/>
      <c r="H7" s="13"/>
      <c r="I7" s="13"/>
      <c r="J7" s="14"/>
      <c r="K7" s="11" t="s">
        <v>1240</v>
      </c>
      <c r="L7" s="11"/>
      <c r="M7" s="11" t="s">
        <v>1240</v>
      </c>
      <c r="N7" s="3"/>
    </row>
    <row r="8" spans="1:14" x14ac:dyDescent="0.4">
      <c r="A8" s="12">
        <f t="shared" ref="A8:A71" si="0">A7+1</f>
        <v>4</v>
      </c>
      <c r="B8" s="19"/>
      <c r="C8" s="16"/>
      <c r="D8" s="13" t="s">
        <v>811</v>
      </c>
      <c r="E8" s="13"/>
      <c r="F8" s="13"/>
      <c r="G8" s="13"/>
      <c r="H8" s="13"/>
      <c r="I8" s="13"/>
      <c r="J8" s="14"/>
      <c r="K8" s="3" t="s">
        <v>2753</v>
      </c>
      <c r="L8" s="3"/>
      <c r="M8" s="3" t="s">
        <v>2752</v>
      </c>
      <c r="N8" s="3"/>
    </row>
    <row r="9" spans="1:14" x14ac:dyDescent="0.4">
      <c r="A9" s="12">
        <f t="shared" si="0"/>
        <v>5</v>
      </c>
      <c r="B9" s="19"/>
      <c r="C9" s="16"/>
      <c r="D9" s="13" t="s">
        <v>2754</v>
      </c>
      <c r="E9" s="13"/>
      <c r="F9" s="13"/>
      <c r="G9" s="13"/>
      <c r="H9" s="13"/>
      <c r="I9" s="13"/>
      <c r="J9" s="14"/>
      <c r="K9" s="11" t="s">
        <v>36</v>
      </c>
      <c r="L9" s="11"/>
      <c r="M9" s="11" t="s">
        <v>36</v>
      </c>
      <c r="N9" s="3"/>
    </row>
    <row r="10" spans="1:14" x14ac:dyDescent="0.4">
      <c r="A10" s="12">
        <f t="shared" si="0"/>
        <v>6</v>
      </c>
      <c r="B10" s="19"/>
      <c r="C10" s="16"/>
      <c r="D10" s="13" t="s">
        <v>2755</v>
      </c>
      <c r="E10" s="13"/>
      <c r="F10" s="13"/>
      <c r="G10" s="13"/>
      <c r="H10" s="13"/>
      <c r="I10" s="13"/>
      <c r="J10" s="14"/>
      <c r="K10" s="11" t="s">
        <v>36</v>
      </c>
      <c r="L10" s="11"/>
      <c r="M10" s="11" t="s">
        <v>36</v>
      </c>
      <c r="N10" s="3"/>
    </row>
    <row r="11" spans="1:14" x14ac:dyDescent="0.4">
      <c r="A11" s="12">
        <f t="shared" si="0"/>
        <v>7</v>
      </c>
      <c r="B11" s="19"/>
      <c r="C11" s="16"/>
      <c r="D11" s="13" t="s">
        <v>2756</v>
      </c>
      <c r="E11" s="13"/>
      <c r="F11" s="13"/>
      <c r="G11" s="13"/>
      <c r="H11" s="13"/>
      <c r="I11" s="13"/>
      <c r="J11" s="14"/>
      <c r="K11" s="11" t="s">
        <v>20</v>
      </c>
      <c r="L11" s="11"/>
      <c r="M11" s="11" t="s">
        <v>20</v>
      </c>
      <c r="N11" s="3"/>
    </row>
    <row r="12" spans="1:14" x14ac:dyDescent="0.4">
      <c r="A12" s="12">
        <f t="shared" si="0"/>
        <v>8</v>
      </c>
      <c r="B12" s="19"/>
      <c r="C12" s="16"/>
      <c r="D12" s="13" t="s">
        <v>2757</v>
      </c>
      <c r="E12" s="13"/>
      <c r="F12" s="13"/>
      <c r="G12" s="13"/>
      <c r="H12" s="13"/>
      <c r="I12" s="13"/>
      <c r="J12" s="14"/>
      <c r="K12" s="11" t="s">
        <v>36</v>
      </c>
      <c r="L12" s="11"/>
      <c r="M12" s="11" t="s">
        <v>36</v>
      </c>
      <c r="N12" s="3"/>
    </row>
    <row r="13" spans="1:14" x14ac:dyDescent="0.4">
      <c r="A13" s="12">
        <f t="shared" si="0"/>
        <v>9</v>
      </c>
      <c r="B13" s="19"/>
      <c r="C13" s="17"/>
      <c r="D13" s="13" t="s">
        <v>2758</v>
      </c>
      <c r="E13" s="13"/>
      <c r="F13" s="13"/>
      <c r="G13" s="13"/>
      <c r="H13" s="13"/>
      <c r="I13" s="13"/>
      <c r="J13" s="14"/>
      <c r="K13" s="11" t="s">
        <v>36</v>
      </c>
      <c r="L13" s="11"/>
      <c r="M13" s="11" t="s">
        <v>36</v>
      </c>
      <c r="N13" s="3"/>
    </row>
    <row r="14" spans="1:14" x14ac:dyDescent="0.4">
      <c r="A14" s="12">
        <f t="shared" si="0"/>
        <v>10</v>
      </c>
      <c r="B14" s="19"/>
      <c r="C14" s="15" t="s">
        <v>2759</v>
      </c>
      <c r="D14" s="9"/>
      <c r="E14" s="9"/>
      <c r="F14" s="9"/>
      <c r="G14" s="9"/>
      <c r="H14" s="9"/>
      <c r="I14" s="9"/>
      <c r="J14" s="10"/>
      <c r="K14" s="8"/>
      <c r="L14" s="8"/>
      <c r="M14" s="8"/>
      <c r="N14" s="8"/>
    </row>
    <row r="15" spans="1:14" x14ac:dyDescent="0.4">
      <c r="A15" s="12">
        <f t="shared" si="0"/>
        <v>11</v>
      </c>
      <c r="B15" s="19"/>
      <c r="C15" s="17"/>
      <c r="D15" s="13" t="s">
        <v>2760</v>
      </c>
      <c r="E15" s="13"/>
      <c r="F15" s="13"/>
      <c r="G15" s="13"/>
      <c r="H15" s="13"/>
      <c r="I15" s="13"/>
      <c r="J15" s="14"/>
      <c r="K15" s="11" t="s">
        <v>1240</v>
      </c>
      <c r="L15" s="11"/>
      <c r="M15" s="11" t="s">
        <v>1240</v>
      </c>
      <c r="N15" s="3"/>
    </row>
    <row r="16" spans="1:14" x14ac:dyDescent="0.4">
      <c r="A16" s="12">
        <f t="shared" si="0"/>
        <v>12</v>
      </c>
      <c r="B16" s="19"/>
      <c r="C16" s="21" t="s">
        <v>2761</v>
      </c>
      <c r="D16" s="9"/>
      <c r="E16" s="9"/>
      <c r="F16" s="9"/>
      <c r="G16" s="9"/>
      <c r="H16" s="9"/>
      <c r="I16" s="9"/>
      <c r="J16" s="10"/>
      <c r="K16" s="8"/>
      <c r="L16" s="8"/>
      <c r="M16" s="8"/>
      <c r="N16" s="8"/>
    </row>
    <row r="17" spans="1:14" x14ac:dyDescent="0.4">
      <c r="A17" s="12">
        <f t="shared" si="0"/>
        <v>13</v>
      </c>
      <c r="B17" s="19"/>
      <c r="C17" s="16"/>
      <c r="D17" s="27" t="s">
        <v>2762</v>
      </c>
      <c r="E17" s="9"/>
      <c r="F17" s="9"/>
      <c r="G17" s="9"/>
      <c r="H17" s="9"/>
      <c r="I17" s="9"/>
      <c r="J17" s="10"/>
      <c r="K17" s="8"/>
      <c r="L17" s="8"/>
      <c r="M17" s="8"/>
      <c r="N17" s="8"/>
    </row>
    <row r="18" spans="1:14" x14ac:dyDescent="0.4">
      <c r="A18" s="12">
        <f t="shared" si="0"/>
        <v>14</v>
      </c>
      <c r="B18" s="19"/>
      <c r="C18" s="16"/>
      <c r="D18" s="16"/>
      <c r="E18" s="13" t="s">
        <v>2763</v>
      </c>
      <c r="F18" s="13"/>
      <c r="G18" s="13"/>
      <c r="H18" s="13"/>
      <c r="I18" s="13"/>
      <c r="J18" s="14"/>
      <c r="K18" s="11" t="s">
        <v>1240</v>
      </c>
      <c r="L18" s="11"/>
      <c r="M18" s="11" t="s">
        <v>1240</v>
      </c>
      <c r="N18" s="3"/>
    </row>
    <row r="19" spans="1:14" x14ac:dyDescent="0.4">
      <c r="A19" s="12">
        <f t="shared" si="0"/>
        <v>15</v>
      </c>
      <c r="B19" s="19"/>
      <c r="C19" s="16"/>
      <c r="D19" s="17"/>
      <c r="E19" s="13" t="s">
        <v>2764</v>
      </c>
      <c r="F19" s="13"/>
      <c r="G19" s="13"/>
      <c r="H19" s="13"/>
      <c r="I19" s="13"/>
      <c r="J19" s="14"/>
      <c r="K19" s="11" t="s">
        <v>1240</v>
      </c>
      <c r="L19" s="11"/>
      <c r="M19" s="11" t="s">
        <v>1240</v>
      </c>
      <c r="N19" s="3"/>
    </row>
    <row r="20" spans="1:14" x14ac:dyDescent="0.4">
      <c r="A20" s="12">
        <f t="shared" si="0"/>
        <v>16</v>
      </c>
      <c r="B20" s="19"/>
      <c r="C20" s="16"/>
      <c r="D20" s="27" t="s">
        <v>2765</v>
      </c>
      <c r="E20" s="9"/>
      <c r="F20" s="9"/>
      <c r="G20" s="9"/>
      <c r="H20" s="9"/>
      <c r="I20" s="9"/>
      <c r="J20" s="10"/>
      <c r="K20" s="8"/>
      <c r="L20" s="8"/>
      <c r="M20" s="8"/>
      <c r="N20" s="8"/>
    </row>
    <row r="21" spans="1:14" x14ac:dyDescent="0.4">
      <c r="A21" s="12">
        <f t="shared" si="0"/>
        <v>17</v>
      </c>
      <c r="B21" s="19"/>
      <c r="C21" s="16"/>
      <c r="D21" s="16"/>
      <c r="E21" s="13" t="s">
        <v>2766</v>
      </c>
      <c r="F21" s="13"/>
      <c r="G21" s="13"/>
      <c r="H21" s="13"/>
      <c r="I21" s="13"/>
      <c r="J21" s="14"/>
      <c r="K21" s="11" t="s">
        <v>9</v>
      </c>
      <c r="L21" s="11"/>
      <c r="M21" s="11" t="s">
        <v>9</v>
      </c>
      <c r="N21" s="3"/>
    </row>
    <row r="22" spans="1:14" x14ac:dyDescent="0.4">
      <c r="A22" s="12">
        <f t="shared" si="0"/>
        <v>18</v>
      </c>
      <c r="B22" s="19"/>
      <c r="C22" s="16"/>
      <c r="D22" s="16"/>
      <c r="E22" s="26" t="s">
        <v>2767</v>
      </c>
      <c r="F22" s="13"/>
      <c r="G22" s="13"/>
      <c r="H22" s="13"/>
      <c r="I22" s="13"/>
      <c r="J22" s="14"/>
      <c r="K22" s="11" t="s">
        <v>10</v>
      </c>
      <c r="L22" s="11"/>
      <c r="M22" s="11" t="s">
        <v>10</v>
      </c>
      <c r="N22" s="3"/>
    </row>
    <row r="23" spans="1:14" x14ac:dyDescent="0.4">
      <c r="A23" s="12">
        <f t="shared" si="0"/>
        <v>19</v>
      </c>
      <c r="B23" s="19"/>
      <c r="C23" s="16"/>
      <c r="D23" s="16"/>
      <c r="E23" s="19"/>
      <c r="F23" s="13" t="s">
        <v>1611</v>
      </c>
      <c r="G23" s="13"/>
      <c r="H23" s="13"/>
      <c r="I23" s="13"/>
      <c r="J23" s="14"/>
      <c r="K23" s="3" t="s">
        <v>2768</v>
      </c>
      <c r="L23" s="3"/>
      <c r="M23" s="3" t="s">
        <v>2768</v>
      </c>
      <c r="N23" s="3"/>
    </row>
    <row r="24" spans="1:14" x14ac:dyDescent="0.4">
      <c r="A24" s="12">
        <f t="shared" si="0"/>
        <v>20</v>
      </c>
      <c r="B24" s="19"/>
      <c r="C24" s="16"/>
      <c r="D24" s="17"/>
      <c r="E24" s="20"/>
      <c r="F24" s="13" t="s">
        <v>815</v>
      </c>
      <c r="G24" s="13"/>
      <c r="H24" s="13"/>
      <c r="I24" s="13"/>
      <c r="J24" s="14"/>
      <c r="K24" s="11" t="s">
        <v>1240</v>
      </c>
      <c r="L24" s="11"/>
      <c r="M24" s="11" t="s">
        <v>1240</v>
      </c>
      <c r="N24" s="3"/>
    </row>
    <row r="25" spans="1:14" x14ac:dyDescent="0.4">
      <c r="A25" s="12">
        <f t="shared" si="0"/>
        <v>21</v>
      </c>
      <c r="B25" s="19"/>
      <c r="C25" s="15" t="s">
        <v>2769</v>
      </c>
      <c r="D25" s="9"/>
      <c r="E25" s="9"/>
      <c r="F25" s="9"/>
      <c r="G25" s="9"/>
      <c r="H25" s="9"/>
      <c r="I25" s="9"/>
      <c r="J25" s="10"/>
      <c r="K25" s="8"/>
      <c r="L25" s="8"/>
      <c r="M25" s="8"/>
      <c r="N25" s="8"/>
    </row>
    <row r="26" spans="1:14" x14ac:dyDescent="0.4">
      <c r="A26" s="12">
        <f t="shared" si="0"/>
        <v>22</v>
      </c>
      <c r="B26" s="19"/>
      <c r="C26" s="16"/>
      <c r="D26" s="27" t="s">
        <v>2770</v>
      </c>
      <c r="E26" s="9"/>
      <c r="F26" s="9"/>
      <c r="G26" s="9"/>
      <c r="H26" s="9"/>
      <c r="I26" s="9"/>
      <c r="J26" s="10"/>
      <c r="K26" s="8"/>
      <c r="L26" s="8"/>
      <c r="M26" s="8"/>
      <c r="N26" s="8"/>
    </row>
    <row r="27" spans="1:14" x14ac:dyDescent="0.4">
      <c r="A27" s="12">
        <f t="shared" si="0"/>
        <v>23</v>
      </c>
      <c r="B27" s="19"/>
      <c r="C27" s="16"/>
      <c r="D27" s="16"/>
      <c r="E27" s="26" t="s">
        <v>2771</v>
      </c>
      <c r="F27" s="13"/>
      <c r="G27" s="13"/>
      <c r="H27" s="13"/>
      <c r="I27" s="13"/>
      <c r="J27" s="14"/>
      <c r="K27" s="11" t="s">
        <v>36</v>
      </c>
      <c r="L27" s="11"/>
      <c r="M27" s="11" t="s">
        <v>36</v>
      </c>
      <c r="N27" s="3"/>
    </row>
    <row r="28" spans="1:14" x14ac:dyDescent="0.4">
      <c r="A28" s="12">
        <f t="shared" si="0"/>
        <v>24</v>
      </c>
      <c r="B28" s="19"/>
      <c r="C28" s="16"/>
      <c r="D28" s="16"/>
      <c r="E28" s="19"/>
      <c r="F28" s="13" t="s">
        <v>2772</v>
      </c>
      <c r="G28" s="13"/>
      <c r="H28" s="13"/>
      <c r="I28" s="13"/>
      <c r="J28" s="14"/>
      <c r="K28" s="11" t="s">
        <v>1240</v>
      </c>
      <c r="L28" s="11"/>
      <c r="M28" s="11" t="s">
        <v>1240</v>
      </c>
      <c r="N28" s="3"/>
    </row>
    <row r="29" spans="1:14" x14ac:dyDescent="0.4">
      <c r="A29" s="12">
        <f t="shared" si="0"/>
        <v>25</v>
      </c>
      <c r="B29" s="19"/>
      <c r="C29" s="16"/>
      <c r="D29" s="17"/>
      <c r="E29" s="20"/>
      <c r="F29" s="13" t="s">
        <v>2773</v>
      </c>
      <c r="G29" s="13"/>
      <c r="H29" s="13"/>
      <c r="I29" s="13"/>
      <c r="J29" s="14"/>
      <c r="K29" s="11" t="s">
        <v>1240</v>
      </c>
      <c r="L29" s="11"/>
      <c r="M29" s="11" t="s">
        <v>1240</v>
      </c>
      <c r="N29" s="3"/>
    </row>
    <row r="30" spans="1:14" x14ac:dyDescent="0.4">
      <c r="A30" s="12">
        <f t="shared" si="0"/>
        <v>26</v>
      </c>
      <c r="B30" s="19"/>
      <c r="C30" s="16"/>
      <c r="D30" s="27" t="s">
        <v>2774</v>
      </c>
      <c r="E30" s="9"/>
      <c r="F30" s="9"/>
      <c r="G30" s="9"/>
      <c r="H30" s="9"/>
      <c r="I30" s="9"/>
      <c r="J30" s="10"/>
      <c r="K30" s="8"/>
      <c r="L30" s="8"/>
      <c r="M30" s="8"/>
      <c r="N30" s="8"/>
    </row>
    <row r="31" spans="1:14" x14ac:dyDescent="0.4">
      <c r="A31" s="12">
        <f t="shared" si="0"/>
        <v>27</v>
      </c>
      <c r="B31" s="19"/>
      <c r="C31" s="16"/>
      <c r="D31" s="16"/>
      <c r="E31" s="13" t="s">
        <v>2775</v>
      </c>
      <c r="F31" s="13"/>
      <c r="G31" s="13"/>
      <c r="H31" s="13"/>
      <c r="I31" s="13"/>
      <c r="J31" s="14"/>
      <c r="K31" s="11" t="s">
        <v>20</v>
      </c>
      <c r="L31" s="11"/>
      <c r="M31" s="11" t="s">
        <v>20</v>
      </c>
      <c r="N31" s="3"/>
    </row>
    <row r="32" spans="1:14" x14ac:dyDescent="0.4">
      <c r="A32" s="12">
        <f t="shared" si="0"/>
        <v>28</v>
      </c>
      <c r="B32" s="19"/>
      <c r="C32" s="16"/>
      <c r="D32" s="16"/>
      <c r="E32" s="13" t="s">
        <v>2776</v>
      </c>
      <c r="F32" s="13"/>
      <c r="G32" s="13"/>
      <c r="H32" s="13"/>
      <c r="I32" s="13"/>
      <c r="J32" s="14"/>
      <c r="K32" s="11" t="s">
        <v>20</v>
      </c>
      <c r="L32" s="11"/>
      <c r="M32" s="11" t="s">
        <v>20</v>
      </c>
      <c r="N32" s="3"/>
    </row>
    <row r="33" spans="1:14" x14ac:dyDescent="0.4">
      <c r="A33" s="12">
        <f t="shared" si="0"/>
        <v>29</v>
      </c>
      <c r="B33" s="19"/>
      <c r="C33" s="17"/>
      <c r="D33" s="17"/>
      <c r="E33" s="13" t="s">
        <v>2777</v>
      </c>
      <c r="F33" s="13"/>
      <c r="G33" s="13"/>
      <c r="H33" s="13"/>
      <c r="I33" s="13"/>
      <c r="J33" s="14"/>
      <c r="K33" s="11" t="s">
        <v>20</v>
      </c>
      <c r="L33" s="11"/>
      <c r="M33" s="11" t="s">
        <v>20</v>
      </c>
      <c r="N33" s="3"/>
    </row>
    <row r="34" spans="1:14" x14ac:dyDescent="0.4">
      <c r="A34" s="12">
        <f t="shared" si="0"/>
        <v>30</v>
      </c>
      <c r="B34" s="19"/>
      <c r="C34" s="15" t="s">
        <v>619</v>
      </c>
      <c r="D34" s="9"/>
      <c r="E34" s="9"/>
      <c r="F34" s="9"/>
      <c r="G34" s="9"/>
      <c r="H34" s="9"/>
      <c r="I34" s="9"/>
      <c r="J34" s="10"/>
      <c r="K34" s="8"/>
      <c r="L34" s="8"/>
      <c r="M34" s="8"/>
      <c r="N34" s="8"/>
    </row>
    <row r="35" spans="1:14" x14ac:dyDescent="0.4">
      <c r="A35" s="12">
        <f t="shared" si="0"/>
        <v>31</v>
      </c>
      <c r="B35" s="19"/>
      <c r="C35" s="16"/>
      <c r="D35" s="27" t="s">
        <v>2778</v>
      </c>
      <c r="E35" s="9"/>
      <c r="F35" s="9"/>
      <c r="G35" s="9"/>
      <c r="H35" s="9"/>
      <c r="I35" s="9"/>
      <c r="J35" s="10"/>
      <c r="K35" s="8"/>
      <c r="L35" s="8"/>
      <c r="M35" s="8"/>
      <c r="N35" s="8"/>
    </row>
    <row r="36" spans="1:14" x14ac:dyDescent="0.4">
      <c r="A36" s="12">
        <f t="shared" si="0"/>
        <v>32</v>
      </c>
      <c r="B36" s="19"/>
      <c r="C36" s="16"/>
      <c r="D36" s="16"/>
      <c r="E36" s="13" t="s">
        <v>2779</v>
      </c>
      <c r="F36" s="13"/>
      <c r="G36" s="13"/>
      <c r="H36" s="13"/>
      <c r="I36" s="13"/>
      <c r="J36" s="14"/>
      <c r="K36" s="11" t="s">
        <v>9</v>
      </c>
      <c r="L36" s="11"/>
      <c r="M36" s="11" t="s">
        <v>9</v>
      </c>
      <c r="N36" s="3"/>
    </row>
    <row r="37" spans="1:14" x14ac:dyDescent="0.4">
      <c r="A37" s="12">
        <f t="shared" si="0"/>
        <v>33</v>
      </c>
      <c r="B37" s="19"/>
      <c r="C37" s="16"/>
      <c r="D37" s="16"/>
      <c r="E37" s="13" t="s">
        <v>2780</v>
      </c>
      <c r="F37" s="13"/>
      <c r="G37" s="13"/>
      <c r="H37" s="13"/>
      <c r="I37" s="13"/>
      <c r="J37" s="14"/>
      <c r="K37" s="11" t="s">
        <v>10</v>
      </c>
      <c r="L37" s="11"/>
      <c r="M37" s="11" t="s">
        <v>10</v>
      </c>
      <c r="N37" s="3"/>
    </row>
    <row r="38" spans="1:14" x14ac:dyDescent="0.4">
      <c r="A38" s="12">
        <f t="shared" si="0"/>
        <v>34</v>
      </c>
      <c r="B38" s="19"/>
      <c r="C38" s="16"/>
      <c r="D38" s="16"/>
      <c r="E38" s="13" t="s">
        <v>2781</v>
      </c>
      <c r="F38" s="13"/>
      <c r="G38" s="13"/>
      <c r="H38" s="13"/>
      <c r="I38" s="13"/>
      <c r="J38" s="14"/>
      <c r="K38" s="11" t="s">
        <v>10</v>
      </c>
      <c r="L38" s="11"/>
      <c r="M38" s="11" t="s">
        <v>10</v>
      </c>
      <c r="N38" s="3"/>
    </row>
    <row r="39" spans="1:14" x14ac:dyDescent="0.4">
      <c r="A39" s="12">
        <f t="shared" si="0"/>
        <v>35</v>
      </c>
      <c r="B39" s="19"/>
      <c r="C39" s="16"/>
      <c r="D39" s="16"/>
      <c r="E39" s="13" t="s">
        <v>1602</v>
      </c>
      <c r="F39" s="13"/>
      <c r="G39" s="13"/>
      <c r="H39" s="13"/>
      <c r="I39" s="13"/>
      <c r="J39" s="14"/>
      <c r="K39" s="11" t="s">
        <v>10</v>
      </c>
      <c r="L39" s="11"/>
      <c r="M39" s="11" t="s">
        <v>10</v>
      </c>
      <c r="N39" s="3"/>
    </row>
    <row r="40" spans="1:14" x14ac:dyDescent="0.4">
      <c r="A40" s="12">
        <f t="shared" si="0"/>
        <v>36</v>
      </c>
      <c r="B40" s="19"/>
      <c r="C40" s="16"/>
      <c r="D40" s="16"/>
      <c r="E40" s="13" t="s">
        <v>1882</v>
      </c>
      <c r="F40" s="13"/>
      <c r="G40" s="13"/>
      <c r="H40" s="13"/>
      <c r="I40" s="13"/>
      <c r="J40" s="14"/>
      <c r="K40" s="11" t="s">
        <v>10</v>
      </c>
      <c r="L40" s="11"/>
      <c r="M40" s="11" t="s">
        <v>10</v>
      </c>
      <c r="N40" s="3"/>
    </row>
    <row r="41" spans="1:14" x14ac:dyDescent="0.4">
      <c r="A41" s="12">
        <f t="shared" si="0"/>
        <v>37</v>
      </c>
      <c r="B41" s="19"/>
      <c r="C41" s="16"/>
      <c r="D41" s="16"/>
      <c r="E41" s="13" t="s">
        <v>2782</v>
      </c>
      <c r="F41" s="13"/>
      <c r="G41" s="13"/>
      <c r="H41" s="13"/>
      <c r="I41" s="13"/>
      <c r="J41" s="14"/>
      <c r="K41" s="11" t="s">
        <v>10</v>
      </c>
      <c r="L41" s="11"/>
      <c r="M41" s="11" t="s">
        <v>10</v>
      </c>
      <c r="N41" s="3"/>
    </row>
    <row r="42" spans="1:14" x14ac:dyDescent="0.4">
      <c r="A42" s="12">
        <f t="shared" si="0"/>
        <v>38</v>
      </c>
      <c r="B42" s="19"/>
      <c r="C42" s="16"/>
      <c r="D42" s="16"/>
      <c r="E42" s="13" t="s">
        <v>1733</v>
      </c>
      <c r="F42" s="13"/>
      <c r="G42" s="13"/>
      <c r="H42" s="13"/>
      <c r="I42" s="13"/>
      <c r="J42" s="14"/>
      <c r="K42" s="11" t="s">
        <v>10</v>
      </c>
      <c r="L42" s="11"/>
      <c r="M42" s="11" t="s">
        <v>10</v>
      </c>
      <c r="N42" s="3"/>
    </row>
    <row r="43" spans="1:14" x14ac:dyDescent="0.4">
      <c r="A43" s="12">
        <f t="shared" si="0"/>
        <v>39</v>
      </c>
      <c r="B43" s="19"/>
      <c r="C43" s="16"/>
      <c r="D43" s="16"/>
      <c r="E43" s="13" t="s">
        <v>2783</v>
      </c>
      <c r="F43" s="13"/>
      <c r="G43" s="13"/>
      <c r="H43" s="13"/>
      <c r="I43" s="13"/>
      <c r="J43" s="14"/>
      <c r="K43" s="11" t="s">
        <v>10</v>
      </c>
      <c r="L43" s="11"/>
      <c r="M43" s="11" t="s">
        <v>10</v>
      </c>
      <c r="N43" s="3"/>
    </row>
    <row r="44" spans="1:14" x14ac:dyDescent="0.4">
      <c r="A44" s="12">
        <f t="shared" si="0"/>
        <v>40</v>
      </c>
      <c r="B44" s="19"/>
      <c r="C44" s="16"/>
      <c r="D44" s="16"/>
      <c r="E44" s="13" t="s">
        <v>1734</v>
      </c>
      <c r="F44" s="13"/>
      <c r="G44" s="13"/>
      <c r="H44" s="13"/>
      <c r="I44" s="13"/>
      <c r="J44" s="14"/>
      <c r="K44" s="11" t="s">
        <v>10</v>
      </c>
      <c r="L44" s="11"/>
      <c r="M44" s="11" t="s">
        <v>10</v>
      </c>
      <c r="N44" s="3"/>
    </row>
    <row r="45" spans="1:14" x14ac:dyDescent="0.4">
      <c r="A45" s="12">
        <f t="shared" si="0"/>
        <v>41</v>
      </c>
      <c r="B45" s="19"/>
      <c r="C45" s="16"/>
      <c r="D45" s="16"/>
      <c r="E45" s="13" t="s">
        <v>1883</v>
      </c>
      <c r="F45" s="13"/>
      <c r="G45" s="13"/>
      <c r="H45" s="13"/>
      <c r="I45" s="13"/>
      <c r="J45" s="14"/>
      <c r="K45" s="11" t="s">
        <v>10</v>
      </c>
      <c r="L45" s="11"/>
      <c r="M45" s="11" t="s">
        <v>10</v>
      </c>
      <c r="N45" s="3"/>
    </row>
    <row r="46" spans="1:14" x14ac:dyDescent="0.4">
      <c r="A46" s="12">
        <f t="shared" si="0"/>
        <v>42</v>
      </c>
      <c r="B46" s="19"/>
      <c r="C46" s="16"/>
      <c r="D46" s="17"/>
      <c r="E46" s="13" t="s">
        <v>2784</v>
      </c>
      <c r="F46" s="13"/>
      <c r="G46" s="13"/>
      <c r="H46" s="13"/>
      <c r="I46" s="13"/>
      <c r="J46" s="14"/>
      <c r="K46" s="11" t="s">
        <v>10</v>
      </c>
      <c r="L46" s="11"/>
      <c r="M46" s="11" t="s">
        <v>10</v>
      </c>
      <c r="N46" s="3"/>
    </row>
    <row r="47" spans="1:14" x14ac:dyDescent="0.4">
      <c r="A47" s="12">
        <f t="shared" si="0"/>
        <v>43</v>
      </c>
      <c r="B47" s="19"/>
      <c r="C47" s="16"/>
      <c r="D47" s="27" t="s">
        <v>2785</v>
      </c>
      <c r="E47" s="9"/>
      <c r="F47" s="9"/>
      <c r="G47" s="9"/>
      <c r="H47" s="9"/>
      <c r="I47" s="9"/>
      <c r="J47" s="10"/>
      <c r="K47" s="8"/>
      <c r="L47" s="8"/>
      <c r="M47" s="8"/>
      <c r="N47" s="8"/>
    </row>
    <row r="48" spans="1:14" x14ac:dyDescent="0.4">
      <c r="A48" s="12">
        <f t="shared" si="0"/>
        <v>44</v>
      </c>
      <c r="B48" s="19"/>
      <c r="C48" s="16"/>
      <c r="D48" s="16"/>
      <c r="E48" s="13" t="s">
        <v>2779</v>
      </c>
      <c r="F48" s="13"/>
      <c r="G48" s="13"/>
      <c r="H48" s="13"/>
      <c r="I48" s="13"/>
      <c r="J48" s="14"/>
      <c r="K48" s="11" t="s">
        <v>9</v>
      </c>
      <c r="L48" s="11"/>
      <c r="M48" s="11" t="s">
        <v>9</v>
      </c>
      <c r="N48" s="3"/>
    </row>
    <row r="49" spans="1:14" x14ac:dyDescent="0.4">
      <c r="A49" s="12">
        <f t="shared" si="0"/>
        <v>45</v>
      </c>
      <c r="B49" s="19"/>
      <c r="C49" s="16"/>
      <c r="D49" s="16"/>
      <c r="E49" s="13" t="s">
        <v>2780</v>
      </c>
      <c r="F49" s="13"/>
      <c r="G49" s="13"/>
      <c r="H49" s="13"/>
      <c r="I49" s="13"/>
      <c r="J49" s="14"/>
      <c r="K49" s="11" t="s">
        <v>10</v>
      </c>
      <c r="L49" s="11"/>
      <c r="M49" s="11" t="s">
        <v>10</v>
      </c>
      <c r="N49" s="3"/>
    </row>
    <row r="50" spans="1:14" x14ac:dyDescent="0.4">
      <c r="A50" s="12">
        <f t="shared" si="0"/>
        <v>46</v>
      </c>
      <c r="B50" s="19"/>
      <c r="C50" s="16"/>
      <c r="D50" s="16"/>
      <c r="E50" s="13" t="s">
        <v>2781</v>
      </c>
      <c r="F50" s="13"/>
      <c r="G50" s="13"/>
      <c r="H50" s="13"/>
      <c r="I50" s="13"/>
      <c r="J50" s="14"/>
      <c r="K50" s="11" t="s">
        <v>10</v>
      </c>
      <c r="L50" s="11"/>
      <c r="M50" s="11" t="s">
        <v>10</v>
      </c>
      <c r="N50" s="3"/>
    </row>
    <row r="51" spans="1:14" x14ac:dyDescent="0.4">
      <c r="A51" s="12">
        <f t="shared" si="0"/>
        <v>47</v>
      </c>
      <c r="B51" s="19"/>
      <c r="C51" s="16"/>
      <c r="D51" s="16"/>
      <c r="E51" s="13" t="s">
        <v>1602</v>
      </c>
      <c r="F51" s="13"/>
      <c r="G51" s="13"/>
      <c r="H51" s="13"/>
      <c r="I51" s="13"/>
      <c r="J51" s="14"/>
      <c r="K51" s="11" t="s">
        <v>10</v>
      </c>
      <c r="L51" s="11"/>
      <c r="M51" s="11" t="s">
        <v>10</v>
      </c>
      <c r="N51" s="3"/>
    </row>
    <row r="52" spans="1:14" x14ac:dyDescent="0.4">
      <c r="A52" s="12">
        <f t="shared" si="0"/>
        <v>48</v>
      </c>
      <c r="B52" s="19"/>
      <c r="C52" s="16"/>
      <c r="D52" s="16"/>
      <c r="E52" s="13" t="s">
        <v>1882</v>
      </c>
      <c r="F52" s="13"/>
      <c r="G52" s="13"/>
      <c r="H52" s="13"/>
      <c r="I52" s="13"/>
      <c r="J52" s="14"/>
      <c r="K52" s="11" t="s">
        <v>10</v>
      </c>
      <c r="L52" s="11"/>
      <c r="M52" s="11" t="s">
        <v>10</v>
      </c>
      <c r="N52" s="3"/>
    </row>
    <row r="53" spans="1:14" x14ac:dyDescent="0.4">
      <c r="A53" s="12">
        <f t="shared" si="0"/>
        <v>49</v>
      </c>
      <c r="B53" s="19"/>
      <c r="C53" s="16"/>
      <c r="D53" s="16"/>
      <c r="E53" s="13" t="s">
        <v>2782</v>
      </c>
      <c r="F53" s="13"/>
      <c r="G53" s="13"/>
      <c r="H53" s="13"/>
      <c r="I53" s="13"/>
      <c r="J53" s="14"/>
      <c r="K53" s="11" t="s">
        <v>10</v>
      </c>
      <c r="L53" s="11"/>
      <c r="M53" s="11" t="s">
        <v>10</v>
      </c>
      <c r="N53" s="3"/>
    </row>
    <row r="54" spans="1:14" x14ac:dyDescent="0.4">
      <c r="A54" s="12">
        <f t="shared" si="0"/>
        <v>50</v>
      </c>
      <c r="B54" s="19"/>
      <c r="C54" s="16"/>
      <c r="D54" s="16"/>
      <c r="E54" s="13" t="s">
        <v>1733</v>
      </c>
      <c r="F54" s="13"/>
      <c r="G54" s="13"/>
      <c r="H54" s="13"/>
      <c r="I54" s="13"/>
      <c r="J54" s="14"/>
      <c r="K54" s="11" t="s">
        <v>10</v>
      </c>
      <c r="L54" s="11"/>
      <c r="M54" s="11" t="s">
        <v>10</v>
      </c>
      <c r="N54" s="3"/>
    </row>
    <row r="55" spans="1:14" x14ac:dyDescent="0.4">
      <c r="A55" s="12">
        <f t="shared" si="0"/>
        <v>51</v>
      </c>
      <c r="B55" s="19"/>
      <c r="C55" s="16"/>
      <c r="D55" s="16"/>
      <c r="E55" s="13" t="s">
        <v>2783</v>
      </c>
      <c r="F55" s="13"/>
      <c r="G55" s="13"/>
      <c r="H55" s="13"/>
      <c r="I55" s="13"/>
      <c r="J55" s="14"/>
      <c r="K55" s="11" t="s">
        <v>10</v>
      </c>
      <c r="L55" s="11"/>
      <c r="M55" s="11" t="s">
        <v>10</v>
      </c>
      <c r="N55" s="3"/>
    </row>
    <row r="56" spans="1:14" x14ac:dyDescent="0.4">
      <c r="A56" s="12">
        <f t="shared" si="0"/>
        <v>52</v>
      </c>
      <c r="B56" s="19"/>
      <c r="C56" s="16"/>
      <c r="D56" s="16"/>
      <c r="E56" s="13" t="s">
        <v>1734</v>
      </c>
      <c r="F56" s="13"/>
      <c r="G56" s="13"/>
      <c r="H56" s="13"/>
      <c r="I56" s="13"/>
      <c r="J56" s="14"/>
      <c r="K56" s="11" t="s">
        <v>10</v>
      </c>
      <c r="L56" s="11"/>
      <c r="M56" s="11" t="s">
        <v>10</v>
      </c>
      <c r="N56" s="3"/>
    </row>
    <row r="57" spans="1:14" x14ac:dyDescent="0.4">
      <c r="A57" s="12">
        <f t="shared" si="0"/>
        <v>53</v>
      </c>
      <c r="B57" s="19"/>
      <c r="C57" s="16"/>
      <c r="D57" s="16"/>
      <c r="E57" s="13" t="s">
        <v>1883</v>
      </c>
      <c r="F57" s="13"/>
      <c r="G57" s="13"/>
      <c r="H57" s="13"/>
      <c r="I57" s="13"/>
      <c r="J57" s="14"/>
      <c r="K57" s="11" t="s">
        <v>10</v>
      </c>
      <c r="L57" s="11"/>
      <c r="M57" s="11" t="s">
        <v>10</v>
      </c>
      <c r="N57" s="3"/>
    </row>
    <row r="58" spans="1:14" x14ac:dyDescent="0.4">
      <c r="A58" s="12">
        <f t="shared" si="0"/>
        <v>54</v>
      </c>
      <c r="B58" s="19"/>
      <c r="C58" s="16"/>
      <c r="D58" s="17"/>
      <c r="E58" s="13" t="s">
        <v>2784</v>
      </c>
      <c r="F58" s="13"/>
      <c r="G58" s="13"/>
      <c r="H58" s="13"/>
      <c r="I58" s="13"/>
      <c r="J58" s="14"/>
      <c r="K58" s="11" t="s">
        <v>10</v>
      </c>
      <c r="L58" s="11"/>
      <c r="M58" s="11" t="s">
        <v>10</v>
      </c>
      <c r="N58" s="3"/>
    </row>
    <row r="59" spans="1:14" x14ac:dyDescent="0.4">
      <c r="A59" s="12">
        <f t="shared" si="0"/>
        <v>55</v>
      </c>
      <c r="B59" s="19"/>
      <c r="C59" s="16"/>
      <c r="D59" s="27" t="s">
        <v>2786</v>
      </c>
      <c r="E59" s="9"/>
      <c r="F59" s="9"/>
      <c r="G59" s="9"/>
      <c r="H59" s="9"/>
      <c r="I59" s="9"/>
      <c r="J59" s="10"/>
      <c r="K59" s="8"/>
      <c r="L59" s="8"/>
      <c r="M59" s="8"/>
      <c r="N59" s="8"/>
    </row>
    <row r="60" spans="1:14" x14ac:dyDescent="0.4">
      <c r="A60" s="12">
        <f t="shared" si="0"/>
        <v>56</v>
      </c>
      <c r="B60" s="19"/>
      <c r="C60" s="16"/>
      <c r="D60" s="16"/>
      <c r="E60" s="13" t="s">
        <v>2779</v>
      </c>
      <c r="F60" s="13"/>
      <c r="G60" s="13"/>
      <c r="H60" s="13"/>
      <c r="I60" s="13"/>
      <c r="J60" s="14"/>
      <c r="K60" s="11" t="s">
        <v>9</v>
      </c>
      <c r="L60" s="11"/>
      <c r="M60" s="11" t="s">
        <v>9</v>
      </c>
      <c r="N60" s="3"/>
    </row>
    <row r="61" spans="1:14" x14ac:dyDescent="0.4">
      <c r="A61" s="12">
        <f t="shared" si="0"/>
        <v>57</v>
      </c>
      <c r="B61" s="19"/>
      <c r="C61" s="16"/>
      <c r="D61" s="16"/>
      <c r="E61" s="13" t="s">
        <v>2780</v>
      </c>
      <c r="F61" s="13"/>
      <c r="G61" s="13"/>
      <c r="H61" s="13"/>
      <c r="I61" s="13"/>
      <c r="J61" s="14"/>
      <c r="K61" s="11" t="s">
        <v>10</v>
      </c>
      <c r="L61" s="11"/>
      <c r="M61" s="11" t="s">
        <v>10</v>
      </c>
      <c r="N61" s="3"/>
    </row>
    <row r="62" spans="1:14" x14ac:dyDescent="0.4">
      <c r="A62" s="12">
        <f t="shared" si="0"/>
        <v>58</v>
      </c>
      <c r="B62" s="19"/>
      <c r="C62" s="16"/>
      <c r="D62" s="16"/>
      <c r="E62" s="13" t="s">
        <v>2781</v>
      </c>
      <c r="F62" s="13"/>
      <c r="G62" s="13"/>
      <c r="H62" s="13"/>
      <c r="I62" s="13"/>
      <c r="J62" s="14"/>
      <c r="K62" s="11" t="s">
        <v>10</v>
      </c>
      <c r="L62" s="11"/>
      <c r="M62" s="11" t="s">
        <v>10</v>
      </c>
      <c r="N62" s="3"/>
    </row>
    <row r="63" spans="1:14" x14ac:dyDescent="0.4">
      <c r="A63" s="12">
        <f t="shared" si="0"/>
        <v>59</v>
      </c>
      <c r="B63" s="19"/>
      <c r="C63" s="16"/>
      <c r="D63" s="16"/>
      <c r="E63" s="13" t="s">
        <v>1602</v>
      </c>
      <c r="F63" s="13"/>
      <c r="G63" s="13"/>
      <c r="H63" s="13"/>
      <c r="I63" s="13"/>
      <c r="J63" s="14"/>
      <c r="K63" s="11" t="s">
        <v>10</v>
      </c>
      <c r="L63" s="11"/>
      <c r="M63" s="11" t="s">
        <v>10</v>
      </c>
      <c r="N63" s="3"/>
    </row>
    <row r="64" spans="1:14" x14ac:dyDescent="0.4">
      <c r="A64" s="12">
        <f t="shared" si="0"/>
        <v>60</v>
      </c>
      <c r="B64" s="19"/>
      <c r="C64" s="16"/>
      <c r="D64" s="16"/>
      <c r="E64" s="13" t="s">
        <v>1882</v>
      </c>
      <c r="F64" s="13"/>
      <c r="G64" s="13"/>
      <c r="H64" s="13"/>
      <c r="I64" s="13"/>
      <c r="J64" s="14"/>
      <c r="K64" s="11" t="s">
        <v>10</v>
      </c>
      <c r="L64" s="11"/>
      <c r="M64" s="11" t="s">
        <v>10</v>
      </c>
      <c r="N64" s="3"/>
    </row>
    <row r="65" spans="1:14" x14ac:dyDescent="0.4">
      <c r="A65" s="12">
        <f t="shared" si="0"/>
        <v>61</v>
      </c>
      <c r="B65" s="19"/>
      <c r="C65" s="16"/>
      <c r="D65" s="16"/>
      <c r="E65" s="13" t="s">
        <v>2782</v>
      </c>
      <c r="F65" s="13"/>
      <c r="G65" s="13"/>
      <c r="H65" s="13"/>
      <c r="I65" s="13"/>
      <c r="J65" s="14"/>
      <c r="K65" s="11" t="s">
        <v>10</v>
      </c>
      <c r="L65" s="11"/>
      <c r="M65" s="11" t="s">
        <v>10</v>
      </c>
      <c r="N65" s="3"/>
    </row>
    <row r="66" spans="1:14" x14ac:dyDescent="0.4">
      <c r="A66" s="12">
        <f t="shared" si="0"/>
        <v>62</v>
      </c>
      <c r="B66" s="19"/>
      <c r="C66" s="16"/>
      <c r="D66" s="16"/>
      <c r="E66" s="13" t="s">
        <v>1733</v>
      </c>
      <c r="F66" s="13"/>
      <c r="G66" s="13"/>
      <c r="H66" s="13"/>
      <c r="I66" s="13"/>
      <c r="J66" s="14"/>
      <c r="K66" s="11" t="s">
        <v>10</v>
      </c>
      <c r="L66" s="11"/>
      <c r="M66" s="11" t="s">
        <v>10</v>
      </c>
      <c r="N66" s="3"/>
    </row>
    <row r="67" spans="1:14" x14ac:dyDescent="0.4">
      <c r="A67" s="12">
        <f t="shared" si="0"/>
        <v>63</v>
      </c>
      <c r="B67" s="19"/>
      <c r="C67" s="16"/>
      <c r="D67" s="16"/>
      <c r="E67" s="13" t="s">
        <v>2783</v>
      </c>
      <c r="F67" s="13"/>
      <c r="G67" s="13"/>
      <c r="H67" s="13"/>
      <c r="I67" s="13"/>
      <c r="J67" s="14"/>
      <c r="K67" s="11" t="s">
        <v>10</v>
      </c>
      <c r="L67" s="11"/>
      <c r="M67" s="11" t="s">
        <v>10</v>
      </c>
      <c r="N67" s="3"/>
    </row>
    <row r="68" spans="1:14" x14ac:dyDescent="0.4">
      <c r="A68" s="12">
        <f t="shared" si="0"/>
        <v>64</v>
      </c>
      <c r="B68" s="19"/>
      <c r="C68" s="16"/>
      <c r="D68" s="16"/>
      <c r="E68" s="13" t="s">
        <v>1734</v>
      </c>
      <c r="F68" s="13"/>
      <c r="G68" s="13"/>
      <c r="H68" s="13"/>
      <c r="I68" s="13"/>
      <c r="J68" s="14"/>
      <c r="K68" s="11" t="s">
        <v>10</v>
      </c>
      <c r="L68" s="11"/>
      <c r="M68" s="11" t="s">
        <v>10</v>
      </c>
      <c r="N68" s="3"/>
    </row>
    <row r="69" spans="1:14" x14ac:dyDescent="0.4">
      <c r="A69" s="12">
        <f t="shared" si="0"/>
        <v>65</v>
      </c>
      <c r="B69" s="19"/>
      <c r="C69" s="16"/>
      <c r="D69" s="16"/>
      <c r="E69" s="13" t="s">
        <v>1883</v>
      </c>
      <c r="F69" s="13"/>
      <c r="G69" s="13"/>
      <c r="H69" s="13"/>
      <c r="I69" s="13"/>
      <c r="J69" s="14"/>
      <c r="K69" s="11" t="s">
        <v>10</v>
      </c>
      <c r="L69" s="11"/>
      <c r="M69" s="11" t="s">
        <v>10</v>
      </c>
      <c r="N69" s="3"/>
    </row>
    <row r="70" spans="1:14" x14ac:dyDescent="0.4">
      <c r="A70" s="12">
        <f t="shared" si="0"/>
        <v>66</v>
      </c>
      <c r="B70" s="19"/>
      <c r="C70" s="16"/>
      <c r="D70" s="17"/>
      <c r="E70" s="13" t="s">
        <v>2784</v>
      </c>
      <c r="F70" s="13"/>
      <c r="G70" s="13"/>
      <c r="H70" s="13"/>
      <c r="I70" s="13"/>
      <c r="J70" s="14"/>
      <c r="K70" s="11" t="s">
        <v>10</v>
      </c>
      <c r="L70" s="11"/>
      <c r="M70" s="11" t="s">
        <v>10</v>
      </c>
      <c r="N70" s="3"/>
    </row>
    <row r="71" spans="1:14" x14ac:dyDescent="0.4">
      <c r="A71" s="12">
        <f t="shared" si="0"/>
        <v>67</v>
      </c>
      <c r="B71" s="19"/>
      <c r="C71" s="16"/>
      <c r="D71" s="27" t="s">
        <v>2787</v>
      </c>
      <c r="E71" s="9"/>
      <c r="F71" s="9"/>
      <c r="G71" s="9"/>
      <c r="H71" s="9"/>
      <c r="I71" s="9"/>
      <c r="J71" s="10"/>
      <c r="K71" s="8"/>
      <c r="L71" s="8"/>
      <c r="M71" s="8"/>
      <c r="N71" s="8"/>
    </row>
    <row r="72" spans="1:14" x14ac:dyDescent="0.4">
      <c r="A72" s="12">
        <f t="shared" ref="A72:A80" si="1">A71+1</f>
        <v>68</v>
      </c>
      <c r="B72" s="19"/>
      <c r="C72" s="16"/>
      <c r="D72" s="16"/>
      <c r="E72" s="13" t="s">
        <v>2788</v>
      </c>
      <c r="F72" s="13"/>
      <c r="G72" s="13"/>
      <c r="H72" s="13"/>
      <c r="I72" s="13"/>
      <c r="J72" s="14"/>
      <c r="K72" s="11" t="s">
        <v>9</v>
      </c>
      <c r="L72" s="11"/>
      <c r="M72" s="11" t="s">
        <v>9</v>
      </c>
      <c r="N72" s="3"/>
    </row>
    <row r="73" spans="1:14" x14ac:dyDescent="0.4">
      <c r="A73" s="12">
        <f t="shared" si="1"/>
        <v>69</v>
      </c>
      <c r="B73" s="19"/>
      <c r="C73" s="16"/>
      <c r="D73" s="17"/>
      <c r="E73" s="13" t="s">
        <v>2789</v>
      </c>
      <c r="F73" s="13"/>
      <c r="G73" s="13"/>
      <c r="H73" s="13"/>
      <c r="I73" s="13"/>
      <c r="J73" s="14"/>
      <c r="K73" s="11" t="s">
        <v>10</v>
      </c>
      <c r="L73" s="11"/>
      <c r="M73" s="11" t="s">
        <v>10</v>
      </c>
      <c r="N73" s="3"/>
    </row>
    <row r="74" spans="1:14" x14ac:dyDescent="0.4">
      <c r="A74" s="12">
        <f t="shared" si="1"/>
        <v>70</v>
      </c>
      <c r="B74" s="19"/>
      <c r="C74" s="16"/>
      <c r="D74" s="27" t="s">
        <v>2790</v>
      </c>
      <c r="E74" s="9"/>
      <c r="F74" s="9"/>
      <c r="G74" s="9"/>
      <c r="H74" s="9"/>
      <c r="I74" s="9"/>
      <c r="J74" s="10"/>
      <c r="K74" s="8"/>
      <c r="L74" s="8"/>
      <c r="M74" s="8"/>
      <c r="N74" s="8"/>
    </row>
    <row r="75" spans="1:14" x14ac:dyDescent="0.4">
      <c r="A75" s="12">
        <f t="shared" si="1"/>
        <v>71</v>
      </c>
      <c r="B75" s="19"/>
      <c r="C75" s="16"/>
      <c r="D75" s="16"/>
      <c r="E75" s="13" t="s">
        <v>2791</v>
      </c>
      <c r="F75" s="13"/>
      <c r="G75" s="13"/>
      <c r="H75" s="13"/>
      <c r="I75" s="13"/>
      <c r="J75" s="14"/>
      <c r="K75" s="11" t="s">
        <v>9</v>
      </c>
      <c r="L75" s="11"/>
      <c r="M75" s="11" t="s">
        <v>9</v>
      </c>
      <c r="N75" s="3"/>
    </row>
    <row r="76" spans="1:14" x14ac:dyDescent="0.4">
      <c r="A76" s="12">
        <f t="shared" si="1"/>
        <v>72</v>
      </c>
      <c r="B76" s="19"/>
      <c r="C76" s="16"/>
      <c r="D76" s="17"/>
      <c r="E76" s="13" t="s">
        <v>2792</v>
      </c>
      <c r="F76" s="13"/>
      <c r="G76" s="13"/>
      <c r="H76" s="13"/>
      <c r="I76" s="13"/>
      <c r="J76" s="14"/>
      <c r="K76" s="11" t="s">
        <v>10</v>
      </c>
      <c r="L76" s="11"/>
      <c r="M76" s="11" t="s">
        <v>10</v>
      </c>
      <c r="N76" s="3"/>
    </row>
    <row r="77" spans="1:14" x14ac:dyDescent="0.4">
      <c r="A77" s="12">
        <f t="shared" si="1"/>
        <v>73</v>
      </c>
      <c r="B77" s="19"/>
      <c r="C77" s="16"/>
      <c r="D77" s="27" t="s">
        <v>2793</v>
      </c>
      <c r="E77" s="9"/>
      <c r="F77" s="9"/>
      <c r="G77" s="9"/>
      <c r="H77" s="9"/>
      <c r="I77" s="9"/>
      <c r="J77" s="10"/>
      <c r="K77" s="8"/>
      <c r="L77" s="8"/>
      <c r="M77" s="8"/>
      <c r="N77" s="8"/>
    </row>
    <row r="78" spans="1:14" x14ac:dyDescent="0.4">
      <c r="A78" s="12">
        <f t="shared" si="1"/>
        <v>74</v>
      </c>
      <c r="B78" s="19"/>
      <c r="C78" s="16"/>
      <c r="D78" s="16"/>
      <c r="E78" s="26" t="s">
        <v>2794</v>
      </c>
      <c r="F78" s="13"/>
      <c r="G78" s="13"/>
      <c r="H78" s="13"/>
      <c r="I78" s="13"/>
      <c r="J78" s="14"/>
      <c r="K78" s="11" t="s">
        <v>20</v>
      </c>
      <c r="L78" s="11"/>
      <c r="M78" s="11" t="s">
        <v>20</v>
      </c>
      <c r="N78" s="3"/>
    </row>
    <row r="79" spans="1:14" x14ac:dyDescent="0.4">
      <c r="A79" s="12">
        <f t="shared" si="1"/>
        <v>75</v>
      </c>
      <c r="B79" s="19"/>
      <c r="C79" s="16"/>
      <c r="D79" s="16"/>
      <c r="E79" s="32"/>
      <c r="F79" s="13" t="s">
        <v>2795</v>
      </c>
      <c r="G79" s="13"/>
      <c r="H79" s="13"/>
      <c r="I79" s="13"/>
      <c r="J79" s="14"/>
      <c r="K79" s="11" t="s">
        <v>20</v>
      </c>
      <c r="L79" s="11"/>
      <c r="M79" s="11" t="s">
        <v>20</v>
      </c>
      <c r="N79" s="3"/>
    </row>
    <row r="80" spans="1:14" x14ac:dyDescent="0.4">
      <c r="A80" s="12">
        <f t="shared" si="1"/>
        <v>76</v>
      </c>
      <c r="B80" s="19"/>
      <c r="C80" s="16"/>
      <c r="D80" s="16"/>
      <c r="E80" s="32"/>
      <c r="F80" s="27" t="s">
        <v>2796</v>
      </c>
      <c r="G80" s="9"/>
      <c r="H80" s="9"/>
      <c r="I80" s="9"/>
      <c r="J80" s="10"/>
      <c r="K80" s="8"/>
      <c r="L80" s="8"/>
      <c r="M80" s="8"/>
      <c r="N80" s="8"/>
    </row>
    <row r="81" spans="1:14" x14ac:dyDescent="0.4">
      <c r="A81" s="12">
        <f t="shared" ref="A81:A124" si="2">A80+1</f>
        <v>77</v>
      </c>
      <c r="B81" s="19"/>
      <c r="C81" s="16"/>
      <c r="D81" s="16"/>
      <c r="E81" s="32"/>
      <c r="F81" s="28"/>
      <c r="G81" s="13" t="s">
        <v>2797</v>
      </c>
      <c r="H81" s="13"/>
      <c r="I81" s="13"/>
      <c r="J81" s="14"/>
      <c r="K81" s="11" t="s">
        <v>10</v>
      </c>
      <c r="L81" s="11"/>
      <c r="M81" s="11" t="s">
        <v>10</v>
      </c>
      <c r="N81" s="3"/>
    </row>
    <row r="82" spans="1:14" x14ac:dyDescent="0.4">
      <c r="A82" s="12">
        <f t="shared" si="2"/>
        <v>78</v>
      </c>
      <c r="B82" s="19"/>
      <c r="C82" s="16"/>
      <c r="D82" s="17"/>
      <c r="E82" s="37"/>
      <c r="F82" s="29"/>
      <c r="G82" s="13" t="s">
        <v>2798</v>
      </c>
      <c r="H82" s="13"/>
      <c r="I82" s="13"/>
      <c r="J82" s="14"/>
      <c r="K82" s="11" t="s">
        <v>9</v>
      </c>
      <c r="L82" s="11"/>
      <c r="M82" s="11" t="s">
        <v>9</v>
      </c>
      <c r="N82" s="3"/>
    </row>
    <row r="83" spans="1:14" x14ac:dyDescent="0.4">
      <c r="A83" s="12">
        <f t="shared" si="2"/>
        <v>79</v>
      </c>
      <c r="B83" s="19"/>
      <c r="C83" s="16"/>
      <c r="D83" s="27" t="s">
        <v>2799</v>
      </c>
      <c r="E83" s="9"/>
      <c r="F83" s="9"/>
      <c r="G83" s="9"/>
      <c r="H83" s="9"/>
      <c r="I83" s="9"/>
      <c r="J83" s="10"/>
      <c r="K83" s="8"/>
      <c r="L83" s="8"/>
      <c r="M83" s="8"/>
      <c r="N83" s="8"/>
    </row>
    <row r="84" spans="1:14" x14ac:dyDescent="0.4">
      <c r="A84" s="12">
        <f t="shared" si="2"/>
        <v>80</v>
      </c>
      <c r="B84" s="19"/>
      <c r="C84" s="16"/>
      <c r="D84" s="16"/>
      <c r="E84" s="27" t="s">
        <v>2800</v>
      </c>
      <c r="F84" s="9"/>
      <c r="G84" s="9"/>
      <c r="H84" s="9"/>
      <c r="I84" s="9"/>
      <c r="J84" s="10"/>
      <c r="K84" s="8"/>
      <c r="L84" s="8"/>
      <c r="M84" s="8"/>
      <c r="N84" s="8"/>
    </row>
    <row r="85" spans="1:14" x14ac:dyDescent="0.4">
      <c r="A85" s="12">
        <f t="shared" si="2"/>
        <v>81</v>
      </c>
      <c r="B85" s="19"/>
      <c r="C85" s="16"/>
      <c r="D85" s="16"/>
      <c r="E85" s="29"/>
      <c r="F85" s="13" t="s">
        <v>2763</v>
      </c>
      <c r="G85" s="13"/>
      <c r="H85" s="13"/>
      <c r="I85" s="13"/>
      <c r="J85" s="14"/>
      <c r="K85" s="11" t="s">
        <v>1240</v>
      </c>
      <c r="L85" s="11"/>
      <c r="M85" s="11" t="s">
        <v>1240</v>
      </c>
      <c r="N85" s="3"/>
    </row>
    <row r="86" spans="1:14" x14ac:dyDescent="0.4">
      <c r="A86" s="12">
        <f t="shared" si="2"/>
        <v>82</v>
      </c>
      <c r="B86" s="19"/>
      <c r="C86" s="16"/>
      <c r="D86" s="16"/>
      <c r="E86" s="27" t="s">
        <v>2801</v>
      </c>
      <c r="F86" s="9"/>
      <c r="G86" s="9"/>
      <c r="H86" s="9"/>
      <c r="I86" s="9"/>
      <c r="J86" s="10"/>
      <c r="K86" s="8"/>
      <c r="L86" s="8"/>
      <c r="M86" s="8"/>
      <c r="N86" s="8"/>
    </row>
    <row r="87" spans="1:14" x14ac:dyDescent="0.4">
      <c r="A87" s="12">
        <f t="shared" si="2"/>
        <v>83</v>
      </c>
      <c r="B87" s="19"/>
      <c r="C87" s="16"/>
      <c r="D87" s="16"/>
      <c r="E87" s="16"/>
      <c r="F87" s="13" t="s">
        <v>2766</v>
      </c>
      <c r="G87" s="13"/>
      <c r="H87" s="13"/>
      <c r="I87" s="13"/>
      <c r="J87" s="14"/>
      <c r="K87" s="11" t="s">
        <v>9</v>
      </c>
      <c r="L87" s="11"/>
      <c r="M87" s="11" t="s">
        <v>9</v>
      </c>
      <c r="N87" s="3"/>
    </row>
    <row r="88" spans="1:14" x14ac:dyDescent="0.4">
      <c r="A88" s="12">
        <f t="shared" si="2"/>
        <v>84</v>
      </c>
      <c r="B88" s="19"/>
      <c r="C88" s="16"/>
      <c r="D88" s="16"/>
      <c r="E88" s="16"/>
      <c r="F88" s="26" t="s">
        <v>2767</v>
      </c>
      <c r="G88" s="13"/>
      <c r="H88" s="13"/>
      <c r="I88" s="13"/>
      <c r="J88" s="14"/>
      <c r="K88" s="11" t="s">
        <v>10</v>
      </c>
      <c r="L88" s="11"/>
      <c r="M88" s="11" t="s">
        <v>10</v>
      </c>
      <c r="N88" s="3"/>
    </row>
    <row r="89" spans="1:14" x14ac:dyDescent="0.4">
      <c r="A89" s="12">
        <f t="shared" si="2"/>
        <v>85</v>
      </c>
      <c r="B89" s="19"/>
      <c r="C89" s="16"/>
      <c r="D89" s="16"/>
      <c r="E89" s="16"/>
      <c r="F89" s="19"/>
      <c r="G89" s="13" t="s">
        <v>1611</v>
      </c>
      <c r="H89" s="13"/>
      <c r="I89" s="13"/>
      <c r="J89" s="14"/>
      <c r="K89" s="11" t="s">
        <v>1240</v>
      </c>
      <c r="L89" s="11"/>
      <c r="M89" s="11" t="s">
        <v>1240</v>
      </c>
      <c r="N89" s="3"/>
    </row>
    <row r="90" spans="1:14" x14ac:dyDescent="0.4">
      <c r="A90" s="12">
        <f t="shared" si="2"/>
        <v>86</v>
      </c>
      <c r="B90" s="19"/>
      <c r="C90" s="16"/>
      <c r="D90" s="16"/>
      <c r="E90" s="17"/>
      <c r="F90" s="20"/>
      <c r="G90" s="13" t="s">
        <v>815</v>
      </c>
      <c r="H90" s="13"/>
      <c r="I90" s="13"/>
      <c r="J90" s="14"/>
      <c r="K90" s="11" t="s">
        <v>1240</v>
      </c>
      <c r="L90" s="11"/>
      <c r="M90" s="11" t="s">
        <v>1240</v>
      </c>
      <c r="N90" s="3"/>
    </row>
    <row r="91" spans="1:14" x14ac:dyDescent="0.4">
      <c r="A91" s="12">
        <f t="shared" si="2"/>
        <v>87</v>
      </c>
      <c r="B91" s="19"/>
      <c r="C91" s="16"/>
      <c r="D91" s="17"/>
      <c r="E91" s="13" t="s">
        <v>2802</v>
      </c>
      <c r="F91" s="13"/>
      <c r="G91" s="13"/>
      <c r="H91" s="13"/>
      <c r="I91" s="13"/>
      <c r="J91" s="14"/>
      <c r="K91" s="11" t="s">
        <v>36</v>
      </c>
      <c r="L91" s="11"/>
      <c r="M91" s="11" t="s">
        <v>36</v>
      </c>
      <c r="N91" s="3"/>
    </row>
    <row r="92" spans="1:14" x14ac:dyDescent="0.4">
      <c r="A92" s="12">
        <f t="shared" si="2"/>
        <v>88</v>
      </c>
      <c r="B92" s="19"/>
      <c r="C92" s="16"/>
      <c r="D92" s="27" t="s">
        <v>2803</v>
      </c>
      <c r="E92" s="9"/>
      <c r="F92" s="9"/>
      <c r="G92" s="9"/>
      <c r="H92" s="9"/>
      <c r="I92" s="9"/>
      <c r="J92" s="10"/>
      <c r="K92" s="8"/>
      <c r="L92" s="8"/>
      <c r="M92" s="8"/>
      <c r="N92" s="8"/>
    </row>
    <row r="93" spans="1:14" x14ac:dyDescent="0.4">
      <c r="A93" s="12">
        <f t="shared" si="2"/>
        <v>89</v>
      </c>
      <c r="B93" s="19"/>
      <c r="C93" s="16"/>
      <c r="D93" s="16"/>
      <c r="E93" s="27" t="s">
        <v>2804</v>
      </c>
      <c r="F93" s="9"/>
      <c r="G93" s="9"/>
      <c r="H93" s="9"/>
      <c r="I93" s="9"/>
      <c r="J93" s="10"/>
      <c r="K93" s="8"/>
      <c r="L93" s="8"/>
      <c r="M93" s="8"/>
      <c r="N93" s="8"/>
    </row>
    <row r="94" spans="1:14" x14ac:dyDescent="0.4">
      <c r="A94" s="12">
        <f t="shared" si="2"/>
        <v>90</v>
      </c>
      <c r="B94" s="19"/>
      <c r="C94" s="16"/>
      <c r="D94" s="16"/>
      <c r="E94" s="16"/>
      <c r="F94" s="13" t="s">
        <v>2805</v>
      </c>
      <c r="G94" s="13"/>
      <c r="H94" s="13"/>
      <c r="I94" s="13"/>
      <c r="J94" s="14"/>
      <c r="K94" s="11" t="s">
        <v>10</v>
      </c>
      <c r="L94" s="11"/>
      <c r="M94" s="11" t="s">
        <v>10</v>
      </c>
      <c r="N94" s="3"/>
    </row>
    <row r="95" spans="1:14" x14ac:dyDescent="0.4">
      <c r="A95" s="12">
        <f t="shared" si="2"/>
        <v>91</v>
      </c>
      <c r="B95" s="19"/>
      <c r="C95" s="16"/>
      <c r="D95" s="16"/>
      <c r="E95" s="16"/>
      <c r="F95" s="13" t="s">
        <v>2806</v>
      </c>
      <c r="G95" s="13"/>
      <c r="H95" s="13"/>
      <c r="I95" s="13"/>
      <c r="J95" s="14"/>
      <c r="K95" s="11" t="s">
        <v>10</v>
      </c>
      <c r="L95" s="11"/>
      <c r="M95" s="11" t="s">
        <v>10</v>
      </c>
      <c r="N95" s="3"/>
    </row>
    <row r="96" spans="1:14" x14ac:dyDescent="0.4">
      <c r="A96" s="12">
        <f t="shared" si="2"/>
        <v>92</v>
      </c>
      <c r="B96" s="19"/>
      <c r="C96" s="16"/>
      <c r="D96" s="16"/>
      <c r="E96" s="17"/>
      <c r="F96" s="13" t="s">
        <v>2807</v>
      </c>
      <c r="G96" s="13"/>
      <c r="H96" s="13"/>
      <c r="I96" s="13"/>
      <c r="J96" s="14"/>
      <c r="K96" s="11" t="s">
        <v>9</v>
      </c>
      <c r="L96" s="11"/>
      <c r="M96" s="11" t="s">
        <v>9</v>
      </c>
      <c r="N96" s="3"/>
    </row>
    <row r="97" spans="1:14" x14ac:dyDescent="0.4">
      <c r="A97" s="12">
        <f t="shared" si="2"/>
        <v>93</v>
      </c>
      <c r="B97" s="19"/>
      <c r="C97" s="16"/>
      <c r="D97" s="16"/>
      <c r="E97" s="26" t="s">
        <v>2808</v>
      </c>
      <c r="F97" s="13"/>
      <c r="G97" s="13"/>
      <c r="H97" s="13"/>
      <c r="I97" s="13"/>
      <c r="J97" s="14"/>
      <c r="K97" s="11" t="s">
        <v>36</v>
      </c>
      <c r="L97" s="11"/>
      <c r="M97" s="11" t="s">
        <v>36</v>
      </c>
      <c r="N97" s="3"/>
    </row>
    <row r="98" spans="1:14" x14ac:dyDescent="0.4">
      <c r="A98" s="12">
        <f t="shared" si="2"/>
        <v>94</v>
      </c>
      <c r="B98" s="19"/>
      <c r="C98" s="16"/>
      <c r="D98" s="16"/>
      <c r="E98" s="20"/>
      <c r="F98" s="13" t="s">
        <v>2809</v>
      </c>
      <c r="G98" s="13"/>
      <c r="H98" s="13"/>
      <c r="I98" s="13"/>
      <c r="J98" s="14"/>
      <c r="K98" s="11" t="s">
        <v>1240</v>
      </c>
      <c r="L98" s="11"/>
      <c r="M98" s="11" t="s">
        <v>1240</v>
      </c>
      <c r="N98" s="3"/>
    </row>
    <row r="99" spans="1:14" x14ac:dyDescent="0.4">
      <c r="A99" s="12">
        <f t="shared" si="2"/>
        <v>95</v>
      </c>
      <c r="B99" s="19"/>
      <c r="C99" s="16"/>
      <c r="D99" s="16"/>
      <c r="E99" s="27" t="s">
        <v>2810</v>
      </c>
      <c r="F99" s="9"/>
      <c r="G99" s="9"/>
      <c r="H99" s="9"/>
      <c r="I99" s="9"/>
      <c r="J99" s="10"/>
      <c r="K99" s="8"/>
      <c r="L99" s="8"/>
      <c r="M99" s="8"/>
      <c r="N99" s="8"/>
    </row>
    <row r="100" spans="1:14" x14ac:dyDescent="0.4">
      <c r="A100" s="12">
        <f t="shared" si="2"/>
        <v>96</v>
      </c>
      <c r="B100" s="19"/>
      <c r="C100" s="16"/>
      <c r="D100" s="16"/>
      <c r="E100" s="16"/>
      <c r="F100" s="13" t="s">
        <v>1696</v>
      </c>
      <c r="G100" s="13"/>
      <c r="H100" s="13"/>
      <c r="I100" s="13"/>
      <c r="J100" s="14"/>
      <c r="K100" s="11" t="s">
        <v>9</v>
      </c>
      <c r="L100" s="11"/>
      <c r="M100" s="11" t="s">
        <v>9</v>
      </c>
      <c r="N100" s="3"/>
    </row>
    <row r="101" spans="1:14" x14ac:dyDescent="0.4">
      <c r="A101" s="12">
        <f t="shared" si="2"/>
        <v>97</v>
      </c>
      <c r="B101" s="19"/>
      <c r="C101" s="16"/>
      <c r="D101" s="16"/>
      <c r="E101" s="16"/>
      <c r="F101" s="13" t="s">
        <v>2811</v>
      </c>
      <c r="G101" s="13"/>
      <c r="H101" s="13"/>
      <c r="I101" s="13"/>
      <c r="J101" s="14"/>
      <c r="K101" s="11" t="s">
        <v>10</v>
      </c>
      <c r="L101" s="11"/>
      <c r="M101" s="11" t="s">
        <v>10</v>
      </c>
      <c r="N101" s="3"/>
    </row>
    <row r="102" spans="1:14" x14ac:dyDescent="0.4">
      <c r="A102" s="12">
        <f t="shared" si="2"/>
        <v>98</v>
      </c>
      <c r="B102" s="19"/>
      <c r="C102" s="16"/>
      <c r="D102" s="16"/>
      <c r="E102" s="16"/>
      <c r="F102" s="26" t="s">
        <v>2812</v>
      </c>
      <c r="G102" s="13"/>
      <c r="H102" s="13"/>
      <c r="I102" s="13"/>
      <c r="J102" s="14"/>
      <c r="K102" s="11" t="s">
        <v>10</v>
      </c>
      <c r="L102" s="11"/>
      <c r="M102" s="11" t="s">
        <v>10</v>
      </c>
      <c r="N102" s="3"/>
    </row>
    <row r="103" spans="1:14" x14ac:dyDescent="0.4">
      <c r="A103" s="12">
        <f t="shared" si="2"/>
        <v>99</v>
      </c>
      <c r="B103" s="19"/>
      <c r="C103" s="16"/>
      <c r="D103" s="16"/>
      <c r="E103" s="17"/>
      <c r="F103" s="20"/>
      <c r="G103" s="13" t="s">
        <v>2809</v>
      </c>
      <c r="H103" s="13"/>
      <c r="I103" s="13"/>
      <c r="J103" s="14"/>
      <c r="K103" s="58" t="s">
        <v>1239</v>
      </c>
      <c r="L103" s="59"/>
      <c r="M103" s="59" t="s">
        <v>1239</v>
      </c>
      <c r="N103" s="3"/>
    </row>
    <row r="104" spans="1:14" x14ac:dyDescent="0.4">
      <c r="A104" s="12">
        <f t="shared" si="2"/>
        <v>100</v>
      </c>
      <c r="B104" s="19"/>
      <c r="C104" s="16"/>
      <c r="D104" s="16"/>
      <c r="E104" s="26" t="s">
        <v>2813</v>
      </c>
      <c r="F104" s="13"/>
      <c r="G104" s="13"/>
      <c r="H104" s="13"/>
      <c r="I104" s="13"/>
      <c r="J104" s="14"/>
      <c r="K104" s="11" t="s">
        <v>36</v>
      </c>
      <c r="L104" s="11"/>
      <c r="M104" s="11" t="s">
        <v>36</v>
      </c>
      <c r="N104" s="3"/>
    </row>
    <row r="105" spans="1:14" x14ac:dyDescent="0.4">
      <c r="A105" s="12">
        <f t="shared" si="2"/>
        <v>101</v>
      </c>
      <c r="B105" s="19"/>
      <c r="C105" s="16"/>
      <c r="D105" s="16"/>
      <c r="E105" s="19"/>
      <c r="F105" s="27" t="s">
        <v>2814</v>
      </c>
      <c r="G105" s="9"/>
      <c r="H105" s="9"/>
      <c r="I105" s="9"/>
      <c r="J105" s="10"/>
      <c r="K105" s="8"/>
      <c r="L105" s="8"/>
      <c r="M105" s="8"/>
      <c r="N105" s="8"/>
    </row>
    <row r="106" spans="1:14" x14ac:dyDescent="0.4">
      <c r="A106" s="12">
        <f t="shared" si="2"/>
        <v>102</v>
      </c>
      <c r="B106" s="19"/>
      <c r="C106" s="16"/>
      <c r="D106" s="16"/>
      <c r="E106" s="19"/>
      <c r="F106" s="16"/>
      <c r="G106" s="26" t="s">
        <v>2815</v>
      </c>
      <c r="H106" s="13"/>
      <c r="I106" s="13"/>
      <c r="J106" s="14"/>
      <c r="K106" s="11" t="s">
        <v>36</v>
      </c>
      <c r="L106" s="11"/>
      <c r="M106" s="11" t="s">
        <v>36</v>
      </c>
      <c r="N106" s="3"/>
    </row>
    <row r="107" spans="1:14" x14ac:dyDescent="0.4">
      <c r="A107" s="12">
        <f t="shared" si="2"/>
        <v>103</v>
      </c>
      <c r="B107" s="19"/>
      <c r="C107" s="16"/>
      <c r="D107" s="16"/>
      <c r="E107" s="19"/>
      <c r="F107" s="16"/>
      <c r="G107" s="20"/>
      <c r="H107" s="13" t="s">
        <v>2817</v>
      </c>
      <c r="I107" s="13"/>
      <c r="J107" s="14"/>
      <c r="K107" s="58" t="s">
        <v>1239</v>
      </c>
      <c r="L107" s="59"/>
      <c r="M107" s="59" t="s">
        <v>1239</v>
      </c>
      <c r="N107" s="3"/>
    </row>
    <row r="108" spans="1:14" x14ac:dyDescent="0.4">
      <c r="A108" s="12">
        <f t="shared" si="2"/>
        <v>104</v>
      </c>
      <c r="B108" s="19"/>
      <c r="C108" s="16"/>
      <c r="D108" s="16"/>
      <c r="E108" s="19"/>
      <c r="F108" s="16"/>
      <c r="G108" s="26" t="s">
        <v>2816</v>
      </c>
      <c r="H108" s="13"/>
      <c r="I108" s="13"/>
      <c r="J108" s="14"/>
      <c r="K108" s="11" t="s">
        <v>36</v>
      </c>
      <c r="L108" s="11"/>
      <c r="M108" s="11" t="s">
        <v>36</v>
      </c>
      <c r="N108" s="3"/>
    </row>
    <row r="109" spans="1:14" x14ac:dyDescent="0.4">
      <c r="A109" s="12">
        <f t="shared" si="2"/>
        <v>105</v>
      </c>
      <c r="B109" s="19"/>
      <c r="C109" s="16"/>
      <c r="D109" s="16"/>
      <c r="E109" s="19"/>
      <c r="F109" s="16"/>
      <c r="G109" s="19"/>
      <c r="H109" s="13" t="s">
        <v>2818</v>
      </c>
      <c r="I109" s="13"/>
      <c r="J109" s="14"/>
      <c r="K109" s="58" t="s">
        <v>1239</v>
      </c>
      <c r="L109" s="59"/>
      <c r="M109" s="59" t="s">
        <v>1239</v>
      </c>
      <c r="N109" s="3"/>
    </row>
    <row r="110" spans="1:14" x14ac:dyDescent="0.4">
      <c r="A110" s="12">
        <f t="shared" si="2"/>
        <v>106</v>
      </c>
      <c r="B110" s="19"/>
      <c r="C110" s="16"/>
      <c r="D110" s="16"/>
      <c r="E110" s="20"/>
      <c r="F110" s="17"/>
      <c r="G110" s="20"/>
      <c r="H110" s="13" t="s">
        <v>2819</v>
      </c>
      <c r="I110" s="13"/>
      <c r="J110" s="14"/>
      <c r="K110" s="58" t="s">
        <v>1239</v>
      </c>
      <c r="L110" s="59"/>
      <c r="M110" s="59" t="s">
        <v>1239</v>
      </c>
      <c r="N110" s="3"/>
    </row>
    <row r="111" spans="1:14" x14ac:dyDescent="0.4">
      <c r="A111" s="12">
        <f t="shared" si="2"/>
        <v>107</v>
      </c>
      <c r="B111" s="19"/>
      <c r="C111" s="16"/>
      <c r="D111" s="16"/>
      <c r="E111" s="18" t="s">
        <v>2820</v>
      </c>
      <c r="F111" s="13"/>
      <c r="G111" s="13"/>
      <c r="H111" s="13"/>
      <c r="I111" s="13"/>
      <c r="J111" s="14"/>
      <c r="K111" s="11" t="s">
        <v>36</v>
      </c>
      <c r="L111" s="11"/>
      <c r="M111" s="11" t="s">
        <v>36</v>
      </c>
      <c r="N111" s="3"/>
    </row>
    <row r="112" spans="1:14" x14ac:dyDescent="0.4">
      <c r="A112" s="12">
        <f t="shared" si="2"/>
        <v>108</v>
      </c>
      <c r="B112" s="19"/>
      <c r="C112" s="16"/>
      <c r="D112" s="16"/>
      <c r="E112" s="19"/>
      <c r="F112" s="15" t="s">
        <v>2821</v>
      </c>
      <c r="G112" s="9"/>
      <c r="H112" s="9"/>
      <c r="I112" s="9"/>
      <c r="J112" s="10"/>
      <c r="K112" s="8"/>
      <c r="L112" s="8"/>
      <c r="M112" s="8"/>
      <c r="N112" s="8"/>
    </row>
    <row r="113" spans="1:14" x14ac:dyDescent="0.4">
      <c r="A113" s="12">
        <f t="shared" si="2"/>
        <v>109</v>
      </c>
      <c r="B113" s="19"/>
      <c r="C113" s="16"/>
      <c r="D113" s="16"/>
      <c r="E113" s="19"/>
      <c r="F113" s="16"/>
      <c r="G113" s="18" t="s">
        <v>2822</v>
      </c>
      <c r="H113" s="13"/>
      <c r="I113" s="13"/>
      <c r="J113" s="14"/>
      <c r="K113" s="3"/>
      <c r="L113" s="3"/>
      <c r="M113" s="3"/>
      <c r="N113" s="3"/>
    </row>
    <row r="114" spans="1:14" x14ac:dyDescent="0.4">
      <c r="A114" s="12">
        <f t="shared" si="2"/>
        <v>110</v>
      </c>
      <c r="B114" s="19"/>
      <c r="C114" s="16"/>
      <c r="D114" s="16"/>
      <c r="E114" s="19"/>
      <c r="F114" s="16"/>
      <c r="G114" s="19"/>
      <c r="H114" s="26" t="s">
        <v>2826</v>
      </c>
      <c r="I114" s="13"/>
      <c r="J114" s="14"/>
      <c r="K114" s="11" t="s">
        <v>9</v>
      </c>
      <c r="L114" s="11"/>
      <c r="M114" s="11" t="s">
        <v>9</v>
      </c>
      <c r="N114" s="3"/>
    </row>
    <row r="115" spans="1:14" x14ac:dyDescent="0.4">
      <c r="A115" s="12">
        <f t="shared" si="2"/>
        <v>111</v>
      </c>
      <c r="B115" s="19"/>
      <c r="C115" s="16"/>
      <c r="D115" s="16"/>
      <c r="E115" s="19"/>
      <c r="F115" s="16"/>
      <c r="G115" s="19"/>
      <c r="H115" s="19"/>
      <c r="I115" s="13" t="s">
        <v>2823</v>
      </c>
      <c r="J115" s="14"/>
      <c r="K115" s="58" t="s">
        <v>1239</v>
      </c>
      <c r="L115" s="59"/>
      <c r="M115" s="59" t="s">
        <v>1239</v>
      </c>
      <c r="N115" s="3"/>
    </row>
    <row r="116" spans="1:14" x14ac:dyDescent="0.4">
      <c r="A116" s="12">
        <f t="shared" si="2"/>
        <v>112</v>
      </c>
      <c r="B116" s="19"/>
      <c r="C116" s="16"/>
      <c r="D116" s="16"/>
      <c r="E116" s="19"/>
      <c r="F116" s="16"/>
      <c r="G116" s="19"/>
      <c r="H116" s="20"/>
      <c r="I116" s="13" t="s">
        <v>2824</v>
      </c>
      <c r="J116" s="14"/>
      <c r="K116" s="58" t="s">
        <v>1239</v>
      </c>
      <c r="L116" s="59"/>
      <c r="M116" s="59" t="s">
        <v>1239</v>
      </c>
      <c r="N116" s="3"/>
    </row>
    <row r="117" spans="1:14" x14ac:dyDescent="0.4">
      <c r="A117" s="12">
        <f t="shared" si="2"/>
        <v>113</v>
      </c>
      <c r="B117" s="19"/>
      <c r="C117" s="16"/>
      <c r="D117" s="16"/>
      <c r="E117" s="19"/>
      <c r="F117" s="16"/>
      <c r="G117" s="19"/>
      <c r="H117" s="26" t="s">
        <v>2825</v>
      </c>
      <c r="I117" s="13"/>
      <c r="J117" s="14"/>
      <c r="K117" s="11" t="s">
        <v>10</v>
      </c>
      <c r="L117" s="11"/>
      <c r="M117" s="11" t="s">
        <v>10</v>
      </c>
      <c r="N117" s="3"/>
    </row>
    <row r="118" spans="1:14" x14ac:dyDescent="0.4">
      <c r="A118" s="12">
        <f t="shared" si="2"/>
        <v>114</v>
      </c>
      <c r="B118" s="19"/>
      <c r="C118" s="16"/>
      <c r="D118" s="16"/>
      <c r="E118" s="19"/>
      <c r="F118" s="16"/>
      <c r="G118" s="19"/>
      <c r="H118" s="19"/>
      <c r="I118" s="13" t="s">
        <v>1726</v>
      </c>
      <c r="J118" s="14"/>
      <c r="K118" s="58" t="s">
        <v>1239</v>
      </c>
      <c r="L118" s="59"/>
      <c r="M118" s="59" t="s">
        <v>1239</v>
      </c>
      <c r="N118" s="3"/>
    </row>
    <row r="119" spans="1:14" x14ac:dyDescent="0.4">
      <c r="A119" s="12">
        <f t="shared" si="2"/>
        <v>115</v>
      </c>
      <c r="B119" s="19"/>
      <c r="C119" s="16"/>
      <c r="D119" s="16"/>
      <c r="E119" s="19"/>
      <c r="F119" s="16"/>
      <c r="G119" s="19"/>
      <c r="H119" s="19"/>
      <c r="I119" s="13" t="s">
        <v>2818</v>
      </c>
      <c r="J119" s="14"/>
      <c r="K119" s="58" t="s">
        <v>1239</v>
      </c>
      <c r="L119" s="59"/>
      <c r="M119" s="59" t="s">
        <v>1239</v>
      </c>
      <c r="N119" s="3"/>
    </row>
    <row r="120" spans="1:14" x14ac:dyDescent="0.4">
      <c r="A120" s="12">
        <f t="shared" si="2"/>
        <v>116</v>
      </c>
      <c r="B120" s="19"/>
      <c r="C120" s="16"/>
      <c r="D120" s="16"/>
      <c r="E120" s="20"/>
      <c r="F120" s="17"/>
      <c r="G120" s="20"/>
      <c r="H120" s="20"/>
      <c r="I120" s="13" t="s">
        <v>2827</v>
      </c>
      <c r="J120" s="14"/>
      <c r="K120" s="3">
        <v>1</v>
      </c>
      <c r="L120" s="3"/>
      <c r="M120" s="3">
        <v>1</v>
      </c>
      <c r="N120" s="3"/>
    </row>
    <row r="121" spans="1:14" x14ac:dyDescent="0.4">
      <c r="A121" s="12">
        <f t="shared" si="2"/>
        <v>117</v>
      </c>
      <c r="B121" s="18" t="s">
        <v>2828</v>
      </c>
      <c r="C121" s="13"/>
      <c r="D121" s="13"/>
      <c r="E121" s="13"/>
      <c r="F121" s="13"/>
      <c r="G121" s="13"/>
      <c r="H121" s="13"/>
      <c r="I121" s="13"/>
      <c r="J121" s="14"/>
      <c r="K121" s="11" t="s">
        <v>1240</v>
      </c>
      <c r="L121" s="11"/>
      <c r="M121" s="11" t="s">
        <v>1240</v>
      </c>
      <c r="N121" s="3"/>
    </row>
    <row r="122" spans="1:14" x14ac:dyDescent="0.4">
      <c r="A122" s="12">
        <f t="shared" si="2"/>
        <v>118</v>
      </c>
      <c r="B122" s="19"/>
      <c r="C122" s="27" t="s">
        <v>110</v>
      </c>
      <c r="D122" s="9"/>
      <c r="E122" s="9"/>
      <c r="F122" s="9"/>
      <c r="G122" s="9"/>
      <c r="H122" s="9"/>
      <c r="I122" s="9"/>
      <c r="J122" s="10"/>
      <c r="K122" s="8"/>
      <c r="L122" s="8"/>
      <c r="M122" s="8"/>
      <c r="N122" s="8"/>
    </row>
    <row r="123" spans="1:14" x14ac:dyDescent="0.4">
      <c r="A123" s="12">
        <f t="shared" si="2"/>
        <v>119</v>
      </c>
      <c r="B123" s="19"/>
      <c r="C123" s="16"/>
      <c r="D123" s="13" t="s">
        <v>2750</v>
      </c>
      <c r="E123" s="13"/>
      <c r="F123" s="13"/>
      <c r="G123" s="13"/>
      <c r="H123" s="13"/>
      <c r="I123" s="13"/>
      <c r="J123" s="14"/>
      <c r="K123" s="11" t="s">
        <v>1240</v>
      </c>
      <c r="L123" s="11"/>
      <c r="M123" s="11" t="s">
        <v>1240</v>
      </c>
      <c r="N123" s="3"/>
    </row>
    <row r="124" spans="1:14" x14ac:dyDescent="0.4">
      <c r="A124" s="12">
        <f t="shared" si="2"/>
        <v>120</v>
      </c>
      <c r="B124" s="19"/>
      <c r="C124" s="16"/>
      <c r="D124" s="13" t="s">
        <v>811</v>
      </c>
      <c r="E124" s="13"/>
      <c r="F124" s="13"/>
      <c r="G124" s="13"/>
      <c r="H124" s="13"/>
      <c r="I124" s="13"/>
      <c r="J124" s="14"/>
      <c r="K124" s="3" t="s">
        <v>2830</v>
      </c>
      <c r="L124" s="3"/>
      <c r="M124" s="3" t="s">
        <v>2829</v>
      </c>
      <c r="N124" s="3"/>
    </row>
    <row r="125" spans="1:14" x14ac:dyDescent="0.4">
      <c r="A125" s="12">
        <f t="shared" ref="A125:A187" si="3">A124+1</f>
        <v>121</v>
      </c>
      <c r="B125" s="19"/>
      <c r="C125" s="16"/>
      <c r="D125" s="13" t="s">
        <v>2754</v>
      </c>
      <c r="E125" s="13"/>
      <c r="F125" s="13"/>
      <c r="G125" s="13"/>
      <c r="H125" s="13"/>
      <c r="I125" s="13"/>
      <c r="J125" s="14"/>
      <c r="K125" s="11" t="s">
        <v>36</v>
      </c>
      <c r="L125" s="11"/>
      <c r="M125" s="11" t="s">
        <v>36</v>
      </c>
      <c r="N125" s="3"/>
    </row>
    <row r="126" spans="1:14" x14ac:dyDescent="0.4">
      <c r="A126" s="12">
        <f t="shared" si="3"/>
        <v>122</v>
      </c>
      <c r="B126" s="19"/>
      <c r="C126" s="16"/>
      <c r="D126" s="13" t="s">
        <v>2755</v>
      </c>
      <c r="E126" s="13"/>
      <c r="F126" s="13"/>
      <c r="G126" s="13"/>
      <c r="H126" s="13"/>
      <c r="I126" s="13"/>
      <c r="J126" s="14"/>
      <c r="K126" s="11" t="s">
        <v>36</v>
      </c>
      <c r="L126" s="11"/>
      <c r="M126" s="11" t="s">
        <v>36</v>
      </c>
      <c r="N126" s="3"/>
    </row>
    <row r="127" spans="1:14" x14ac:dyDescent="0.4">
      <c r="A127" s="12">
        <f t="shared" si="3"/>
        <v>123</v>
      </c>
      <c r="B127" s="19"/>
      <c r="C127" s="16"/>
      <c r="D127" s="13" t="s">
        <v>2756</v>
      </c>
      <c r="E127" s="13"/>
      <c r="F127" s="13"/>
      <c r="G127" s="13"/>
      <c r="H127" s="13"/>
      <c r="I127" s="13"/>
      <c r="J127" s="14"/>
      <c r="K127" s="11" t="s">
        <v>20</v>
      </c>
      <c r="L127" s="11"/>
      <c r="M127" s="11" t="s">
        <v>20</v>
      </c>
      <c r="N127" s="3"/>
    </row>
    <row r="128" spans="1:14" x14ac:dyDescent="0.4">
      <c r="A128" s="12">
        <f t="shared" si="3"/>
        <v>124</v>
      </c>
      <c r="B128" s="19"/>
      <c r="C128" s="16"/>
      <c r="D128" s="13" t="s">
        <v>2757</v>
      </c>
      <c r="E128" s="13"/>
      <c r="F128" s="13"/>
      <c r="G128" s="13"/>
      <c r="H128" s="13"/>
      <c r="I128" s="13"/>
      <c r="J128" s="14"/>
      <c r="K128" s="11" t="s">
        <v>20</v>
      </c>
      <c r="L128" s="11"/>
      <c r="M128" s="11" t="s">
        <v>20</v>
      </c>
      <c r="N128" s="3"/>
    </row>
    <row r="129" spans="1:14" x14ac:dyDescent="0.4">
      <c r="A129" s="12">
        <f t="shared" si="3"/>
        <v>125</v>
      </c>
      <c r="B129" s="19"/>
      <c r="C129" s="17"/>
      <c r="D129" s="13" t="s">
        <v>2758</v>
      </c>
      <c r="E129" s="13"/>
      <c r="F129" s="13"/>
      <c r="G129" s="13"/>
      <c r="H129" s="13"/>
      <c r="I129" s="13"/>
      <c r="J129" s="14"/>
      <c r="K129" s="11" t="s">
        <v>36</v>
      </c>
      <c r="L129" s="11"/>
      <c r="M129" s="11" t="s">
        <v>36</v>
      </c>
      <c r="N129" s="3"/>
    </row>
    <row r="130" spans="1:14" x14ac:dyDescent="0.4">
      <c r="A130" s="12">
        <f t="shared" si="3"/>
        <v>126</v>
      </c>
      <c r="B130" s="19"/>
      <c r="C130" s="15" t="s">
        <v>2759</v>
      </c>
      <c r="D130" s="9"/>
      <c r="E130" s="9"/>
      <c r="F130" s="9"/>
      <c r="G130" s="9"/>
      <c r="H130" s="9"/>
      <c r="I130" s="9"/>
      <c r="J130" s="10"/>
      <c r="K130" s="8"/>
      <c r="L130" s="8"/>
      <c r="M130" s="8"/>
      <c r="N130" s="8"/>
    </row>
    <row r="131" spans="1:14" x14ac:dyDescent="0.4">
      <c r="A131" s="12">
        <f t="shared" si="3"/>
        <v>127</v>
      </c>
      <c r="B131" s="19"/>
      <c r="C131" s="17"/>
      <c r="D131" s="13" t="s">
        <v>2832</v>
      </c>
      <c r="E131" s="13"/>
      <c r="F131" s="13"/>
      <c r="G131" s="13"/>
      <c r="H131" s="13"/>
      <c r="I131" s="13"/>
      <c r="J131" s="14"/>
      <c r="K131" s="11" t="s">
        <v>1240</v>
      </c>
      <c r="L131" s="11"/>
      <c r="M131" s="11" t="s">
        <v>1240</v>
      </c>
      <c r="N131" s="3"/>
    </row>
    <row r="132" spans="1:14" x14ac:dyDescent="0.4">
      <c r="A132" s="12">
        <f t="shared" si="3"/>
        <v>128</v>
      </c>
      <c r="B132" s="19"/>
      <c r="C132" s="21" t="s">
        <v>2761</v>
      </c>
      <c r="D132" s="9"/>
      <c r="E132" s="9"/>
      <c r="F132" s="9"/>
      <c r="G132" s="9"/>
      <c r="H132" s="9"/>
      <c r="I132" s="9"/>
      <c r="J132" s="10"/>
      <c r="K132" s="8"/>
      <c r="L132" s="8"/>
      <c r="M132" s="8"/>
      <c r="N132" s="8"/>
    </row>
    <row r="133" spans="1:14" x14ac:dyDescent="0.4">
      <c r="A133" s="12">
        <f t="shared" si="3"/>
        <v>129</v>
      </c>
      <c r="B133" s="19"/>
      <c r="C133" s="16"/>
      <c r="D133" s="27" t="s">
        <v>2762</v>
      </c>
      <c r="E133" s="9"/>
      <c r="F133" s="9"/>
      <c r="G133" s="9"/>
      <c r="H133" s="9"/>
      <c r="I133" s="9"/>
      <c r="J133" s="10"/>
      <c r="K133" s="8"/>
      <c r="L133" s="8"/>
      <c r="M133" s="8"/>
      <c r="N133" s="8"/>
    </row>
    <row r="134" spans="1:14" x14ac:dyDescent="0.4">
      <c r="A134" s="12">
        <f t="shared" si="3"/>
        <v>130</v>
      </c>
      <c r="B134" s="19"/>
      <c r="C134" s="16"/>
      <c r="D134" s="16"/>
      <c r="E134" s="13" t="s">
        <v>2763</v>
      </c>
      <c r="F134" s="13"/>
      <c r="G134" s="13"/>
      <c r="H134" s="13"/>
      <c r="I134" s="13"/>
      <c r="J134" s="14"/>
      <c r="K134" s="11" t="s">
        <v>1240</v>
      </c>
      <c r="L134" s="11"/>
      <c r="M134" s="11" t="s">
        <v>1240</v>
      </c>
      <c r="N134" s="3"/>
    </row>
    <row r="135" spans="1:14" x14ac:dyDescent="0.4">
      <c r="A135" s="12">
        <f t="shared" si="3"/>
        <v>131</v>
      </c>
      <c r="B135" s="19"/>
      <c r="C135" s="16"/>
      <c r="D135" s="17"/>
      <c r="E135" s="13" t="s">
        <v>2764</v>
      </c>
      <c r="F135" s="13"/>
      <c r="G135" s="13"/>
      <c r="H135" s="13"/>
      <c r="I135" s="13"/>
      <c r="J135" s="14"/>
      <c r="K135" s="11" t="s">
        <v>1240</v>
      </c>
      <c r="L135" s="11"/>
      <c r="M135" s="11" t="s">
        <v>1240</v>
      </c>
      <c r="N135" s="3"/>
    </row>
    <row r="136" spans="1:14" x14ac:dyDescent="0.4">
      <c r="A136" s="12">
        <f t="shared" si="3"/>
        <v>132</v>
      </c>
      <c r="B136" s="19"/>
      <c r="C136" s="16"/>
      <c r="D136" s="27" t="s">
        <v>2765</v>
      </c>
      <c r="E136" s="9"/>
      <c r="F136" s="9"/>
      <c r="G136" s="9"/>
      <c r="H136" s="9"/>
      <c r="I136" s="9"/>
      <c r="J136" s="10"/>
      <c r="K136" s="8"/>
      <c r="L136" s="8"/>
      <c r="M136" s="8"/>
      <c r="N136" s="8"/>
    </row>
    <row r="137" spans="1:14" x14ac:dyDescent="0.4">
      <c r="A137" s="12">
        <f t="shared" si="3"/>
        <v>133</v>
      </c>
      <c r="B137" s="19"/>
      <c r="C137" s="16"/>
      <c r="D137" s="16"/>
      <c r="E137" s="13" t="s">
        <v>2766</v>
      </c>
      <c r="F137" s="13"/>
      <c r="G137" s="13"/>
      <c r="H137" s="13"/>
      <c r="I137" s="13"/>
      <c r="J137" s="14"/>
      <c r="K137" s="11" t="s">
        <v>9</v>
      </c>
      <c r="L137" s="11"/>
      <c r="M137" s="11" t="s">
        <v>9</v>
      </c>
      <c r="N137" s="3"/>
    </row>
    <row r="138" spans="1:14" x14ac:dyDescent="0.4">
      <c r="A138" s="12">
        <f t="shared" si="3"/>
        <v>134</v>
      </c>
      <c r="B138" s="19"/>
      <c r="C138" s="16"/>
      <c r="D138" s="16"/>
      <c r="E138" s="26" t="s">
        <v>2767</v>
      </c>
      <c r="F138" s="13"/>
      <c r="G138" s="13"/>
      <c r="H138" s="13"/>
      <c r="I138" s="13"/>
      <c r="J138" s="14"/>
      <c r="K138" s="11" t="s">
        <v>10</v>
      </c>
      <c r="L138" s="11"/>
      <c r="M138" s="11" t="s">
        <v>10</v>
      </c>
      <c r="N138" s="3"/>
    </row>
    <row r="139" spans="1:14" x14ac:dyDescent="0.4">
      <c r="A139" s="12">
        <f t="shared" si="3"/>
        <v>135</v>
      </c>
      <c r="B139" s="19"/>
      <c r="C139" s="16"/>
      <c r="D139" s="16"/>
      <c r="E139" s="19"/>
      <c r="F139" s="13" t="s">
        <v>1611</v>
      </c>
      <c r="G139" s="13"/>
      <c r="H139" s="13"/>
      <c r="I139" s="13"/>
      <c r="J139" s="14"/>
      <c r="K139" s="3" t="s">
        <v>2768</v>
      </c>
      <c r="L139" s="3"/>
      <c r="M139" s="3" t="s">
        <v>2768</v>
      </c>
      <c r="N139" s="3"/>
    </row>
    <row r="140" spans="1:14" x14ac:dyDescent="0.4">
      <c r="A140" s="12">
        <f t="shared" si="3"/>
        <v>136</v>
      </c>
      <c r="B140" s="19"/>
      <c r="C140" s="16"/>
      <c r="D140" s="17"/>
      <c r="E140" s="20"/>
      <c r="F140" s="13" t="s">
        <v>815</v>
      </c>
      <c r="G140" s="13"/>
      <c r="H140" s="13"/>
      <c r="I140" s="13"/>
      <c r="J140" s="14"/>
      <c r="K140" s="11" t="s">
        <v>1240</v>
      </c>
      <c r="L140" s="11"/>
      <c r="M140" s="11" t="s">
        <v>1240</v>
      </c>
      <c r="N140" s="3"/>
    </row>
    <row r="141" spans="1:14" x14ac:dyDescent="0.4">
      <c r="A141" s="12">
        <f t="shared" si="3"/>
        <v>137</v>
      </c>
      <c r="B141" s="19"/>
      <c r="C141" s="15" t="s">
        <v>2769</v>
      </c>
      <c r="D141" s="9"/>
      <c r="E141" s="9"/>
      <c r="F141" s="9"/>
      <c r="G141" s="9"/>
      <c r="H141" s="9"/>
      <c r="I141" s="9"/>
      <c r="J141" s="10"/>
      <c r="K141" s="8"/>
      <c r="L141" s="8"/>
      <c r="M141" s="8"/>
      <c r="N141" s="8"/>
    </row>
    <row r="142" spans="1:14" x14ac:dyDescent="0.4">
      <c r="A142" s="12">
        <f t="shared" si="3"/>
        <v>138</v>
      </c>
      <c r="B142" s="19"/>
      <c r="C142" s="16"/>
      <c r="D142" s="27" t="s">
        <v>2770</v>
      </c>
      <c r="E142" s="9"/>
      <c r="F142" s="9"/>
      <c r="G142" s="9"/>
      <c r="H142" s="9"/>
      <c r="I142" s="9"/>
      <c r="J142" s="10"/>
      <c r="K142" s="8"/>
      <c r="L142" s="8"/>
      <c r="M142" s="8"/>
      <c r="N142" s="8"/>
    </row>
    <row r="143" spans="1:14" x14ac:dyDescent="0.4">
      <c r="A143" s="12">
        <f t="shared" si="3"/>
        <v>139</v>
      </c>
      <c r="B143" s="19"/>
      <c r="C143" s="16"/>
      <c r="D143" s="16"/>
      <c r="E143" s="26" t="s">
        <v>2771</v>
      </c>
      <c r="F143" s="13"/>
      <c r="G143" s="13"/>
      <c r="H143" s="13"/>
      <c r="I143" s="13"/>
      <c r="J143" s="14"/>
      <c r="K143" s="11" t="s">
        <v>36</v>
      </c>
      <c r="L143" s="11"/>
      <c r="M143" s="11" t="s">
        <v>36</v>
      </c>
      <c r="N143" s="3"/>
    </row>
    <row r="144" spans="1:14" x14ac:dyDescent="0.4">
      <c r="A144" s="12">
        <f t="shared" si="3"/>
        <v>140</v>
      </c>
      <c r="B144" s="19"/>
      <c r="C144" s="16"/>
      <c r="D144" s="16"/>
      <c r="E144" s="19"/>
      <c r="F144" s="13" t="s">
        <v>2772</v>
      </c>
      <c r="G144" s="13"/>
      <c r="H144" s="13"/>
      <c r="I144" s="13"/>
      <c r="J144" s="14"/>
      <c r="K144" s="11" t="s">
        <v>1240</v>
      </c>
      <c r="L144" s="11"/>
      <c r="M144" s="11" t="s">
        <v>1240</v>
      </c>
      <c r="N144" s="3"/>
    </row>
    <row r="145" spans="1:14" x14ac:dyDescent="0.4">
      <c r="A145" s="12">
        <f t="shared" si="3"/>
        <v>141</v>
      </c>
      <c r="B145" s="19"/>
      <c r="C145" s="16"/>
      <c r="D145" s="17"/>
      <c r="E145" s="20"/>
      <c r="F145" s="13" t="s">
        <v>2773</v>
      </c>
      <c r="G145" s="13"/>
      <c r="H145" s="13"/>
      <c r="I145" s="13"/>
      <c r="J145" s="14"/>
      <c r="K145" s="11" t="s">
        <v>1240</v>
      </c>
      <c r="L145" s="11"/>
      <c r="M145" s="11" t="s">
        <v>1240</v>
      </c>
      <c r="N145" s="3"/>
    </row>
    <row r="146" spans="1:14" x14ac:dyDescent="0.4">
      <c r="A146" s="12">
        <f t="shared" si="3"/>
        <v>142</v>
      </c>
      <c r="B146" s="19"/>
      <c r="C146" s="16"/>
      <c r="D146" s="27" t="s">
        <v>2774</v>
      </c>
      <c r="E146" s="9"/>
      <c r="F146" s="9"/>
      <c r="G146" s="9"/>
      <c r="H146" s="9"/>
      <c r="I146" s="9"/>
      <c r="J146" s="10"/>
      <c r="K146" s="8"/>
      <c r="L146" s="8"/>
      <c r="M146" s="8"/>
      <c r="N146" s="8"/>
    </row>
    <row r="147" spans="1:14" x14ac:dyDescent="0.4">
      <c r="A147" s="12">
        <f t="shared" si="3"/>
        <v>143</v>
      </c>
      <c r="B147" s="19"/>
      <c r="C147" s="16"/>
      <c r="D147" s="16"/>
      <c r="E147" s="13" t="s">
        <v>2775</v>
      </c>
      <c r="F147" s="13"/>
      <c r="G147" s="13"/>
      <c r="H147" s="13"/>
      <c r="I147" s="13"/>
      <c r="J147" s="14"/>
      <c r="K147" s="11" t="s">
        <v>20</v>
      </c>
      <c r="L147" s="11"/>
      <c r="M147" s="11" t="s">
        <v>20</v>
      </c>
      <c r="N147" s="3"/>
    </row>
    <row r="148" spans="1:14" x14ac:dyDescent="0.4">
      <c r="A148" s="12">
        <f t="shared" si="3"/>
        <v>144</v>
      </c>
      <c r="B148" s="19"/>
      <c r="C148" s="16"/>
      <c r="D148" s="16"/>
      <c r="E148" s="13" t="s">
        <v>2776</v>
      </c>
      <c r="F148" s="13"/>
      <c r="G148" s="13"/>
      <c r="H148" s="13"/>
      <c r="I148" s="13"/>
      <c r="J148" s="14"/>
      <c r="K148" s="11" t="s">
        <v>20</v>
      </c>
      <c r="L148" s="11"/>
      <c r="M148" s="11" t="s">
        <v>20</v>
      </c>
      <c r="N148" s="3"/>
    </row>
    <row r="149" spans="1:14" x14ac:dyDescent="0.4">
      <c r="A149" s="12">
        <f t="shared" si="3"/>
        <v>145</v>
      </c>
      <c r="B149" s="19"/>
      <c r="C149" s="17"/>
      <c r="D149" s="17"/>
      <c r="E149" s="13" t="s">
        <v>2777</v>
      </c>
      <c r="F149" s="13"/>
      <c r="G149" s="13"/>
      <c r="H149" s="13"/>
      <c r="I149" s="13"/>
      <c r="J149" s="14"/>
      <c r="K149" s="11" t="s">
        <v>20</v>
      </c>
      <c r="L149" s="11"/>
      <c r="M149" s="11" t="s">
        <v>20</v>
      </c>
      <c r="N149" s="3"/>
    </row>
    <row r="150" spans="1:14" x14ac:dyDescent="0.4">
      <c r="A150" s="12">
        <f t="shared" si="3"/>
        <v>146</v>
      </c>
      <c r="B150" s="19"/>
      <c r="C150" s="15" t="s">
        <v>619</v>
      </c>
      <c r="D150" s="9"/>
      <c r="E150" s="9"/>
      <c r="F150" s="9"/>
      <c r="G150" s="9"/>
      <c r="H150" s="9"/>
      <c r="I150" s="9"/>
      <c r="J150" s="10"/>
      <c r="K150" s="8"/>
      <c r="L150" s="8"/>
      <c r="M150" s="8"/>
      <c r="N150" s="8"/>
    </row>
    <row r="151" spans="1:14" x14ac:dyDescent="0.4">
      <c r="A151" s="12">
        <f t="shared" si="3"/>
        <v>147</v>
      </c>
      <c r="B151" s="19"/>
      <c r="C151" s="16"/>
      <c r="D151" s="27" t="s">
        <v>2778</v>
      </c>
      <c r="E151" s="9"/>
      <c r="F151" s="9"/>
      <c r="G151" s="9"/>
      <c r="H151" s="9"/>
      <c r="I151" s="9"/>
      <c r="J151" s="10"/>
      <c r="K151" s="8"/>
      <c r="L151" s="8"/>
      <c r="M151" s="8"/>
      <c r="N151" s="8"/>
    </row>
    <row r="152" spans="1:14" x14ac:dyDescent="0.4">
      <c r="A152" s="12">
        <f t="shared" si="3"/>
        <v>148</v>
      </c>
      <c r="B152" s="19"/>
      <c r="C152" s="16"/>
      <c r="D152" s="16"/>
      <c r="E152" s="13" t="s">
        <v>2779</v>
      </c>
      <c r="F152" s="13"/>
      <c r="G152" s="13"/>
      <c r="H152" s="13"/>
      <c r="I152" s="13"/>
      <c r="J152" s="14"/>
      <c r="K152" s="11" t="s">
        <v>9</v>
      </c>
      <c r="L152" s="11"/>
      <c r="M152" s="11" t="s">
        <v>9</v>
      </c>
      <c r="N152" s="3"/>
    </row>
    <row r="153" spans="1:14" x14ac:dyDescent="0.4">
      <c r="A153" s="12">
        <f t="shared" si="3"/>
        <v>149</v>
      </c>
      <c r="B153" s="19"/>
      <c r="C153" s="16"/>
      <c r="D153" s="16"/>
      <c r="E153" s="13" t="s">
        <v>2780</v>
      </c>
      <c r="F153" s="13"/>
      <c r="G153" s="13"/>
      <c r="H153" s="13"/>
      <c r="I153" s="13"/>
      <c r="J153" s="14"/>
      <c r="K153" s="11" t="s">
        <v>10</v>
      </c>
      <c r="L153" s="11"/>
      <c r="M153" s="11" t="s">
        <v>10</v>
      </c>
      <c r="N153" s="3"/>
    </row>
    <row r="154" spans="1:14" x14ac:dyDescent="0.4">
      <c r="A154" s="12">
        <f t="shared" si="3"/>
        <v>150</v>
      </c>
      <c r="B154" s="19"/>
      <c r="C154" s="16"/>
      <c r="D154" s="16"/>
      <c r="E154" s="13" t="s">
        <v>2781</v>
      </c>
      <c r="F154" s="13"/>
      <c r="G154" s="13"/>
      <c r="H154" s="13"/>
      <c r="I154" s="13"/>
      <c r="J154" s="14"/>
      <c r="K154" s="11" t="s">
        <v>10</v>
      </c>
      <c r="L154" s="11"/>
      <c r="M154" s="11" t="s">
        <v>10</v>
      </c>
      <c r="N154" s="3"/>
    </row>
    <row r="155" spans="1:14" x14ac:dyDescent="0.4">
      <c r="A155" s="12">
        <f t="shared" si="3"/>
        <v>151</v>
      </c>
      <c r="B155" s="19"/>
      <c r="C155" s="16"/>
      <c r="D155" s="16"/>
      <c r="E155" s="13" t="s">
        <v>1602</v>
      </c>
      <c r="F155" s="13"/>
      <c r="G155" s="13"/>
      <c r="H155" s="13"/>
      <c r="I155" s="13"/>
      <c r="J155" s="14"/>
      <c r="K155" s="11" t="s">
        <v>10</v>
      </c>
      <c r="L155" s="11"/>
      <c r="M155" s="11" t="s">
        <v>10</v>
      </c>
      <c r="N155" s="3"/>
    </row>
    <row r="156" spans="1:14" x14ac:dyDescent="0.4">
      <c r="A156" s="12">
        <f t="shared" si="3"/>
        <v>152</v>
      </c>
      <c r="B156" s="19"/>
      <c r="C156" s="16"/>
      <c r="D156" s="16"/>
      <c r="E156" s="13" t="s">
        <v>1882</v>
      </c>
      <c r="F156" s="13"/>
      <c r="G156" s="13"/>
      <c r="H156" s="13"/>
      <c r="I156" s="13"/>
      <c r="J156" s="14"/>
      <c r="K156" s="11" t="s">
        <v>10</v>
      </c>
      <c r="L156" s="11"/>
      <c r="M156" s="11" t="s">
        <v>10</v>
      </c>
      <c r="N156" s="3"/>
    </row>
    <row r="157" spans="1:14" x14ac:dyDescent="0.4">
      <c r="A157" s="12">
        <f t="shared" si="3"/>
        <v>153</v>
      </c>
      <c r="B157" s="19"/>
      <c r="C157" s="16"/>
      <c r="D157" s="16"/>
      <c r="E157" s="13" t="s">
        <v>2782</v>
      </c>
      <c r="F157" s="13"/>
      <c r="G157" s="13"/>
      <c r="H157" s="13"/>
      <c r="I157" s="13"/>
      <c r="J157" s="14"/>
      <c r="K157" s="11" t="s">
        <v>10</v>
      </c>
      <c r="L157" s="11"/>
      <c r="M157" s="11" t="s">
        <v>10</v>
      </c>
      <c r="N157" s="3"/>
    </row>
    <row r="158" spans="1:14" x14ac:dyDescent="0.4">
      <c r="A158" s="12">
        <f t="shared" si="3"/>
        <v>154</v>
      </c>
      <c r="B158" s="19"/>
      <c r="C158" s="16"/>
      <c r="D158" s="16"/>
      <c r="E158" s="13" t="s">
        <v>1733</v>
      </c>
      <c r="F158" s="13"/>
      <c r="G158" s="13"/>
      <c r="H158" s="13"/>
      <c r="I158" s="13"/>
      <c r="J158" s="14"/>
      <c r="K158" s="11" t="s">
        <v>10</v>
      </c>
      <c r="L158" s="11"/>
      <c r="M158" s="11" t="s">
        <v>10</v>
      </c>
      <c r="N158" s="3"/>
    </row>
    <row r="159" spans="1:14" x14ac:dyDescent="0.4">
      <c r="A159" s="12">
        <f t="shared" si="3"/>
        <v>155</v>
      </c>
      <c r="B159" s="19"/>
      <c r="C159" s="16"/>
      <c r="D159" s="16"/>
      <c r="E159" s="13" t="s">
        <v>2783</v>
      </c>
      <c r="F159" s="13"/>
      <c r="G159" s="13"/>
      <c r="H159" s="13"/>
      <c r="I159" s="13"/>
      <c r="J159" s="14"/>
      <c r="K159" s="11" t="s">
        <v>10</v>
      </c>
      <c r="L159" s="11"/>
      <c r="M159" s="11" t="s">
        <v>10</v>
      </c>
      <c r="N159" s="3"/>
    </row>
    <row r="160" spans="1:14" x14ac:dyDescent="0.4">
      <c r="A160" s="12">
        <f t="shared" si="3"/>
        <v>156</v>
      </c>
      <c r="B160" s="19"/>
      <c r="C160" s="16"/>
      <c r="D160" s="16"/>
      <c r="E160" s="13" t="s">
        <v>1734</v>
      </c>
      <c r="F160" s="13"/>
      <c r="G160" s="13"/>
      <c r="H160" s="13"/>
      <c r="I160" s="13"/>
      <c r="J160" s="14"/>
      <c r="K160" s="11" t="s">
        <v>10</v>
      </c>
      <c r="L160" s="11"/>
      <c r="M160" s="11" t="s">
        <v>10</v>
      </c>
      <c r="N160" s="3"/>
    </row>
    <row r="161" spans="1:14" x14ac:dyDescent="0.4">
      <c r="A161" s="12">
        <f t="shared" si="3"/>
        <v>157</v>
      </c>
      <c r="B161" s="19"/>
      <c r="C161" s="16"/>
      <c r="D161" s="16"/>
      <c r="E161" s="13" t="s">
        <v>1883</v>
      </c>
      <c r="F161" s="13"/>
      <c r="G161" s="13"/>
      <c r="H161" s="13"/>
      <c r="I161" s="13"/>
      <c r="J161" s="14"/>
      <c r="K161" s="11" t="s">
        <v>10</v>
      </c>
      <c r="L161" s="11"/>
      <c r="M161" s="11" t="s">
        <v>10</v>
      </c>
      <c r="N161" s="3"/>
    </row>
    <row r="162" spans="1:14" x14ac:dyDescent="0.4">
      <c r="A162" s="12">
        <f t="shared" si="3"/>
        <v>158</v>
      </c>
      <c r="B162" s="19"/>
      <c r="C162" s="16"/>
      <c r="D162" s="17"/>
      <c r="E162" s="13" t="s">
        <v>2784</v>
      </c>
      <c r="F162" s="13"/>
      <c r="G162" s="13"/>
      <c r="H162" s="13"/>
      <c r="I162" s="13"/>
      <c r="J162" s="14"/>
      <c r="K162" s="11" t="s">
        <v>10</v>
      </c>
      <c r="L162" s="11"/>
      <c r="M162" s="11" t="s">
        <v>10</v>
      </c>
      <c r="N162" s="3"/>
    </row>
    <row r="163" spans="1:14" x14ac:dyDescent="0.4">
      <c r="A163" s="12">
        <f t="shared" si="3"/>
        <v>159</v>
      </c>
      <c r="B163" s="19"/>
      <c r="C163" s="16"/>
      <c r="D163" s="27" t="s">
        <v>2785</v>
      </c>
      <c r="E163" s="9"/>
      <c r="F163" s="9"/>
      <c r="G163" s="9"/>
      <c r="H163" s="9"/>
      <c r="I163" s="9"/>
      <c r="J163" s="10"/>
      <c r="K163" s="8"/>
      <c r="L163" s="8"/>
      <c r="M163" s="8"/>
      <c r="N163" s="8"/>
    </row>
    <row r="164" spans="1:14" x14ac:dyDescent="0.4">
      <c r="A164" s="12">
        <f t="shared" si="3"/>
        <v>160</v>
      </c>
      <c r="B164" s="19"/>
      <c r="C164" s="16"/>
      <c r="D164" s="16"/>
      <c r="E164" s="13" t="s">
        <v>2779</v>
      </c>
      <c r="F164" s="13"/>
      <c r="G164" s="13"/>
      <c r="H164" s="13"/>
      <c r="I164" s="13"/>
      <c r="J164" s="14"/>
      <c r="K164" s="11" t="s">
        <v>9</v>
      </c>
      <c r="L164" s="11"/>
      <c r="M164" s="11" t="s">
        <v>9</v>
      </c>
      <c r="N164" s="3"/>
    </row>
    <row r="165" spans="1:14" x14ac:dyDescent="0.4">
      <c r="A165" s="12">
        <f t="shared" si="3"/>
        <v>161</v>
      </c>
      <c r="B165" s="19"/>
      <c r="C165" s="16"/>
      <c r="D165" s="16"/>
      <c r="E165" s="13" t="s">
        <v>2780</v>
      </c>
      <c r="F165" s="13"/>
      <c r="G165" s="13"/>
      <c r="H165" s="13"/>
      <c r="I165" s="13"/>
      <c r="J165" s="14"/>
      <c r="K165" s="11" t="s">
        <v>10</v>
      </c>
      <c r="L165" s="11"/>
      <c r="M165" s="11" t="s">
        <v>10</v>
      </c>
      <c r="N165" s="3"/>
    </row>
    <row r="166" spans="1:14" x14ac:dyDescent="0.4">
      <c r="A166" s="12">
        <f t="shared" si="3"/>
        <v>162</v>
      </c>
      <c r="B166" s="19"/>
      <c r="C166" s="16"/>
      <c r="D166" s="16"/>
      <c r="E166" s="13" t="s">
        <v>2781</v>
      </c>
      <c r="F166" s="13"/>
      <c r="G166" s="13"/>
      <c r="H166" s="13"/>
      <c r="I166" s="13"/>
      <c r="J166" s="14"/>
      <c r="K166" s="11" t="s">
        <v>10</v>
      </c>
      <c r="L166" s="11"/>
      <c r="M166" s="11" t="s">
        <v>10</v>
      </c>
      <c r="N166" s="3"/>
    </row>
    <row r="167" spans="1:14" x14ac:dyDescent="0.4">
      <c r="A167" s="12">
        <f t="shared" si="3"/>
        <v>163</v>
      </c>
      <c r="B167" s="19"/>
      <c r="C167" s="16"/>
      <c r="D167" s="16"/>
      <c r="E167" s="13" t="s">
        <v>1602</v>
      </c>
      <c r="F167" s="13"/>
      <c r="G167" s="13"/>
      <c r="H167" s="13"/>
      <c r="I167" s="13"/>
      <c r="J167" s="14"/>
      <c r="K167" s="11" t="s">
        <v>10</v>
      </c>
      <c r="L167" s="11"/>
      <c r="M167" s="11" t="s">
        <v>10</v>
      </c>
      <c r="N167" s="3"/>
    </row>
    <row r="168" spans="1:14" x14ac:dyDescent="0.4">
      <c r="A168" s="12">
        <f t="shared" si="3"/>
        <v>164</v>
      </c>
      <c r="B168" s="19"/>
      <c r="C168" s="16"/>
      <c r="D168" s="16"/>
      <c r="E168" s="13" t="s">
        <v>1882</v>
      </c>
      <c r="F168" s="13"/>
      <c r="G168" s="13"/>
      <c r="H168" s="13"/>
      <c r="I168" s="13"/>
      <c r="J168" s="14"/>
      <c r="K168" s="11" t="s">
        <v>10</v>
      </c>
      <c r="L168" s="11"/>
      <c r="M168" s="11" t="s">
        <v>10</v>
      </c>
      <c r="N168" s="3"/>
    </row>
    <row r="169" spans="1:14" x14ac:dyDescent="0.4">
      <c r="A169" s="12">
        <f t="shared" si="3"/>
        <v>165</v>
      </c>
      <c r="B169" s="19"/>
      <c r="C169" s="16"/>
      <c r="D169" s="16"/>
      <c r="E169" s="13" t="s">
        <v>2782</v>
      </c>
      <c r="F169" s="13"/>
      <c r="G169" s="13"/>
      <c r="H169" s="13"/>
      <c r="I169" s="13"/>
      <c r="J169" s="14"/>
      <c r="K169" s="11" t="s">
        <v>10</v>
      </c>
      <c r="L169" s="11"/>
      <c r="M169" s="11" t="s">
        <v>10</v>
      </c>
      <c r="N169" s="3"/>
    </row>
    <row r="170" spans="1:14" x14ac:dyDescent="0.4">
      <c r="A170" s="12">
        <f t="shared" si="3"/>
        <v>166</v>
      </c>
      <c r="B170" s="19"/>
      <c r="C170" s="16"/>
      <c r="D170" s="16"/>
      <c r="E170" s="13" t="s">
        <v>1733</v>
      </c>
      <c r="F170" s="13"/>
      <c r="G170" s="13"/>
      <c r="H170" s="13"/>
      <c r="I170" s="13"/>
      <c r="J170" s="14"/>
      <c r="K170" s="11" t="s">
        <v>10</v>
      </c>
      <c r="L170" s="11"/>
      <c r="M170" s="11" t="s">
        <v>10</v>
      </c>
      <c r="N170" s="3"/>
    </row>
    <row r="171" spans="1:14" x14ac:dyDescent="0.4">
      <c r="A171" s="12">
        <f t="shared" si="3"/>
        <v>167</v>
      </c>
      <c r="B171" s="19"/>
      <c r="C171" s="16"/>
      <c r="D171" s="16"/>
      <c r="E171" s="13" t="s">
        <v>2783</v>
      </c>
      <c r="F171" s="13"/>
      <c r="G171" s="13"/>
      <c r="H171" s="13"/>
      <c r="I171" s="13"/>
      <c r="J171" s="14"/>
      <c r="K171" s="11" t="s">
        <v>10</v>
      </c>
      <c r="L171" s="11"/>
      <c r="M171" s="11" t="s">
        <v>10</v>
      </c>
      <c r="N171" s="3"/>
    </row>
    <row r="172" spans="1:14" x14ac:dyDescent="0.4">
      <c r="A172" s="12">
        <f t="shared" si="3"/>
        <v>168</v>
      </c>
      <c r="B172" s="19"/>
      <c r="C172" s="16"/>
      <c r="D172" s="16"/>
      <c r="E172" s="13" t="s">
        <v>1734</v>
      </c>
      <c r="F172" s="13"/>
      <c r="G172" s="13"/>
      <c r="H172" s="13"/>
      <c r="I172" s="13"/>
      <c r="J172" s="14"/>
      <c r="K172" s="11" t="s">
        <v>10</v>
      </c>
      <c r="L172" s="11"/>
      <c r="M172" s="11" t="s">
        <v>10</v>
      </c>
      <c r="N172" s="3"/>
    </row>
    <row r="173" spans="1:14" x14ac:dyDescent="0.4">
      <c r="A173" s="12">
        <f t="shared" si="3"/>
        <v>169</v>
      </c>
      <c r="B173" s="19"/>
      <c r="C173" s="16"/>
      <c r="D173" s="16"/>
      <c r="E173" s="13" t="s">
        <v>1883</v>
      </c>
      <c r="F173" s="13"/>
      <c r="G173" s="13"/>
      <c r="H173" s="13"/>
      <c r="I173" s="13"/>
      <c r="J173" s="14"/>
      <c r="K173" s="11" t="s">
        <v>10</v>
      </c>
      <c r="L173" s="11"/>
      <c r="M173" s="11" t="s">
        <v>10</v>
      </c>
      <c r="N173" s="3"/>
    </row>
    <row r="174" spans="1:14" x14ac:dyDescent="0.4">
      <c r="A174" s="12">
        <f t="shared" si="3"/>
        <v>170</v>
      </c>
      <c r="B174" s="19"/>
      <c r="C174" s="16"/>
      <c r="D174" s="17"/>
      <c r="E174" s="13" t="s">
        <v>2784</v>
      </c>
      <c r="F174" s="13"/>
      <c r="G174" s="13"/>
      <c r="H174" s="13"/>
      <c r="I174" s="13"/>
      <c r="J174" s="14"/>
      <c r="K174" s="11" t="s">
        <v>10</v>
      </c>
      <c r="L174" s="11"/>
      <c r="M174" s="11" t="s">
        <v>10</v>
      </c>
      <c r="N174" s="3"/>
    </row>
    <row r="175" spans="1:14" x14ac:dyDescent="0.4">
      <c r="A175" s="12">
        <f t="shared" si="3"/>
        <v>171</v>
      </c>
      <c r="B175" s="19"/>
      <c r="C175" s="16"/>
      <c r="D175" s="27" t="s">
        <v>2786</v>
      </c>
      <c r="E175" s="9"/>
      <c r="F175" s="9"/>
      <c r="G175" s="9"/>
      <c r="H175" s="9"/>
      <c r="I175" s="9"/>
      <c r="J175" s="10"/>
      <c r="K175" s="8"/>
      <c r="L175" s="8"/>
      <c r="M175" s="8"/>
      <c r="N175" s="8"/>
    </row>
    <row r="176" spans="1:14" x14ac:dyDescent="0.4">
      <c r="A176" s="12">
        <f t="shared" si="3"/>
        <v>172</v>
      </c>
      <c r="B176" s="19"/>
      <c r="C176" s="16"/>
      <c r="D176" s="16"/>
      <c r="E176" s="13" t="s">
        <v>2779</v>
      </c>
      <c r="F176" s="13"/>
      <c r="G176" s="13"/>
      <c r="H176" s="13"/>
      <c r="I176" s="13"/>
      <c r="J176" s="14"/>
      <c r="K176" s="11" t="s">
        <v>9</v>
      </c>
      <c r="L176" s="11"/>
      <c r="M176" s="11" t="s">
        <v>9</v>
      </c>
      <c r="N176" s="3"/>
    </row>
    <row r="177" spans="1:14" x14ac:dyDescent="0.4">
      <c r="A177" s="12">
        <f t="shared" si="3"/>
        <v>173</v>
      </c>
      <c r="B177" s="19"/>
      <c r="C177" s="16"/>
      <c r="D177" s="16"/>
      <c r="E177" s="13" t="s">
        <v>2780</v>
      </c>
      <c r="F177" s="13"/>
      <c r="G177" s="13"/>
      <c r="H177" s="13"/>
      <c r="I177" s="13"/>
      <c r="J177" s="14"/>
      <c r="K177" s="11" t="s">
        <v>10</v>
      </c>
      <c r="L177" s="11"/>
      <c r="M177" s="11" t="s">
        <v>10</v>
      </c>
      <c r="N177" s="3"/>
    </row>
    <row r="178" spans="1:14" x14ac:dyDescent="0.4">
      <c r="A178" s="12">
        <f t="shared" si="3"/>
        <v>174</v>
      </c>
      <c r="B178" s="19"/>
      <c r="C178" s="16"/>
      <c r="D178" s="16"/>
      <c r="E178" s="13" t="s">
        <v>2781</v>
      </c>
      <c r="F178" s="13"/>
      <c r="G178" s="13"/>
      <c r="H178" s="13"/>
      <c r="I178" s="13"/>
      <c r="J178" s="14"/>
      <c r="K178" s="11" t="s">
        <v>10</v>
      </c>
      <c r="L178" s="11"/>
      <c r="M178" s="11" t="s">
        <v>10</v>
      </c>
      <c r="N178" s="3"/>
    </row>
    <row r="179" spans="1:14" x14ac:dyDescent="0.4">
      <c r="A179" s="12">
        <f t="shared" si="3"/>
        <v>175</v>
      </c>
      <c r="B179" s="19"/>
      <c r="C179" s="16"/>
      <c r="D179" s="16"/>
      <c r="E179" s="13" t="s">
        <v>1602</v>
      </c>
      <c r="F179" s="13"/>
      <c r="G179" s="13"/>
      <c r="H179" s="13"/>
      <c r="I179" s="13"/>
      <c r="J179" s="14"/>
      <c r="K179" s="11" t="s">
        <v>10</v>
      </c>
      <c r="L179" s="11"/>
      <c r="M179" s="11" t="s">
        <v>10</v>
      </c>
      <c r="N179" s="3"/>
    </row>
    <row r="180" spans="1:14" x14ac:dyDescent="0.4">
      <c r="A180" s="12">
        <f t="shared" si="3"/>
        <v>176</v>
      </c>
      <c r="B180" s="19"/>
      <c r="C180" s="16"/>
      <c r="D180" s="16"/>
      <c r="E180" s="13" t="s">
        <v>1882</v>
      </c>
      <c r="F180" s="13"/>
      <c r="G180" s="13"/>
      <c r="H180" s="13"/>
      <c r="I180" s="13"/>
      <c r="J180" s="14"/>
      <c r="K180" s="11" t="s">
        <v>10</v>
      </c>
      <c r="L180" s="11"/>
      <c r="M180" s="11" t="s">
        <v>10</v>
      </c>
      <c r="N180" s="3"/>
    </row>
    <row r="181" spans="1:14" x14ac:dyDescent="0.4">
      <c r="A181" s="12">
        <f t="shared" si="3"/>
        <v>177</v>
      </c>
      <c r="B181" s="19"/>
      <c r="C181" s="16"/>
      <c r="D181" s="16"/>
      <c r="E181" s="13" t="s">
        <v>2782</v>
      </c>
      <c r="F181" s="13"/>
      <c r="G181" s="13"/>
      <c r="H181" s="13"/>
      <c r="I181" s="13"/>
      <c r="J181" s="14"/>
      <c r="K181" s="11" t="s">
        <v>10</v>
      </c>
      <c r="L181" s="11"/>
      <c r="M181" s="11" t="s">
        <v>10</v>
      </c>
      <c r="N181" s="3"/>
    </row>
    <row r="182" spans="1:14" x14ac:dyDescent="0.4">
      <c r="A182" s="12">
        <f t="shared" si="3"/>
        <v>178</v>
      </c>
      <c r="B182" s="19"/>
      <c r="C182" s="16"/>
      <c r="D182" s="16"/>
      <c r="E182" s="13" t="s">
        <v>1733</v>
      </c>
      <c r="F182" s="13"/>
      <c r="G182" s="13"/>
      <c r="H182" s="13"/>
      <c r="I182" s="13"/>
      <c r="J182" s="14"/>
      <c r="K182" s="11" t="s">
        <v>10</v>
      </c>
      <c r="L182" s="11"/>
      <c r="M182" s="11" t="s">
        <v>10</v>
      </c>
      <c r="N182" s="3"/>
    </row>
    <row r="183" spans="1:14" x14ac:dyDescent="0.4">
      <c r="A183" s="12">
        <f t="shared" si="3"/>
        <v>179</v>
      </c>
      <c r="B183" s="19"/>
      <c r="C183" s="16"/>
      <c r="D183" s="16"/>
      <c r="E183" s="13" t="s">
        <v>2783</v>
      </c>
      <c r="F183" s="13"/>
      <c r="G183" s="13"/>
      <c r="H183" s="13"/>
      <c r="I183" s="13"/>
      <c r="J183" s="14"/>
      <c r="K183" s="11" t="s">
        <v>10</v>
      </c>
      <c r="L183" s="11"/>
      <c r="M183" s="11" t="s">
        <v>10</v>
      </c>
      <c r="N183" s="3"/>
    </row>
    <row r="184" spans="1:14" x14ac:dyDescent="0.4">
      <c r="A184" s="12">
        <f t="shared" si="3"/>
        <v>180</v>
      </c>
      <c r="B184" s="19"/>
      <c r="C184" s="16"/>
      <c r="D184" s="16"/>
      <c r="E184" s="13" t="s">
        <v>1734</v>
      </c>
      <c r="F184" s="13"/>
      <c r="G184" s="13"/>
      <c r="H184" s="13"/>
      <c r="I184" s="13"/>
      <c r="J184" s="14"/>
      <c r="K184" s="11" t="s">
        <v>10</v>
      </c>
      <c r="L184" s="11"/>
      <c r="M184" s="11" t="s">
        <v>10</v>
      </c>
      <c r="N184" s="3"/>
    </row>
    <row r="185" spans="1:14" x14ac:dyDescent="0.4">
      <c r="A185" s="12">
        <f t="shared" si="3"/>
        <v>181</v>
      </c>
      <c r="B185" s="19"/>
      <c r="C185" s="16"/>
      <c r="D185" s="16"/>
      <c r="E185" s="13" t="s">
        <v>1883</v>
      </c>
      <c r="F185" s="13"/>
      <c r="G185" s="13"/>
      <c r="H185" s="13"/>
      <c r="I185" s="13"/>
      <c r="J185" s="14"/>
      <c r="K185" s="11" t="s">
        <v>10</v>
      </c>
      <c r="L185" s="11"/>
      <c r="M185" s="11" t="s">
        <v>10</v>
      </c>
      <c r="N185" s="3"/>
    </row>
    <row r="186" spans="1:14" x14ac:dyDescent="0.4">
      <c r="A186" s="12">
        <f t="shared" si="3"/>
        <v>182</v>
      </c>
      <c r="B186" s="19"/>
      <c r="C186" s="16"/>
      <c r="D186" s="17"/>
      <c r="E186" s="13" t="s">
        <v>2784</v>
      </c>
      <c r="F186" s="13"/>
      <c r="G186" s="13"/>
      <c r="H186" s="13"/>
      <c r="I186" s="13"/>
      <c r="J186" s="14"/>
      <c r="K186" s="11" t="s">
        <v>10</v>
      </c>
      <c r="L186" s="11"/>
      <c r="M186" s="11" t="s">
        <v>10</v>
      </c>
      <c r="N186" s="3"/>
    </row>
    <row r="187" spans="1:14" x14ac:dyDescent="0.4">
      <c r="A187" s="12">
        <f t="shared" si="3"/>
        <v>183</v>
      </c>
      <c r="B187" s="19"/>
      <c r="C187" s="16"/>
      <c r="D187" s="27" t="s">
        <v>2787</v>
      </c>
      <c r="E187" s="9"/>
      <c r="F187" s="9"/>
      <c r="G187" s="9"/>
      <c r="H187" s="9"/>
      <c r="I187" s="9"/>
      <c r="J187" s="10"/>
      <c r="K187" s="8"/>
      <c r="L187" s="8"/>
      <c r="M187" s="8"/>
      <c r="N187" s="8"/>
    </row>
    <row r="188" spans="1:14" x14ac:dyDescent="0.4">
      <c r="A188" s="12">
        <f t="shared" ref="A188:A251" si="4">A187+1</f>
        <v>184</v>
      </c>
      <c r="B188" s="19"/>
      <c r="C188" s="16"/>
      <c r="D188" s="16"/>
      <c r="E188" s="13" t="s">
        <v>2788</v>
      </c>
      <c r="F188" s="13"/>
      <c r="G188" s="13"/>
      <c r="H188" s="13"/>
      <c r="I188" s="13"/>
      <c r="J188" s="14"/>
      <c r="K188" s="11" t="s">
        <v>9</v>
      </c>
      <c r="L188" s="11"/>
      <c r="M188" s="11" t="s">
        <v>9</v>
      </c>
      <c r="N188" s="3"/>
    </row>
    <row r="189" spans="1:14" x14ac:dyDescent="0.4">
      <c r="A189" s="12">
        <f t="shared" si="4"/>
        <v>185</v>
      </c>
      <c r="B189" s="19"/>
      <c r="C189" s="16"/>
      <c r="D189" s="17"/>
      <c r="E189" s="13" t="s">
        <v>2789</v>
      </c>
      <c r="F189" s="13"/>
      <c r="G189" s="13"/>
      <c r="H189" s="13"/>
      <c r="I189" s="13"/>
      <c r="J189" s="14"/>
      <c r="K189" s="11" t="s">
        <v>10</v>
      </c>
      <c r="L189" s="11"/>
      <c r="M189" s="11" t="s">
        <v>10</v>
      </c>
      <c r="N189" s="3"/>
    </row>
    <row r="190" spans="1:14" x14ac:dyDescent="0.4">
      <c r="A190" s="12">
        <f t="shared" si="4"/>
        <v>186</v>
      </c>
      <c r="B190" s="19"/>
      <c r="C190" s="16"/>
      <c r="D190" s="27" t="s">
        <v>2790</v>
      </c>
      <c r="E190" s="9"/>
      <c r="F190" s="9"/>
      <c r="G190" s="9"/>
      <c r="H190" s="9"/>
      <c r="I190" s="9"/>
      <c r="J190" s="10"/>
      <c r="K190" s="8"/>
      <c r="L190" s="8"/>
      <c r="M190" s="8"/>
      <c r="N190" s="8"/>
    </row>
    <row r="191" spans="1:14" x14ac:dyDescent="0.4">
      <c r="A191" s="12">
        <f t="shared" si="4"/>
        <v>187</v>
      </c>
      <c r="B191" s="19"/>
      <c r="C191" s="16"/>
      <c r="D191" s="16"/>
      <c r="E191" s="13" t="s">
        <v>2791</v>
      </c>
      <c r="F191" s="13"/>
      <c r="G191" s="13"/>
      <c r="H191" s="13"/>
      <c r="I191" s="13"/>
      <c r="J191" s="14"/>
      <c r="K191" s="11" t="s">
        <v>9</v>
      </c>
      <c r="L191" s="11"/>
      <c r="M191" s="11" t="s">
        <v>9</v>
      </c>
      <c r="N191" s="3"/>
    </row>
    <row r="192" spans="1:14" x14ac:dyDescent="0.4">
      <c r="A192" s="12">
        <f t="shared" si="4"/>
        <v>188</v>
      </c>
      <c r="B192" s="19"/>
      <c r="C192" s="16"/>
      <c r="D192" s="17"/>
      <c r="E192" s="13" t="s">
        <v>2792</v>
      </c>
      <c r="F192" s="13"/>
      <c r="G192" s="13"/>
      <c r="H192" s="13"/>
      <c r="I192" s="13"/>
      <c r="J192" s="14"/>
      <c r="K192" s="11" t="s">
        <v>10</v>
      </c>
      <c r="L192" s="11"/>
      <c r="M192" s="11" t="s">
        <v>10</v>
      </c>
      <c r="N192" s="3"/>
    </row>
    <row r="193" spans="1:14" x14ac:dyDescent="0.4">
      <c r="A193" s="12">
        <f t="shared" si="4"/>
        <v>189</v>
      </c>
      <c r="B193" s="19"/>
      <c r="C193" s="16"/>
      <c r="D193" s="27" t="s">
        <v>2793</v>
      </c>
      <c r="E193" s="9"/>
      <c r="F193" s="9"/>
      <c r="G193" s="9"/>
      <c r="H193" s="9"/>
      <c r="I193" s="9"/>
      <c r="J193" s="10"/>
      <c r="K193" s="8"/>
      <c r="L193" s="8"/>
      <c r="M193" s="8"/>
      <c r="N193" s="8"/>
    </row>
    <row r="194" spans="1:14" x14ac:dyDescent="0.4">
      <c r="A194" s="12">
        <f t="shared" si="4"/>
        <v>190</v>
      </c>
      <c r="B194" s="19"/>
      <c r="C194" s="16"/>
      <c r="D194" s="16"/>
      <c r="E194" s="26" t="s">
        <v>2794</v>
      </c>
      <c r="F194" s="13"/>
      <c r="G194" s="13"/>
      <c r="H194" s="13"/>
      <c r="I194" s="13"/>
      <c r="J194" s="14"/>
      <c r="K194" s="11" t="s">
        <v>20</v>
      </c>
      <c r="L194" s="11"/>
      <c r="M194" s="11" t="s">
        <v>20</v>
      </c>
      <c r="N194" s="3"/>
    </row>
    <row r="195" spans="1:14" x14ac:dyDescent="0.4">
      <c r="A195" s="12">
        <f t="shared" si="4"/>
        <v>191</v>
      </c>
      <c r="B195" s="19"/>
      <c r="C195" s="16"/>
      <c r="D195" s="16"/>
      <c r="E195" s="32"/>
      <c r="F195" s="13" t="s">
        <v>2795</v>
      </c>
      <c r="G195" s="13"/>
      <c r="H195" s="13"/>
      <c r="I195" s="13"/>
      <c r="J195" s="14"/>
      <c r="K195" s="11" t="s">
        <v>20</v>
      </c>
      <c r="L195" s="11"/>
      <c r="M195" s="11" t="s">
        <v>20</v>
      </c>
      <c r="N195" s="3"/>
    </row>
    <row r="196" spans="1:14" x14ac:dyDescent="0.4">
      <c r="A196" s="12">
        <f t="shared" si="4"/>
        <v>192</v>
      </c>
      <c r="B196" s="19"/>
      <c r="C196" s="16"/>
      <c r="D196" s="16"/>
      <c r="E196" s="32"/>
      <c r="F196" s="27" t="s">
        <v>2796</v>
      </c>
      <c r="G196" s="9"/>
      <c r="H196" s="9"/>
      <c r="I196" s="9"/>
      <c r="J196" s="10"/>
      <c r="K196" s="8"/>
      <c r="L196" s="8"/>
      <c r="M196" s="8"/>
      <c r="N196" s="8"/>
    </row>
    <row r="197" spans="1:14" x14ac:dyDescent="0.4">
      <c r="A197" s="12">
        <f t="shared" si="4"/>
        <v>193</v>
      </c>
      <c r="B197" s="19"/>
      <c r="C197" s="16"/>
      <c r="D197" s="16"/>
      <c r="E197" s="32"/>
      <c r="F197" s="28"/>
      <c r="G197" s="13" t="s">
        <v>2797</v>
      </c>
      <c r="H197" s="13"/>
      <c r="I197" s="13"/>
      <c r="J197" s="14"/>
      <c r="K197" s="11" t="s">
        <v>10</v>
      </c>
      <c r="L197" s="11"/>
      <c r="M197" s="11" t="s">
        <v>10</v>
      </c>
      <c r="N197" s="3"/>
    </row>
    <row r="198" spans="1:14" x14ac:dyDescent="0.4">
      <c r="A198" s="12">
        <f t="shared" si="4"/>
        <v>194</v>
      </c>
      <c r="B198" s="19"/>
      <c r="C198" s="16"/>
      <c r="D198" s="17"/>
      <c r="E198" s="37"/>
      <c r="F198" s="29"/>
      <c r="G198" s="13" t="s">
        <v>2798</v>
      </c>
      <c r="H198" s="13"/>
      <c r="I198" s="13"/>
      <c r="J198" s="14"/>
      <c r="K198" s="11" t="s">
        <v>9</v>
      </c>
      <c r="L198" s="11"/>
      <c r="M198" s="11" t="s">
        <v>9</v>
      </c>
      <c r="N198" s="3"/>
    </row>
    <row r="199" spans="1:14" x14ac:dyDescent="0.4">
      <c r="A199" s="12">
        <f t="shared" si="4"/>
        <v>195</v>
      </c>
      <c r="B199" s="19"/>
      <c r="C199" s="16"/>
      <c r="D199" s="27" t="s">
        <v>2799</v>
      </c>
      <c r="E199" s="9"/>
      <c r="F199" s="9"/>
      <c r="G199" s="9"/>
      <c r="H199" s="9"/>
      <c r="I199" s="9"/>
      <c r="J199" s="10"/>
      <c r="K199" s="8"/>
      <c r="L199" s="8"/>
      <c r="M199" s="8"/>
      <c r="N199" s="8"/>
    </row>
    <row r="200" spans="1:14" x14ac:dyDescent="0.4">
      <c r="A200" s="12">
        <f t="shared" si="4"/>
        <v>196</v>
      </c>
      <c r="B200" s="19"/>
      <c r="C200" s="16"/>
      <c r="D200" s="16"/>
      <c r="E200" s="27" t="s">
        <v>2800</v>
      </c>
      <c r="F200" s="9"/>
      <c r="G200" s="9"/>
      <c r="H200" s="9"/>
      <c r="I200" s="9"/>
      <c r="J200" s="10"/>
      <c r="K200" s="8"/>
      <c r="L200" s="8"/>
      <c r="M200" s="8"/>
      <c r="N200" s="8"/>
    </row>
    <row r="201" spans="1:14" x14ac:dyDescent="0.4">
      <c r="A201" s="12">
        <f t="shared" si="4"/>
        <v>197</v>
      </c>
      <c r="B201" s="19"/>
      <c r="C201" s="16"/>
      <c r="D201" s="16"/>
      <c r="E201" s="29"/>
      <c r="F201" s="13" t="s">
        <v>2763</v>
      </c>
      <c r="G201" s="13"/>
      <c r="H201" s="13"/>
      <c r="I201" s="13"/>
      <c r="J201" s="14"/>
      <c r="K201" s="11" t="s">
        <v>1240</v>
      </c>
      <c r="L201" s="11"/>
      <c r="M201" s="11" t="s">
        <v>1240</v>
      </c>
      <c r="N201" s="3"/>
    </row>
    <row r="202" spans="1:14" x14ac:dyDescent="0.4">
      <c r="A202" s="12">
        <f t="shared" si="4"/>
        <v>198</v>
      </c>
      <c r="B202" s="19"/>
      <c r="C202" s="16"/>
      <c r="D202" s="16"/>
      <c r="E202" s="27" t="s">
        <v>2801</v>
      </c>
      <c r="F202" s="9"/>
      <c r="G202" s="9"/>
      <c r="H202" s="9"/>
      <c r="I202" s="9"/>
      <c r="J202" s="10"/>
      <c r="K202" s="8"/>
      <c r="L202" s="8"/>
      <c r="M202" s="8"/>
      <c r="N202" s="8"/>
    </row>
    <row r="203" spans="1:14" x14ac:dyDescent="0.4">
      <c r="A203" s="12">
        <f t="shared" si="4"/>
        <v>199</v>
      </c>
      <c r="B203" s="19"/>
      <c r="C203" s="16"/>
      <c r="D203" s="16"/>
      <c r="E203" s="16"/>
      <c r="F203" s="13" t="s">
        <v>2766</v>
      </c>
      <c r="G203" s="13"/>
      <c r="H203" s="13"/>
      <c r="I203" s="13"/>
      <c r="J203" s="14"/>
      <c r="K203" s="11" t="s">
        <v>9</v>
      </c>
      <c r="L203" s="11"/>
      <c r="M203" s="11" t="s">
        <v>9</v>
      </c>
      <c r="N203" s="3"/>
    </row>
    <row r="204" spans="1:14" x14ac:dyDescent="0.4">
      <c r="A204" s="12">
        <f t="shared" si="4"/>
        <v>200</v>
      </c>
      <c r="B204" s="19"/>
      <c r="C204" s="16"/>
      <c r="D204" s="16"/>
      <c r="E204" s="16"/>
      <c r="F204" s="26" t="s">
        <v>2767</v>
      </c>
      <c r="G204" s="13"/>
      <c r="H204" s="13"/>
      <c r="I204" s="13"/>
      <c r="J204" s="14"/>
      <c r="K204" s="11" t="s">
        <v>10</v>
      </c>
      <c r="L204" s="11"/>
      <c r="M204" s="11" t="s">
        <v>10</v>
      </c>
      <c r="N204" s="3"/>
    </row>
    <row r="205" spans="1:14" x14ac:dyDescent="0.4">
      <c r="A205" s="12">
        <f t="shared" si="4"/>
        <v>201</v>
      </c>
      <c r="B205" s="19"/>
      <c r="C205" s="16"/>
      <c r="D205" s="16"/>
      <c r="E205" s="16"/>
      <c r="F205" s="19"/>
      <c r="G205" s="13" t="s">
        <v>1611</v>
      </c>
      <c r="H205" s="13"/>
      <c r="I205" s="13"/>
      <c r="J205" s="14"/>
      <c r="K205" s="11" t="s">
        <v>1240</v>
      </c>
      <c r="L205" s="11"/>
      <c r="M205" s="11" t="s">
        <v>1240</v>
      </c>
      <c r="N205" s="3"/>
    </row>
    <row r="206" spans="1:14" x14ac:dyDescent="0.4">
      <c r="A206" s="12">
        <f t="shared" si="4"/>
        <v>202</v>
      </c>
      <c r="B206" s="19"/>
      <c r="C206" s="16"/>
      <c r="D206" s="16"/>
      <c r="E206" s="17"/>
      <c r="F206" s="20"/>
      <c r="G206" s="13" t="s">
        <v>815</v>
      </c>
      <c r="H206" s="13"/>
      <c r="I206" s="13"/>
      <c r="J206" s="14"/>
      <c r="K206" s="11" t="s">
        <v>1240</v>
      </c>
      <c r="L206" s="11"/>
      <c r="M206" s="11" t="s">
        <v>1240</v>
      </c>
      <c r="N206" s="3"/>
    </row>
    <row r="207" spans="1:14" x14ac:dyDescent="0.4">
      <c r="A207" s="12">
        <f t="shared" si="4"/>
        <v>203</v>
      </c>
      <c r="B207" s="19"/>
      <c r="C207" s="16"/>
      <c r="D207" s="17"/>
      <c r="E207" s="13" t="s">
        <v>2802</v>
      </c>
      <c r="F207" s="13"/>
      <c r="G207" s="13"/>
      <c r="H207" s="13"/>
      <c r="I207" s="13"/>
      <c r="J207" s="14"/>
      <c r="K207" s="11" t="s">
        <v>36</v>
      </c>
      <c r="L207" s="11"/>
      <c r="M207" s="11" t="s">
        <v>36</v>
      </c>
      <c r="N207" s="3"/>
    </row>
    <row r="208" spans="1:14" x14ac:dyDescent="0.4">
      <c r="A208" s="12">
        <f t="shared" si="4"/>
        <v>204</v>
      </c>
      <c r="B208" s="19"/>
      <c r="C208" s="16"/>
      <c r="D208" s="27" t="s">
        <v>2803</v>
      </c>
      <c r="E208" s="9"/>
      <c r="F208" s="9"/>
      <c r="G208" s="9"/>
      <c r="H208" s="9"/>
      <c r="I208" s="9"/>
      <c r="J208" s="10"/>
      <c r="K208" s="8"/>
      <c r="L208" s="8"/>
      <c r="M208" s="8"/>
      <c r="N208" s="8"/>
    </row>
    <row r="209" spans="1:14" x14ac:dyDescent="0.4">
      <c r="A209" s="12">
        <f t="shared" si="4"/>
        <v>205</v>
      </c>
      <c r="B209" s="19"/>
      <c r="C209" s="16"/>
      <c r="D209" s="16"/>
      <c r="E209" s="27" t="s">
        <v>2804</v>
      </c>
      <c r="F209" s="9"/>
      <c r="G209" s="9"/>
      <c r="H209" s="9"/>
      <c r="I209" s="9"/>
      <c r="J209" s="10"/>
      <c r="K209" s="8"/>
      <c r="L209" s="8"/>
      <c r="M209" s="8"/>
      <c r="N209" s="8"/>
    </row>
    <row r="210" spans="1:14" x14ac:dyDescent="0.4">
      <c r="A210" s="12">
        <f t="shared" si="4"/>
        <v>206</v>
      </c>
      <c r="B210" s="19"/>
      <c r="C210" s="16"/>
      <c r="D210" s="16"/>
      <c r="E210" s="16"/>
      <c r="F210" s="13" t="s">
        <v>2805</v>
      </c>
      <c r="G210" s="13"/>
      <c r="H210" s="13"/>
      <c r="I210" s="13"/>
      <c r="J210" s="14"/>
      <c r="K210" s="11" t="s">
        <v>10</v>
      </c>
      <c r="L210" s="11"/>
      <c r="M210" s="11" t="s">
        <v>10</v>
      </c>
      <c r="N210" s="3"/>
    </row>
    <row r="211" spans="1:14" x14ac:dyDescent="0.4">
      <c r="A211" s="12">
        <f t="shared" si="4"/>
        <v>207</v>
      </c>
      <c r="B211" s="19"/>
      <c r="C211" s="16"/>
      <c r="D211" s="16"/>
      <c r="E211" s="16"/>
      <c r="F211" s="13" t="s">
        <v>2806</v>
      </c>
      <c r="G211" s="13"/>
      <c r="H211" s="13"/>
      <c r="I211" s="13"/>
      <c r="J211" s="14"/>
      <c r="K211" s="11" t="s">
        <v>10</v>
      </c>
      <c r="L211" s="11"/>
      <c r="M211" s="11" t="s">
        <v>10</v>
      </c>
      <c r="N211" s="3"/>
    </row>
    <row r="212" spans="1:14" x14ac:dyDescent="0.4">
      <c r="A212" s="12">
        <f t="shared" si="4"/>
        <v>208</v>
      </c>
      <c r="B212" s="19"/>
      <c r="C212" s="16"/>
      <c r="D212" s="16"/>
      <c r="E212" s="17"/>
      <c r="F212" s="13" t="s">
        <v>2807</v>
      </c>
      <c r="G212" s="13"/>
      <c r="H212" s="13"/>
      <c r="I212" s="13"/>
      <c r="J212" s="14"/>
      <c r="K212" s="11" t="s">
        <v>9</v>
      </c>
      <c r="L212" s="11"/>
      <c r="M212" s="11" t="s">
        <v>9</v>
      </c>
      <c r="N212" s="3"/>
    </row>
    <row r="213" spans="1:14" x14ac:dyDescent="0.4">
      <c r="A213" s="12">
        <f t="shared" si="4"/>
        <v>209</v>
      </c>
      <c r="B213" s="19"/>
      <c r="C213" s="16"/>
      <c r="D213" s="16"/>
      <c r="E213" s="26" t="s">
        <v>2808</v>
      </c>
      <c r="F213" s="13"/>
      <c r="G213" s="13"/>
      <c r="H213" s="13"/>
      <c r="I213" s="13"/>
      <c r="J213" s="14"/>
      <c r="K213" s="11" t="s">
        <v>36</v>
      </c>
      <c r="L213" s="11"/>
      <c r="M213" s="11" t="s">
        <v>36</v>
      </c>
      <c r="N213" s="3"/>
    </row>
    <row r="214" spans="1:14" x14ac:dyDescent="0.4">
      <c r="A214" s="12">
        <f t="shared" si="4"/>
        <v>210</v>
      </c>
      <c r="B214" s="19"/>
      <c r="C214" s="16"/>
      <c r="D214" s="16"/>
      <c r="E214" s="20"/>
      <c r="F214" s="13" t="s">
        <v>2809</v>
      </c>
      <c r="G214" s="13"/>
      <c r="H214" s="13"/>
      <c r="I214" s="13"/>
      <c r="J214" s="14"/>
      <c r="K214" s="11" t="s">
        <v>1240</v>
      </c>
      <c r="L214" s="11"/>
      <c r="M214" s="11" t="s">
        <v>1240</v>
      </c>
      <c r="N214" s="3"/>
    </row>
    <row r="215" spans="1:14" x14ac:dyDescent="0.4">
      <c r="A215" s="12">
        <f t="shared" si="4"/>
        <v>211</v>
      </c>
      <c r="B215" s="19"/>
      <c r="C215" s="16"/>
      <c r="D215" s="16"/>
      <c r="E215" s="27" t="s">
        <v>2810</v>
      </c>
      <c r="F215" s="9"/>
      <c r="G215" s="9"/>
      <c r="H215" s="9"/>
      <c r="I215" s="9"/>
      <c r="J215" s="10"/>
      <c r="K215" s="8"/>
      <c r="L215" s="8"/>
      <c r="M215" s="8"/>
      <c r="N215" s="8"/>
    </row>
    <row r="216" spans="1:14" x14ac:dyDescent="0.4">
      <c r="A216" s="12">
        <f t="shared" si="4"/>
        <v>212</v>
      </c>
      <c r="B216" s="19"/>
      <c r="C216" s="16"/>
      <c r="D216" s="16"/>
      <c r="E216" s="16"/>
      <c r="F216" s="13" t="s">
        <v>1696</v>
      </c>
      <c r="G216" s="13"/>
      <c r="H216" s="13"/>
      <c r="I216" s="13"/>
      <c r="J216" s="14"/>
      <c r="K216" s="11" t="s">
        <v>9</v>
      </c>
      <c r="L216" s="11"/>
      <c r="M216" s="11" t="s">
        <v>9</v>
      </c>
      <c r="N216" s="3"/>
    </row>
    <row r="217" spans="1:14" x14ac:dyDescent="0.4">
      <c r="A217" s="12">
        <f t="shared" si="4"/>
        <v>213</v>
      </c>
      <c r="B217" s="19"/>
      <c r="C217" s="16"/>
      <c r="D217" s="16"/>
      <c r="E217" s="16"/>
      <c r="F217" s="13" t="s">
        <v>2811</v>
      </c>
      <c r="G217" s="13"/>
      <c r="H217" s="13"/>
      <c r="I217" s="13"/>
      <c r="J217" s="14"/>
      <c r="K217" s="11" t="s">
        <v>10</v>
      </c>
      <c r="L217" s="11"/>
      <c r="M217" s="11" t="s">
        <v>10</v>
      </c>
      <c r="N217" s="3"/>
    </row>
    <row r="218" spans="1:14" x14ac:dyDescent="0.4">
      <c r="A218" s="12">
        <f t="shared" si="4"/>
        <v>214</v>
      </c>
      <c r="B218" s="19"/>
      <c r="C218" s="16"/>
      <c r="D218" s="16"/>
      <c r="E218" s="16"/>
      <c r="F218" s="26" t="s">
        <v>2812</v>
      </c>
      <c r="G218" s="13"/>
      <c r="H218" s="13"/>
      <c r="I218" s="13"/>
      <c r="J218" s="14"/>
      <c r="K218" s="11" t="s">
        <v>10</v>
      </c>
      <c r="L218" s="11"/>
      <c r="M218" s="11" t="s">
        <v>10</v>
      </c>
      <c r="N218" s="3"/>
    </row>
    <row r="219" spans="1:14" x14ac:dyDescent="0.4">
      <c r="A219" s="12">
        <f t="shared" si="4"/>
        <v>215</v>
      </c>
      <c r="B219" s="19"/>
      <c r="C219" s="16"/>
      <c r="D219" s="16"/>
      <c r="E219" s="17"/>
      <c r="F219" s="20"/>
      <c r="G219" s="13" t="s">
        <v>2809</v>
      </c>
      <c r="H219" s="13"/>
      <c r="I219" s="13"/>
      <c r="J219" s="14"/>
      <c r="K219" s="58" t="s">
        <v>1239</v>
      </c>
      <c r="L219" s="59"/>
      <c r="M219" s="59" t="s">
        <v>1239</v>
      </c>
      <c r="N219" s="3"/>
    </row>
    <row r="220" spans="1:14" x14ac:dyDescent="0.4">
      <c r="A220" s="12">
        <f t="shared" si="4"/>
        <v>216</v>
      </c>
      <c r="B220" s="19"/>
      <c r="C220" s="16"/>
      <c r="D220" s="16"/>
      <c r="E220" s="26" t="s">
        <v>2813</v>
      </c>
      <c r="F220" s="13"/>
      <c r="G220" s="13"/>
      <c r="H220" s="13"/>
      <c r="I220" s="13"/>
      <c r="J220" s="14"/>
      <c r="K220" s="11" t="s">
        <v>36</v>
      </c>
      <c r="L220" s="11"/>
      <c r="M220" s="11" t="s">
        <v>36</v>
      </c>
      <c r="N220" s="3"/>
    </row>
    <row r="221" spans="1:14" x14ac:dyDescent="0.4">
      <c r="A221" s="12">
        <f t="shared" si="4"/>
        <v>217</v>
      </c>
      <c r="B221" s="19"/>
      <c r="C221" s="16"/>
      <c r="D221" s="16"/>
      <c r="E221" s="19"/>
      <c r="F221" s="27" t="s">
        <v>2814</v>
      </c>
      <c r="G221" s="9"/>
      <c r="H221" s="9"/>
      <c r="I221" s="9"/>
      <c r="J221" s="10"/>
      <c r="K221" s="8"/>
      <c r="L221" s="8"/>
      <c r="M221" s="8"/>
      <c r="N221" s="8"/>
    </row>
    <row r="222" spans="1:14" x14ac:dyDescent="0.4">
      <c r="A222" s="12">
        <f t="shared" si="4"/>
        <v>218</v>
      </c>
      <c r="B222" s="19"/>
      <c r="C222" s="16"/>
      <c r="D222" s="16"/>
      <c r="E222" s="19"/>
      <c r="F222" s="16"/>
      <c r="G222" s="26" t="s">
        <v>2815</v>
      </c>
      <c r="H222" s="13"/>
      <c r="I222" s="13"/>
      <c r="J222" s="14"/>
      <c r="K222" s="11" t="s">
        <v>36</v>
      </c>
      <c r="L222" s="11"/>
      <c r="M222" s="11" t="s">
        <v>36</v>
      </c>
      <c r="N222" s="3"/>
    </row>
    <row r="223" spans="1:14" x14ac:dyDescent="0.4">
      <c r="A223" s="12">
        <f t="shared" si="4"/>
        <v>219</v>
      </c>
      <c r="B223" s="19"/>
      <c r="C223" s="16"/>
      <c r="D223" s="16"/>
      <c r="E223" s="19"/>
      <c r="F223" s="16"/>
      <c r="G223" s="20"/>
      <c r="H223" s="13" t="s">
        <v>2817</v>
      </c>
      <c r="I223" s="13"/>
      <c r="J223" s="14"/>
      <c r="K223" s="58" t="s">
        <v>1239</v>
      </c>
      <c r="L223" s="59"/>
      <c r="M223" s="59" t="s">
        <v>1239</v>
      </c>
      <c r="N223" s="3"/>
    </row>
    <row r="224" spans="1:14" x14ac:dyDescent="0.4">
      <c r="A224" s="12">
        <f t="shared" si="4"/>
        <v>220</v>
      </c>
      <c r="B224" s="19"/>
      <c r="C224" s="16"/>
      <c r="D224" s="16"/>
      <c r="E224" s="19"/>
      <c r="F224" s="16"/>
      <c r="G224" s="26" t="s">
        <v>2816</v>
      </c>
      <c r="H224" s="13"/>
      <c r="I224" s="13"/>
      <c r="J224" s="14"/>
      <c r="K224" s="11" t="s">
        <v>36</v>
      </c>
      <c r="L224" s="11"/>
      <c r="M224" s="11" t="s">
        <v>36</v>
      </c>
      <c r="N224" s="3"/>
    </row>
    <row r="225" spans="1:14" x14ac:dyDescent="0.4">
      <c r="A225" s="12">
        <f t="shared" si="4"/>
        <v>221</v>
      </c>
      <c r="B225" s="19"/>
      <c r="C225" s="16"/>
      <c r="D225" s="16"/>
      <c r="E225" s="19"/>
      <c r="F225" s="16"/>
      <c r="G225" s="19"/>
      <c r="H225" s="13" t="s">
        <v>2818</v>
      </c>
      <c r="I225" s="13"/>
      <c r="J225" s="14"/>
      <c r="K225" s="58" t="s">
        <v>1239</v>
      </c>
      <c r="L225" s="59"/>
      <c r="M225" s="59" t="s">
        <v>1239</v>
      </c>
      <c r="N225" s="3"/>
    </row>
    <row r="226" spans="1:14" x14ac:dyDescent="0.4">
      <c r="A226" s="12">
        <f t="shared" si="4"/>
        <v>222</v>
      </c>
      <c r="B226" s="19"/>
      <c r="C226" s="16"/>
      <c r="D226" s="16"/>
      <c r="E226" s="20"/>
      <c r="F226" s="17"/>
      <c r="G226" s="20"/>
      <c r="H226" s="13" t="s">
        <v>2819</v>
      </c>
      <c r="I226" s="13"/>
      <c r="J226" s="14"/>
      <c r="K226" s="58" t="s">
        <v>1239</v>
      </c>
      <c r="L226" s="59"/>
      <c r="M226" s="59" t="s">
        <v>1239</v>
      </c>
      <c r="N226" s="3"/>
    </row>
    <row r="227" spans="1:14" x14ac:dyDescent="0.4">
      <c r="A227" s="12">
        <f t="shared" si="4"/>
        <v>223</v>
      </c>
      <c r="B227" s="19"/>
      <c r="C227" s="16"/>
      <c r="D227" s="16"/>
      <c r="E227" s="18" t="s">
        <v>2820</v>
      </c>
      <c r="F227" s="13"/>
      <c r="G227" s="13"/>
      <c r="H227" s="13"/>
      <c r="I227" s="13"/>
      <c r="J227" s="14"/>
      <c r="K227" s="11" t="s">
        <v>36</v>
      </c>
      <c r="L227" s="11"/>
      <c r="M227" s="11" t="s">
        <v>36</v>
      </c>
      <c r="N227" s="3"/>
    </row>
    <row r="228" spans="1:14" x14ac:dyDescent="0.4">
      <c r="A228" s="12">
        <f t="shared" si="4"/>
        <v>224</v>
      </c>
      <c r="B228" s="19"/>
      <c r="C228" s="16"/>
      <c r="D228" s="16"/>
      <c r="E228" s="19"/>
      <c r="F228" s="15" t="s">
        <v>2821</v>
      </c>
      <c r="G228" s="9"/>
      <c r="H228" s="9"/>
      <c r="I228" s="9"/>
      <c r="J228" s="10"/>
      <c r="K228" s="8"/>
      <c r="L228" s="8"/>
      <c r="M228" s="8"/>
      <c r="N228" s="8"/>
    </row>
    <row r="229" spans="1:14" x14ac:dyDescent="0.4">
      <c r="A229" s="12">
        <f t="shared" si="4"/>
        <v>225</v>
      </c>
      <c r="B229" s="19"/>
      <c r="C229" s="16"/>
      <c r="D229" s="16"/>
      <c r="E229" s="19"/>
      <c r="F229" s="16"/>
      <c r="G229" s="18" t="s">
        <v>2822</v>
      </c>
      <c r="H229" s="13"/>
      <c r="I229" s="13"/>
      <c r="J229" s="14"/>
      <c r="K229" s="3"/>
      <c r="L229" s="3"/>
      <c r="M229" s="3"/>
      <c r="N229" s="3"/>
    </row>
    <row r="230" spans="1:14" x14ac:dyDescent="0.4">
      <c r="A230" s="12">
        <f t="shared" si="4"/>
        <v>226</v>
      </c>
      <c r="B230" s="19"/>
      <c r="C230" s="16"/>
      <c r="D230" s="16"/>
      <c r="E230" s="19"/>
      <c r="F230" s="16"/>
      <c r="G230" s="19"/>
      <c r="H230" s="26" t="s">
        <v>2826</v>
      </c>
      <c r="I230" s="13"/>
      <c r="J230" s="14"/>
      <c r="K230" s="11" t="s">
        <v>9</v>
      </c>
      <c r="L230" s="11"/>
      <c r="M230" s="11" t="s">
        <v>9</v>
      </c>
      <c r="N230" s="3"/>
    </row>
    <row r="231" spans="1:14" x14ac:dyDescent="0.4">
      <c r="A231" s="12">
        <f t="shared" si="4"/>
        <v>227</v>
      </c>
      <c r="B231" s="19"/>
      <c r="C231" s="16"/>
      <c r="D231" s="16"/>
      <c r="E231" s="19"/>
      <c r="F231" s="16"/>
      <c r="G231" s="19"/>
      <c r="H231" s="19"/>
      <c r="I231" s="13" t="s">
        <v>2823</v>
      </c>
      <c r="J231" s="14"/>
      <c r="K231" s="58" t="s">
        <v>1239</v>
      </c>
      <c r="L231" s="59"/>
      <c r="M231" s="59" t="s">
        <v>1239</v>
      </c>
      <c r="N231" s="3"/>
    </row>
    <row r="232" spans="1:14" x14ac:dyDescent="0.4">
      <c r="A232" s="12">
        <f t="shared" si="4"/>
        <v>228</v>
      </c>
      <c r="B232" s="19"/>
      <c r="C232" s="16"/>
      <c r="D232" s="16"/>
      <c r="E232" s="19"/>
      <c r="F232" s="16"/>
      <c r="G232" s="19"/>
      <c r="H232" s="20"/>
      <c r="I232" s="13" t="s">
        <v>2824</v>
      </c>
      <c r="J232" s="14"/>
      <c r="K232" s="58" t="s">
        <v>1239</v>
      </c>
      <c r="L232" s="59"/>
      <c r="M232" s="59" t="s">
        <v>1239</v>
      </c>
      <c r="N232" s="3"/>
    </row>
    <row r="233" spans="1:14" x14ac:dyDescent="0.4">
      <c r="A233" s="12">
        <f t="shared" si="4"/>
        <v>229</v>
      </c>
      <c r="B233" s="19"/>
      <c r="C233" s="16"/>
      <c r="D233" s="16"/>
      <c r="E233" s="19"/>
      <c r="F233" s="16"/>
      <c r="G233" s="19"/>
      <c r="H233" s="26" t="s">
        <v>2825</v>
      </c>
      <c r="I233" s="13"/>
      <c r="J233" s="14"/>
      <c r="K233" s="11" t="s">
        <v>10</v>
      </c>
      <c r="L233" s="11"/>
      <c r="M233" s="11" t="s">
        <v>10</v>
      </c>
      <c r="N233" s="3"/>
    </row>
    <row r="234" spans="1:14" x14ac:dyDescent="0.4">
      <c r="A234" s="12">
        <f t="shared" si="4"/>
        <v>230</v>
      </c>
      <c r="B234" s="19"/>
      <c r="C234" s="16"/>
      <c r="D234" s="16"/>
      <c r="E234" s="19"/>
      <c r="F234" s="16"/>
      <c r="G234" s="19"/>
      <c r="H234" s="19"/>
      <c r="I234" s="13" t="s">
        <v>1726</v>
      </c>
      <c r="J234" s="14"/>
      <c r="K234" s="58" t="s">
        <v>1239</v>
      </c>
      <c r="L234" s="59"/>
      <c r="M234" s="59" t="s">
        <v>1239</v>
      </c>
      <c r="N234" s="3"/>
    </row>
    <row r="235" spans="1:14" x14ac:dyDescent="0.4">
      <c r="A235" s="12">
        <f t="shared" si="4"/>
        <v>231</v>
      </c>
      <c r="B235" s="19"/>
      <c r="C235" s="16"/>
      <c r="D235" s="16"/>
      <c r="E235" s="19"/>
      <c r="F235" s="16"/>
      <c r="G235" s="19"/>
      <c r="H235" s="19"/>
      <c r="I235" s="13" t="s">
        <v>2818</v>
      </c>
      <c r="J235" s="14"/>
      <c r="K235" s="58" t="s">
        <v>1239</v>
      </c>
      <c r="L235" s="59"/>
      <c r="M235" s="59" t="s">
        <v>1239</v>
      </c>
      <c r="N235" s="3"/>
    </row>
    <row r="236" spans="1:14" x14ac:dyDescent="0.4">
      <c r="A236" s="12">
        <f t="shared" si="4"/>
        <v>232</v>
      </c>
      <c r="B236" s="19"/>
      <c r="C236" s="16"/>
      <c r="D236" s="16"/>
      <c r="E236" s="20"/>
      <c r="F236" s="17"/>
      <c r="G236" s="20"/>
      <c r="H236" s="20"/>
      <c r="I236" s="13" t="s">
        <v>2827</v>
      </c>
      <c r="J236" s="14"/>
      <c r="K236" s="3">
        <v>1</v>
      </c>
      <c r="L236" s="3"/>
      <c r="M236" s="3">
        <v>1</v>
      </c>
      <c r="N236" s="3"/>
    </row>
    <row r="237" spans="1:14" x14ac:dyDescent="0.4">
      <c r="A237" s="12">
        <f t="shared" si="4"/>
        <v>233</v>
      </c>
      <c r="B237" s="18" t="s">
        <v>2833</v>
      </c>
      <c r="C237" s="13"/>
      <c r="D237" s="13"/>
      <c r="E237" s="13"/>
      <c r="F237" s="13"/>
      <c r="G237" s="13"/>
      <c r="H237" s="13"/>
      <c r="I237" s="13"/>
      <c r="J237" s="14"/>
      <c r="K237" s="11" t="s">
        <v>1240</v>
      </c>
      <c r="L237" s="11"/>
      <c r="M237" s="11" t="s">
        <v>1240</v>
      </c>
      <c r="N237" s="3"/>
    </row>
    <row r="238" spans="1:14" x14ac:dyDescent="0.4">
      <c r="A238" s="12">
        <f t="shared" si="4"/>
        <v>234</v>
      </c>
      <c r="B238" s="19"/>
      <c r="C238" s="27" t="s">
        <v>110</v>
      </c>
      <c r="D238" s="9"/>
      <c r="E238" s="9"/>
      <c r="F238" s="9"/>
      <c r="G238" s="9"/>
      <c r="H238" s="9"/>
      <c r="I238" s="9"/>
      <c r="J238" s="10"/>
      <c r="K238" s="8"/>
      <c r="L238" s="8"/>
      <c r="M238" s="8"/>
      <c r="N238" s="8"/>
    </row>
    <row r="239" spans="1:14" x14ac:dyDescent="0.4">
      <c r="A239" s="12">
        <f t="shared" si="4"/>
        <v>235</v>
      </c>
      <c r="B239" s="19"/>
      <c r="C239" s="16"/>
      <c r="D239" s="13" t="s">
        <v>2750</v>
      </c>
      <c r="E239" s="13"/>
      <c r="F239" s="13"/>
      <c r="G239" s="13"/>
      <c r="H239" s="13"/>
      <c r="I239" s="13"/>
      <c r="J239" s="14"/>
      <c r="K239" s="11" t="s">
        <v>1240</v>
      </c>
      <c r="L239" s="11"/>
      <c r="M239" s="11" t="s">
        <v>1240</v>
      </c>
      <c r="N239" s="3"/>
    </row>
    <row r="240" spans="1:14" x14ac:dyDescent="0.4">
      <c r="A240" s="12">
        <f t="shared" si="4"/>
        <v>236</v>
      </c>
      <c r="B240" s="19"/>
      <c r="C240" s="16"/>
      <c r="D240" s="13" t="s">
        <v>811</v>
      </c>
      <c r="E240" s="13"/>
      <c r="F240" s="13"/>
      <c r="G240" s="13"/>
      <c r="H240" s="13"/>
      <c r="I240" s="13"/>
      <c r="J240" s="14"/>
      <c r="K240" s="3" t="s">
        <v>2835</v>
      </c>
      <c r="L240" s="3"/>
      <c r="M240" s="3" t="s">
        <v>2834</v>
      </c>
      <c r="N240" s="3"/>
    </row>
    <row r="241" spans="1:14" x14ac:dyDescent="0.4">
      <c r="A241" s="12">
        <f t="shared" si="4"/>
        <v>237</v>
      </c>
      <c r="B241" s="19"/>
      <c r="C241" s="16"/>
      <c r="D241" s="13" t="s">
        <v>2754</v>
      </c>
      <c r="E241" s="13"/>
      <c r="F241" s="13"/>
      <c r="G241" s="13"/>
      <c r="H241" s="13"/>
      <c r="I241" s="13"/>
      <c r="J241" s="14"/>
      <c r="K241" s="11" t="s">
        <v>36</v>
      </c>
      <c r="L241" s="11"/>
      <c r="M241" s="11" t="s">
        <v>36</v>
      </c>
      <c r="N241" s="3"/>
    </row>
    <row r="242" spans="1:14" x14ac:dyDescent="0.4">
      <c r="A242" s="12">
        <f t="shared" si="4"/>
        <v>238</v>
      </c>
      <c r="B242" s="19"/>
      <c r="C242" s="16"/>
      <c r="D242" s="13" t="s">
        <v>2755</v>
      </c>
      <c r="E242" s="13"/>
      <c r="F242" s="13"/>
      <c r="G242" s="13"/>
      <c r="H242" s="13"/>
      <c r="I242" s="13"/>
      <c r="J242" s="14"/>
      <c r="K242" s="11" t="s">
        <v>20</v>
      </c>
      <c r="L242" s="11"/>
      <c r="M242" s="11" t="s">
        <v>20</v>
      </c>
      <c r="N242" s="3"/>
    </row>
    <row r="243" spans="1:14" x14ac:dyDescent="0.4">
      <c r="A243" s="12">
        <f t="shared" si="4"/>
        <v>239</v>
      </c>
      <c r="B243" s="19"/>
      <c r="C243" s="16"/>
      <c r="D243" s="13" t="s">
        <v>2756</v>
      </c>
      <c r="E243" s="13"/>
      <c r="F243" s="13"/>
      <c r="G243" s="13"/>
      <c r="H243" s="13"/>
      <c r="I243" s="13"/>
      <c r="J243" s="14"/>
      <c r="K243" s="11" t="s">
        <v>20</v>
      </c>
      <c r="L243" s="11"/>
      <c r="M243" s="11" t="s">
        <v>20</v>
      </c>
      <c r="N243" s="3"/>
    </row>
    <row r="244" spans="1:14" x14ac:dyDescent="0.4">
      <c r="A244" s="12">
        <f t="shared" si="4"/>
        <v>240</v>
      </c>
      <c r="B244" s="19"/>
      <c r="C244" s="16"/>
      <c r="D244" s="13" t="s">
        <v>2757</v>
      </c>
      <c r="E244" s="13"/>
      <c r="F244" s="13"/>
      <c r="G244" s="13"/>
      <c r="H244" s="13"/>
      <c r="I244" s="13"/>
      <c r="J244" s="14"/>
      <c r="K244" s="11" t="s">
        <v>20</v>
      </c>
      <c r="L244" s="11"/>
      <c r="M244" s="11" t="s">
        <v>20</v>
      </c>
      <c r="N244" s="3"/>
    </row>
    <row r="245" spans="1:14" x14ac:dyDescent="0.4">
      <c r="A245" s="12">
        <f t="shared" si="4"/>
        <v>241</v>
      </c>
      <c r="B245" s="19"/>
      <c r="C245" s="17"/>
      <c r="D245" s="13" t="s">
        <v>2758</v>
      </c>
      <c r="E245" s="13"/>
      <c r="F245" s="13"/>
      <c r="G245" s="13"/>
      <c r="H245" s="13"/>
      <c r="I245" s="13"/>
      <c r="J245" s="14"/>
      <c r="K245" s="11" t="s">
        <v>36</v>
      </c>
      <c r="L245" s="11"/>
      <c r="M245" s="11" t="s">
        <v>36</v>
      </c>
      <c r="N245" s="3"/>
    </row>
    <row r="246" spans="1:14" x14ac:dyDescent="0.4">
      <c r="A246" s="12">
        <f t="shared" si="4"/>
        <v>242</v>
      </c>
      <c r="B246" s="19"/>
      <c r="C246" s="15" t="s">
        <v>2759</v>
      </c>
      <c r="D246" s="9"/>
      <c r="E246" s="9"/>
      <c r="F246" s="9"/>
      <c r="G246" s="9"/>
      <c r="H246" s="9"/>
      <c r="I246" s="9"/>
      <c r="J246" s="10"/>
      <c r="K246" s="8"/>
      <c r="L246" s="8"/>
      <c r="M246" s="8"/>
      <c r="N246" s="8"/>
    </row>
    <row r="247" spans="1:14" x14ac:dyDescent="0.4">
      <c r="A247" s="12">
        <f t="shared" si="4"/>
        <v>243</v>
      </c>
      <c r="B247" s="19"/>
      <c r="C247" s="17"/>
      <c r="D247" s="13" t="s">
        <v>2837</v>
      </c>
      <c r="E247" s="13"/>
      <c r="F247" s="13"/>
      <c r="G247" s="13"/>
      <c r="H247" s="13"/>
      <c r="I247" s="13"/>
      <c r="J247" s="14"/>
      <c r="K247" s="11" t="s">
        <v>1240</v>
      </c>
      <c r="L247" s="11"/>
      <c r="M247" s="11" t="s">
        <v>1240</v>
      </c>
      <c r="N247" s="3"/>
    </row>
    <row r="248" spans="1:14" x14ac:dyDescent="0.4">
      <c r="A248" s="12">
        <f t="shared" si="4"/>
        <v>244</v>
      </c>
      <c r="B248" s="19"/>
      <c r="C248" s="21" t="s">
        <v>2761</v>
      </c>
      <c r="D248" s="9"/>
      <c r="E248" s="9"/>
      <c r="F248" s="9"/>
      <c r="G248" s="9"/>
      <c r="H248" s="9"/>
      <c r="I248" s="9"/>
      <c r="J248" s="10"/>
      <c r="K248" s="8"/>
      <c r="L248" s="8"/>
      <c r="M248" s="8"/>
      <c r="N248" s="8"/>
    </row>
    <row r="249" spans="1:14" x14ac:dyDescent="0.4">
      <c r="A249" s="12">
        <f t="shared" si="4"/>
        <v>245</v>
      </c>
      <c r="B249" s="19"/>
      <c r="C249" s="16"/>
      <c r="D249" s="27" t="s">
        <v>2762</v>
      </c>
      <c r="E249" s="9"/>
      <c r="F249" s="9"/>
      <c r="G249" s="9"/>
      <c r="H249" s="9"/>
      <c r="I249" s="9"/>
      <c r="J249" s="10"/>
      <c r="K249" s="8"/>
      <c r="L249" s="8"/>
      <c r="M249" s="8"/>
      <c r="N249" s="8"/>
    </row>
    <row r="250" spans="1:14" x14ac:dyDescent="0.4">
      <c r="A250" s="12">
        <f t="shared" si="4"/>
        <v>246</v>
      </c>
      <c r="B250" s="19"/>
      <c r="C250" s="16"/>
      <c r="D250" s="16"/>
      <c r="E250" s="13" t="s">
        <v>2763</v>
      </c>
      <c r="F250" s="13"/>
      <c r="G250" s="13"/>
      <c r="H250" s="13"/>
      <c r="I250" s="13"/>
      <c r="J250" s="14"/>
      <c r="K250" s="11" t="s">
        <v>1240</v>
      </c>
      <c r="L250" s="11"/>
      <c r="M250" s="11" t="s">
        <v>1240</v>
      </c>
      <c r="N250" s="3"/>
    </row>
    <row r="251" spans="1:14" x14ac:dyDescent="0.4">
      <c r="A251" s="12">
        <f t="shared" si="4"/>
        <v>247</v>
      </c>
      <c r="B251" s="19"/>
      <c r="C251" s="16"/>
      <c r="D251" s="17"/>
      <c r="E251" s="13" t="s">
        <v>2764</v>
      </c>
      <c r="F251" s="13"/>
      <c r="G251" s="13"/>
      <c r="H251" s="13"/>
      <c r="I251" s="13"/>
      <c r="J251" s="14"/>
      <c r="K251" s="11" t="s">
        <v>1240</v>
      </c>
      <c r="L251" s="11"/>
      <c r="M251" s="11" t="s">
        <v>1240</v>
      </c>
      <c r="N251" s="3"/>
    </row>
    <row r="252" spans="1:14" x14ac:dyDescent="0.4">
      <c r="A252" s="12">
        <f t="shared" ref="A252:A315" si="5">A251+1</f>
        <v>248</v>
      </c>
      <c r="B252" s="19"/>
      <c r="C252" s="16"/>
      <c r="D252" s="27" t="s">
        <v>2765</v>
      </c>
      <c r="E252" s="9"/>
      <c r="F252" s="9"/>
      <c r="G252" s="9"/>
      <c r="H252" s="9"/>
      <c r="I252" s="9"/>
      <c r="J252" s="10"/>
      <c r="K252" s="8"/>
      <c r="L252" s="8"/>
      <c r="M252" s="8"/>
      <c r="N252" s="8"/>
    </row>
    <row r="253" spans="1:14" x14ac:dyDescent="0.4">
      <c r="A253" s="12">
        <f t="shared" si="5"/>
        <v>249</v>
      </c>
      <c r="B253" s="19"/>
      <c r="C253" s="16"/>
      <c r="D253" s="16"/>
      <c r="E253" s="13" t="s">
        <v>2766</v>
      </c>
      <c r="F253" s="13"/>
      <c r="G253" s="13"/>
      <c r="H253" s="13"/>
      <c r="I253" s="13"/>
      <c r="J253" s="14"/>
      <c r="K253" s="11" t="s">
        <v>9</v>
      </c>
      <c r="L253" s="11"/>
      <c r="M253" s="11" t="s">
        <v>9</v>
      </c>
      <c r="N253" s="3"/>
    </row>
    <row r="254" spans="1:14" x14ac:dyDescent="0.4">
      <c r="A254" s="12">
        <f t="shared" si="5"/>
        <v>250</v>
      </c>
      <c r="B254" s="19"/>
      <c r="C254" s="16"/>
      <c r="D254" s="16"/>
      <c r="E254" s="26" t="s">
        <v>2767</v>
      </c>
      <c r="F254" s="13"/>
      <c r="G254" s="13"/>
      <c r="H254" s="13"/>
      <c r="I254" s="13"/>
      <c r="J254" s="14"/>
      <c r="K254" s="11" t="s">
        <v>10</v>
      </c>
      <c r="L254" s="11"/>
      <c r="M254" s="11" t="s">
        <v>10</v>
      </c>
      <c r="N254" s="3"/>
    </row>
    <row r="255" spans="1:14" x14ac:dyDescent="0.4">
      <c r="A255" s="12">
        <f t="shared" si="5"/>
        <v>251</v>
      </c>
      <c r="B255" s="19"/>
      <c r="C255" s="16"/>
      <c r="D255" s="16"/>
      <c r="E255" s="19"/>
      <c r="F255" s="13" t="s">
        <v>1611</v>
      </c>
      <c r="G255" s="13"/>
      <c r="H255" s="13"/>
      <c r="I255" s="13"/>
      <c r="J255" s="14"/>
      <c r="K255" s="3" t="s">
        <v>2768</v>
      </c>
      <c r="L255" s="3"/>
      <c r="M255" s="3" t="s">
        <v>2768</v>
      </c>
      <c r="N255" s="3"/>
    </row>
    <row r="256" spans="1:14" x14ac:dyDescent="0.4">
      <c r="A256" s="12">
        <f t="shared" si="5"/>
        <v>252</v>
      </c>
      <c r="B256" s="19"/>
      <c r="C256" s="16"/>
      <c r="D256" s="17"/>
      <c r="E256" s="20"/>
      <c r="F256" s="13" t="s">
        <v>815</v>
      </c>
      <c r="G256" s="13"/>
      <c r="H256" s="13"/>
      <c r="I256" s="13"/>
      <c r="J256" s="14"/>
      <c r="K256" s="11" t="s">
        <v>1240</v>
      </c>
      <c r="L256" s="11"/>
      <c r="M256" s="11" t="s">
        <v>1240</v>
      </c>
      <c r="N256" s="3"/>
    </row>
    <row r="257" spans="1:14" x14ac:dyDescent="0.4">
      <c r="A257" s="12">
        <f t="shared" si="5"/>
        <v>253</v>
      </c>
      <c r="B257" s="19"/>
      <c r="C257" s="15" t="s">
        <v>2769</v>
      </c>
      <c r="D257" s="9"/>
      <c r="E257" s="9"/>
      <c r="F257" s="9"/>
      <c r="G257" s="9"/>
      <c r="H257" s="9"/>
      <c r="I257" s="9"/>
      <c r="J257" s="10"/>
      <c r="K257" s="8"/>
      <c r="L257" s="8"/>
      <c r="M257" s="8"/>
      <c r="N257" s="8"/>
    </row>
    <row r="258" spans="1:14" x14ac:dyDescent="0.4">
      <c r="A258" s="12">
        <f t="shared" si="5"/>
        <v>254</v>
      </c>
      <c r="B258" s="19"/>
      <c r="C258" s="16"/>
      <c r="D258" s="27" t="s">
        <v>2770</v>
      </c>
      <c r="E258" s="9"/>
      <c r="F258" s="9"/>
      <c r="G258" s="9"/>
      <c r="H258" s="9"/>
      <c r="I258" s="9"/>
      <c r="J258" s="10"/>
      <c r="K258" s="8"/>
      <c r="L258" s="8"/>
      <c r="M258" s="8"/>
      <c r="N258" s="8"/>
    </row>
    <row r="259" spans="1:14" x14ac:dyDescent="0.4">
      <c r="A259" s="12">
        <f t="shared" si="5"/>
        <v>255</v>
      </c>
      <c r="B259" s="19"/>
      <c r="C259" s="16"/>
      <c r="D259" s="16"/>
      <c r="E259" s="26" t="s">
        <v>2771</v>
      </c>
      <c r="F259" s="13"/>
      <c r="G259" s="13"/>
      <c r="H259" s="13"/>
      <c r="I259" s="13"/>
      <c r="J259" s="14"/>
      <c r="K259" s="11" t="s">
        <v>36</v>
      </c>
      <c r="L259" s="11"/>
      <c r="M259" s="11" t="s">
        <v>36</v>
      </c>
      <c r="N259" s="3"/>
    </row>
    <row r="260" spans="1:14" x14ac:dyDescent="0.4">
      <c r="A260" s="12">
        <f t="shared" si="5"/>
        <v>256</v>
      </c>
      <c r="B260" s="19"/>
      <c r="C260" s="16"/>
      <c r="D260" s="16"/>
      <c r="E260" s="19"/>
      <c r="F260" s="13" t="s">
        <v>2772</v>
      </c>
      <c r="G260" s="13"/>
      <c r="H260" s="13"/>
      <c r="I260" s="13"/>
      <c r="J260" s="14"/>
      <c r="K260" s="11" t="s">
        <v>1240</v>
      </c>
      <c r="L260" s="11"/>
      <c r="M260" s="11" t="s">
        <v>1240</v>
      </c>
      <c r="N260" s="3"/>
    </row>
    <row r="261" spans="1:14" x14ac:dyDescent="0.4">
      <c r="A261" s="12">
        <f t="shared" si="5"/>
        <v>257</v>
      </c>
      <c r="B261" s="19"/>
      <c r="C261" s="16"/>
      <c r="D261" s="17"/>
      <c r="E261" s="20"/>
      <c r="F261" s="13" t="s">
        <v>2773</v>
      </c>
      <c r="G261" s="13"/>
      <c r="H261" s="13"/>
      <c r="I261" s="13"/>
      <c r="J261" s="14"/>
      <c r="K261" s="11" t="s">
        <v>1240</v>
      </c>
      <c r="L261" s="11"/>
      <c r="M261" s="11" t="s">
        <v>1240</v>
      </c>
      <c r="N261" s="3"/>
    </row>
    <row r="262" spans="1:14" x14ac:dyDescent="0.4">
      <c r="A262" s="12">
        <f t="shared" si="5"/>
        <v>258</v>
      </c>
      <c r="B262" s="19"/>
      <c r="C262" s="16"/>
      <c r="D262" s="27" t="s">
        <v>2774</v>
      </c>
      <c r="E262" s="9"/>
      <c r="F262" s="9"/>
      <c r="G262" s="9"/>
      <c r="H262" s="9"/>
      <c r="I262" s="9"/>
      <c r="J262" s="10"/>
      <c r="K262" s="8"/>
      <c r="L262" s="8"/>
      <c r="M262" s="8"/>
      <c r="N262" s="8"/>
    </row>
    <row r="263" spans="1:14" x14ac:dyDescent="0.4">
      <c r="A263" s="12">
        <f t="shared" si="5"/>
        <v>259</v>
      </c>
      <c r="B263" s="19"/>
      <c r="C263" s="16"/>
      <c r="D263" s="16"/>
      <c r="E263" s="13" t="s">
        <v>2775</v>
      </c>
      <c r="F263" s="13"/>
      <c r="G263" s="13"/>
      <c r="H263" s="13"/>
      <c r="I263" s="13"/>
      <c r="J263" s="14"/>
      <c r="K263" s="11" t="s">
        <v>20</v>
      </c>
      <c r="L263" s="11"/>
      <c r="M263" s="11" t="s">
        <v>20</v>
      </c>
      <c r="N263" s="3"/>
    </row>
    <row r="264" spans="1:14" x14ac:dyDescent="0.4">
      <c r="A264" s="12">
        <f t="shared" si="5"/>
        <v>260</v>
      </c>
      <c r="B264" s="19"/>
      <c r="C264" s="16"/>
      <c r="D264" s="16"/>
      <c r="E264" s="13" t="s">
        <v>2776</v>
      </c>
      <c r="F264" s="13"/>
      <c r="G264" s="13"/>
      <c r="H264" s="13"/>
      <c r="I264" s="13"/>
      <c r="J264" s="14"/>
      <c r="K264" s="11" t="s">
        <v>20</v>
      </c>
      <c r="L264" s="11"/>
      <c r="M264" s="11" t="s">
        <v>20</v>
      </c>
      <c r="N264" s="3"/>
    </row>
    <row r="265" spans="1:14" x14ac:dyDescent="0.4">
      <c r="A265" s="12">
        <f t="shared" si="5"/>
        <v>261</v>
      </c>
      <c r="B265" s="19"/>
      <c r="C265" s="17"/>
      <c r="D265" s="17"/>
      <c r="E265" s="13" t="s">
        <v>2777</v>
      </c>
      <c r="F265" s="13"/>
      <c r="G265" s="13"/>
      <c r="H265" s="13"/>
      <c r="I265" s="13"/>
      <c r="J265" s="14"/>
      <c r="K265" s="11" t="s">
        <v>20</v>
      </c>
      <c r="L265" s="11"/>
      <c r="M265" s="11" t="s">
        <v>20</v>
      </c>
      <c r="N265" s="3"/>
    </row>
    <row r="266" spans="1:14" x14ac:dyDescent="0.4">
      <c r="A266" s="12">
        <f t="shared" si="5"/>
        <v>262</v>
      </c>
      <c r="B266" s="19"/>
      <c r="C266" s="15" t="s">
        <v>619</v>
      </c>
      <c r="D266" s="9"/>
      <c r="E266" s="9"/>
      <c r="F266" s="9"/>
      <c r="G266" s="9"/>
      <c r="H266" s="9"/>
      <c r="I266" s="9"/>
      <c r="J266" s="10"/>
      <c r="K266" s="8"/>
      <c r="L266" s="8"/>
      <c r="M266" s="8"/>
      <c r="N266" s="8"/>
    </row>
    <row r="267" spans="1:14" x14ac:dyDescent="0.4">
      <c r="A267" s="12">
        <f t="shared" si="5"/>
        <v>263</v>
      </c>
      <c r="B267" s="19"/>
      <c r="C267" s="16"/>
      <c r="D267" s="27" t="s">
        <v>2778</v>
      </c>
      <c r="E267" s="9"/>
      <c r="F267" s="9"/>
      <c r="G267" s="9"/>
      <c r="H267" s="9"/>
      <c r="I267" s="9"/>
      <c r="J267" s="10"/>
      <c r="K267" s="8"/>
      <c r="L267" s="8"/>
      <c r="M267" s="8"/>
      <c r="N267" s="8"/>
    </row>
    <row r="268" spans="1:14" x14ac:dyDescent="0.4">
      <c r="A268" s="12">
        <f t="shared" si="5"/>
        <v>264</v>
      </c>
      <c r="B268" s="19"/>
      <c r="C268" s="16"/>
      <c r="D268" s="16"/>
      <c r="E268" s="13" t="s">
        <v>2779</v>
      </c>
      <c r="F268" s="13"/>
      <c r="G268" s="13"/>
      <c r="H268" s="13"/>
      <c r="I268" s="13"/>
      <c r="J268" s="14"/>
      <c r="K268" s="11" t="s">
        <v>9</v>
      </c>
      <c r="L268" s="11"/>
      <c r="M268" s="11" t="s">
        <v>9</v>
      </c>
      <c r="N268" s="3"/>
    </row>
    <row r="269" spans="1:14" x14ac:dyDescent="0.4">
      <c r="A269" s="12">
        <f t="shared" si="5"/>
        <v>265</v>
      </c>
      <c r="B269" s="19"/>
      <c r="C269" s="16"/>
      <c r="D269" s="16"/>
      <c r="E269" s="13" t="s">
        <v>2780</v>
      </c>
      <c r="F269" s="13"/>
      <c r="G269" s="13"/>
      <c r="H269" s="13"/>
      <c r="I269" s="13"/>
      <c r="J269" s="14"/>
      <c r="K269" s="11" t="s">
        <v>10</v>
      </c>
      <c r="L269" s="11"/>
      <c r="M269" s="11" t="s">
        <v>10</v>
      </c>
      <c r="N269" s="3"/>
    </row>
    <row r="270" spans="1:14" x14ac:dyDescent="0.4">
      <c r="A270" s="12">
        <f t="shared" si="5"/>
        <v>266</v>
      </c>
      <c r="B270" s="19"/>
      <c r="C270" s="16"/>
      <c r="D270" s="16"/>
      <c r="E270" s="13" t="s">
        <v>2781</v>
      </c>
      <c r="F270" s="13"/>
      <c r="G270" s="13"/>
      <c r="H270" s="13"/>
      <c r="I270" s="13"/>
      <c r="J270" s="14"/>
      <c r="K270" s="11" t="s">
        <v>10</v>
      </c>
      <c r="L270" s="11"/>
      <c r="M270" s="11" t="s">
        <v>10</v>
      </c>
      <c r="N270" s="3"/>
    </row>
    <row r="271" spans="1:14" x14ac:dyDescent="0.4">
      <c r="A271" s="12">
        <f t="shared" si="5"/>
        <v>267</v>
      </c>
      <c r="B271" s="19"/>
      <c r="C271" s="16"/>
      <c r="D271" s="16"/>
      <c r="E271" s="13" t="s">
        <v>1602</v>
      </c>
      <c r="F271" s="13"/>
      <c r="G271" s="13"/>
      <c r="H271" s="13"/>
      <c r="I271" s="13"/>
      <c r="J271" s="14"/>
      <c r="K271" s="11" t="s">
        <v>10</v>
      </c>
      <c r="L271" s="11"/>
      <c r="M271" s="11" t="s">
        <v>10</v>
      </c>
      <c r="N271" s="3"/>
    </row>
    <row r="272" spans="1:14" x14ac:dyDescent="0.4">
      <c r="A272" s="12">
        <f t="shared" si="5"/>
        <v>268</v>
      </c>
      <c r="B272" s="19"/>
      <c r="C272" s="16"/>
      <c r="D272" s="16"/>
      <c r="E272" s="13" t="s">
        <v>1882</v>
      </c>
      <c r="F272" s="13"/>
      <c r="G272" s="13"/>
      <c r="H272" s="13"/>
      <c r="I272" s="13"/>
      <c r="J272" s="14"/>
      <c r="K272" s="11" t="s">
        <v>10</v>
      </c>
      <c r="L272" s="11"/>
      <c r="M272" s="11" t="s">
        <v>10</v>
      </c>
      <c r="N272" s="3"/>
    </row>
    <row r="273" spans="1:14" x14ac:dyDescent="0.4">
      <c r="A273" s="12">
        <f t="shared" si="5"/>
        <v>269</v>
      </c>
      <c r="B273" s="19"/>
      <c r="C273" s="16"/>
      <c r="D273" s="16"/>
      <c r="E273" s="13" t="s">
        <v>2782</v>
      </c>
      <c r="F273" s="13"/>
      <c r="G273" s="13"/>
      <c r="H273" s="13"/>
      <c r="I273" s="13"/>
      <c r="J273" s="14"/>
      <c r="K273" s="11" t="s">
        <v>10</v>
      </c>
      <c r="L273" s="11"/>
      <c r="M273" s="11" t="s">
        <v>10</v>
      </c>
      <c r="N273" s="3"/>
    </row>
    <row r="274" spans="1:14" x14ac:dyDescent="0.4">
      <c r="A274" s="12">
        <f t="shared" si="5"/>
        <v>270</v>
      </c>
      <c r="B274" s="19"/>
      <c r="C274" s="16"/>
      <c r="D274" s="16"/>
      <c r="E274" s="13" t="s">
        <v>1733</v>
      </c>
      <c r="F274" s="13"/>
      <c r="G274" s="13"/>
      <c r="H274" s="13"/>
      <c r="I274" s="13"/>
      <c r="J274" s="14"/>
      <c r="K274" s="11" t="s">
        <v>10</v>
      </c>
      <c r="L274" s="11"/>
      <c r="M274" s="11" t="s">
        <v>10</v>
      </c>
      <c r="N274" s="3"/>
    </row>
    <row r="275" spans="1:14" x14ac:dyDescent="0.4">
      <c r="A275" s="12">
        <f t="shared" si="5"/>
        <v>271</v>
      </c>
      <c r="B275" s="19"/>
      <c r="C275" s="16"/>
      <c r="D275" s="16"/>
      <c r="E275" s="13" t="s">
        <v>2783</v>
      </c>
      <c r="F275" s="13"/>
      <c r="G275" s="13"/>
      <c r="H275" s="13"/>
      <c r="I275" s="13"/>
      <c r="J275" s="14"/>
      <c r="K275" s="11" t="s">
        <v>10</v>
      </c>
      <c r="L275" s="11"/>
      <c r="M275" s="11" t="s">
        <v>10</v>
      </c>
      <c r="N275" s="3"/>
    </row>
    <row r="276" spans="1:14" x14ac:dyDescent="0.4">
      <c r="A276" s="12">
        <f t="shared" si="5"/>
        <v>272</v>
      </c>
      <c r="B276" s="19"/>
      <c r="C276" s="16"/>
      <c r="D276" s="16"/>
      <c r="E276" s="13" t="s">
        <v>1734</v>
      </c>
      <c r="F276" s="13"/>
      <c r="G276" s="13"/>
      <c r="H276" s="13"/>
      <c r="I276" s="13"/>
      <c r="J276" s="14"/>
      <c r="K276" s="11" t="s">
        <v>10</v>
      </c>
      <c r="L276" s="11"/>
      <c r="M276" s="11" t="s">
        <v>10</v>
      </c>
      <c r="N276" s="3"/>
    </row>
    <row r="277" spans="1:14" x14ac:dyDescent="0.4">
      <c r="A277" s="12">
        <f t="shared" si="5"/>
        <v>273</v>
      </c>
      <c r="B277" s="19"/>
      <c r="C277" s="16"/>
      <c r="D277" s="16"/>
      <c r="E277" s="13" t="s">
        <v>1883</v>
      </c>
      <c r="F277" s="13"/>
      <c r="G277" s="13"/>
      <c r="H277" s="13"/>
      <c r="I277" s="13"/>
      <c r="J277" s="14"/>
      <c r="K277" s="11" t="s">
        <v>10</v>
      </c>
      <c r="L277" s="11"/>
      <c r="M277" s="11" t="s">
        <v>10</v>
      </c>
      <c r="N277" s="3"/>
    </row>
    <row r="278" spans="1:14" x14ac:dyDescent="0.4">
      <c r="A278" s="12">
        <f t="shared" si="5"/>
        <v>274</v>
      </c>
      <c r="B278" s="19"/>
      <c r="C278" s="16"/>
      <c r="D278" s="17"/>
      <c r="E278" s="13" t="s">
        <v>2784</v>
      </c>
      <c r="F278" s="13"/>
      <c r="G278" s="13"/>
      <c r="H278" s="13"/>
      <c r="I278" s="13"/>
      <c r="J278" s="14"/>
      <c r="K278" s="11" t="s">
        <v>10</v>
      </c>
      <c r="L278" s="11"/>
      <c r="M278" s="11" t="s">
        <v>10</v>
      </c>
      <c r="N278" s="3"/>
    </row>
    <row r="279" spans="1:14" x14ac:dyDescent="0.4">
      <c r="A279" s="12">
        <f t="shared" si="5"/>
        <v>275</v>
      </c>
      <c r="B279" s="19"/>
      <c r="C279" s="16"/>
      <c r="D279" s="27" t="s">
        <v>2785</v>
      </c>
      <c r="E279" s="9"/>
      <c r="F279" s="9"/>
      <c r="G279" s="9"/>
      <c r="H279" s="9"/>
      <c r="I279" s="9"/>
      <c r="J279" s="10"/>
      <c r="K279" s="8"/>
      <c r="L279" s="8"/>
      <c r="M279" s="8"/>
      <c r="N279" s="8"/>
    </row>
    <row r="280" spans="1:14" x14ac:dyDescent="0.4">
      <c r="A280" s="12">
        <f t="shared" si="5"/>
        <v>276</v>
      </c>
      <c r="B280" s="19"/>
      <c r="C280" s="16"/>
      <c r="D280" s="16"/>
      <c r="E280" s="13" t="s">
        <v>2779</v>
      </c>
      <c r="F280" s="13"/>
      <c r="G280" s="13"/>
      <c r="H280" s="13"/>
      <c r="I280" s="13"/>
      <c r="J280" s="14"/>
      <c r="K280" s="11" t="s">
        <v>9</v>
      </c>
      <c r="L280" s="11"/>
      <c r="M280" s="11" t="s">
        <v>9</v>
      </c>
      <c r="N280" s="3"/>
    </row>
    <row r="281" spans="1:14" x14ac:dyDescent="0.4">
      <c r="A281" s="12">
        <f t="shared" si="5"/>
        <v>277</v>
      </c>
      <c r="B281" s="19"/>
      <c r="C281" s="16"/>
      <c r="D281" s="16"/>
      <c r="E281" s="13" t="s">
        <v>2780</v>
      </c>
      <c r="F281" s="13"/>
      <c r="G281" s="13"/>
      <c r="H281" s="13"/>
      <c r="I281" s="13"/>
      <c r="J281" s="14"/>
      <c r="K281" s="11" t="s">
        <v>10</v>
      </c>
      <c r="L281" s="11"/>
      <c r="M281" s="11" t="s">
        <v>10</v>
      </c>
      <c r="N281" s="3"/>
    </row>
    <row r="282" spans="1:14" x14ac:dyDescent="0.4">
      <c r="A282" s="12">
        <f t="shared" si="5"/>
        <v>278</v>
      </c>
      <c r="B282" s="19"/>
      <c r="C282" s="16"/>
      <c r="D282" s="16"/>
      <c r="E282" s="13" t="s">
        <v>2781</v>
      </c>
      <c r="F282" s="13"/>
      <c r="G282" s="13"/>
      <c r="H282" s="13"/>
      <c r="I282" s="13"/>
      <c r="J282" s="14"/>
      <c r="K282" s="11" t="s">
        <v>10</v>
      </c>
      <c r="L282" s="11"/>
      <c r="M282" s="11" t="s">
        <v>10</v>
      </c>
      <c r="N282" s="3"/>
    </row>
    <row r="283" spans="1:14" x14ac:dyDescent="0.4">
      <c r="A283" s="12">
        <f t="shared" si="5"/>
        <v>279</v>
      </c>
      <c r="B283" s="19"/>
      <c r="C283" s="16"/>
      <c r="D283" s="16"/>
      <c r="E283" s="13" t="s">
        <v>1602</v>
      </c>
      <c r="F283" s="13"/>
      <c r="G283" s="13"/>
      <c r="H283" s="13"/>
      <c r="I283" s="13"/>
      <c r="J283" s="14"/>
      <c r="K283" s="11" t="s">
        <v>10</v>
      </c>
      <c r="L283" s="11"/>
      <c r="M283" s="11" t="s">
        <v>10</v>
      </c>
      <c r="N283" s="3"/>
    </row>
    <row r="284" spans="1:14" x14ac:dyDescent="0.4">
      <c r="A284" s="12">
        <f t="shared" si="5"/>
        <v>280</v>
      </c>
      <c r="B284" s="19"/>
      <c r="C284" s="16"/>
      <c r="D284" s="16"/>
      <c r="E284" s="13" t="s">
        <v>1882</v>
      </c>
      <c r="F284" s="13"/>
      <c r="G284" s="13"/>
      <c r="H284" s="13"/>
      <c r="I284" s="13"/>
      <c r="J284" s="14"/>
      <c r="K284" s="11" t="s">
        <v>10</v>
      </c>
      <c r="L284" s="11"/>
      <c r="M284" s="11" t="s">
        <v>10</v>
      </c>
      <c r="N284" s="3"/>
    </row>
    <row r="285" spans="1:14" x14ac:dyDescent="0.4">
      <c r="A285" s="12">
        <f t="shared" si="5"/>
        <v>281</v>
      </c>
      <c r="B285" s="19"/>
      <c r="C285" s="16"/>
      <c r="D285" s="16"/>
      <c r="E285" s="13" t="s">
        <v>2782</v>
      </c>
      <c r="F285" s="13"/>
      <c r="G285" s="13"/>
      <c r="H285" s="13"/>
      <c r="I285" s="13"/>
      <c r="J285" s="14"/>
      <c r="K285" s="11" t="s">
        <v>10</v>
      </c>
      <c r="L285" s="11"/>
      <c r="M285" s="11" t="s">
        <v>10</v>
      </c>
      <c r="N285" s="3"/>
    </row>
    <row r="286" spans="1:14" x14ac:dyDescent="0.4">
      <c r="A286" s="12">
        <f t="shared" si="5"/>
        <v>282</v>
      </c>
      <c r="B286" s="19"/>
      <c r="C286" s="16"/>
      <c r="D286" s="16"/>
      <c r="E286" s="13" t="s">
        <v>1733</v>
      </c>
      <c r="F286" s="13"/>
      <c r="G286" s="13"/>
      <c r="H286" s="13"/>
      <c r="I286" s="13"/>
      <c r="J286" s="14"/>
      <c r="K286" s="11" t="s">
        <v>10</v>
      </c>
      <c r="L286" s="11"/>
      <c r="M286" s="11" t="s">
        <v>10</v>
      </c>
      <c r="N286" s="3"/>
    </row>
    <row r="287" spans="1:14" x14ac:dyDescent="0.4">
      <c r="A287" s="12">
        <f t="shared" si="5"/>
        <v>283</v>
      </c>
      <c r="B287" s="19"/>
      <c r="C287" s="16"/>
      <c r="D287" s="16"/>
      <c r="E287" s="13" t="s">
        <v>2783</v>
      </c>
      <c r="F287" s="13"/>
      <c r="G287" s="13"/>
      <c r="H287" s="13"/>
      <c r="I287" s="13"/>
      <c r="J287" s="14"/>
      <c r="K287" s="11" t="s">
        <v>10</v>
      </c>
      <c r="L287" s="11"/>
      <c r="M287" s="11" t="s">
        <v>10</v>
      </c>
      <c r="N287" s="3"/>
    </row>
    <row r="288" spans="1:14" x14ac:dyDescent="0.4">
      <c r="A288" s="12">
        <f t="shared" si="5"/>
        <v>284</v>
      </c>
      <c r="B288" s="19"/>
      <c r="C288" s="16"/>
      <c r="D288" s="16"/>
      <c r="E288" s="13" t="s">
        <v>1734</v>
      </c>
      <c r="F288" s="13"/>
      <c r="G288" s="13"/>
      <c r="H288" s="13"/>
      <c r="I288" s="13"/>
      <c r="J288" s="14"/>
      <c r="K288" s="11" t="s">
        <v>10</v>
      </c>
      <c r="L288" s="11"/>
      <c r="M288" s="11" t="s">
        <v>10</v>
      </c>
      <c r="N288" s="3"/>
    </row>
    <row r="289" spans="1:14" x14ac:dyDescent="0.4">
      <c r="A289" s="12">
        <f t="shared" si="5"/>
        <v>285</v>
      </c>
      <c r="B289" s="19"/>
      <c r="C289" s="16"/>
      <c r="D289" s="16"/>
      <c r="E289" s="13" t="s">
        <v>1883</v>
      </c>
      <c r="F289" s="13"/>
      <c r="G289" s="13"/>
      <c r="H289" s="13"/>
      <c r="I289" s="13"/>
      <c r="J289" s="14"/>
      <c r="K289" s="11" t="s">
        <v>10</v>
      </c>
      <c r="L289" s="11"/>
      <c r="M289" s="11" t="s">
        <v>10</v>
      </c>
      <c r="N289" s="3"/>
    </row>
    <row r="290" spans="1:14" x14ac:dyDescent="0.4">
      <c r="A290" s="12">
        <f t="shared" si="5"/>
        <v>286</v>
      </c>
      <c r="B290" s="19"/>
      <c r="C290" s="16"/>
      <c r="D290" s="17"/>
      <c r="E290" s="13" t="s">
        <v>2784</v>
      </c>
      <c r="F290" s="13"/>
      <c r="G290" s="13"/>
      <c r="H290" s="13"/>
      <c r="I290" s="13"/>
      <c r="J290" s="14"/>
      <c r="K290" s="11" t="s">
        <v>10</v>
      </c>
      <c r="L290" s="11"/>
      <c r="M290" s="11" t="s">
        <v>10</v>
      </c>
      <c r="N290" s="3"/>
    </row>
    <row r="291" spans="1:14" x14ac:dyDescent="0.4">
      <c r="A291" s="12">
        <f t="shared" si="5"/>
        <v>287</v>
      </c>
      <c r="B291" s="19"/>
      <c r="C291" s="16"/>
      <c r="D291" s="27" t="s">
        <v>2786</v>
      </c>
      <c r="E291" s="9"/>
      <c r="F291" s="9"/>
      <c r="G291" s="9"/>
      <c r="H291" s="9"/>
      <c r="I291" s="9"/>
      <c r="J291" s="10"/>
      <c r="K291" s="8"/>
      <c r="L291" s="8"/>
      <c r="M291" s="8"/>
      <c r="N291" s="8"/>
    </row>
    <row r="292" spans="1:14" x14ac:dyDescent="0.4">
      <c r="A292" s="12">
        <f t="shared" si="5"/>
        <v>288</v>
      </c>
      <c r="B292" s="19"/>
      <c r="C292" s="16"/>
      <c r="D292" s="16"/>
      <c r="E292" s="13" t="s">
        <v>2779</v>
      </c>
      <c r="F292" s="13"/>
      <c r="G292" s="13"/>
      <c r="H292" s="13"/>
      <c r="I292" s="13"/>
      <c r="J292" s="14"/>
      <c r="K292" s="11" t="s">
        <v>9</v>
      </c>
      <c r="L292" s="11"/>
      <c r="M292" s="11" t="s">
        <v>9</v>
      </c>
      <c r="N292" s="3"/>
    </row>
    <row r="293" spans="1:14" x14ac:dyDescent="0.4">
      <c r="A293" s="12">
        <f t="shared" si="5"/>
        <v>289</v>
      </c>
      <c r="B293" s="19"/>
      <c r="C293" s="16"/>
      <c r="D293" s="16"/>
      <c r="E293" s="13" t="s">
        <v>2780</v>
      </c>
      <c r="F293" s="13"/>
      <c r="G293" s="13"/>
      <c r="H293" s="13"/>
      <c r="I293" s="13"/>
      <c r="J293" s="14"/>
      <c r="K293" s="11" t="s">
        <v>10</v>
      </c>
      <c r="L293" s="11"/>
      <c r="M293" s="11" t="s">
        <v>10</v>
      </c>
      <c r="N293" s="3"/>
    </row>
    <row r="294" spans="1:14" x14ac:dyDescent="0.4">
      <c r="A294" s="12">
        <f t="shared" si="5"/>
        <v>290</v>
      </c>
      <c r="B294" s="19"/>
      <c r="C294" s="16"/>
      <c r="D294" s="16"/>
      <c r="E294" s="13" t="s">
        <v>2781</v>
      </c>
      <c r="F294" s="13"/>
      <c r="G294" s="13"/>
      <c r="H294" s="13"/>
      <c r="I294" s="13"/>
      <c r="J294" s="14"/>
      <c r="K294" s="11" t="s">
        <v>10</v>
      </c>
      <c r="L294" s="11"/>
      <c r="M294" s="11" t="s">
        <v>10</v>
      </c>
      <c r="N294" s="3"/>
    </row>
    <row r="295" spans="1:14" x14ac:dyDescent="0.4">
      <c r="A295" s="12">
        <f t="shared" si="5"/>
        <v>291</v>
      </c>
      <c r="B295" s="19"/>
      <c r="C295" s="16"/>
      <c r="D295" s="16"/>
      <c r="E295" s="13" t="s">
        <v>1602</v>
      </c>
      <c r="F295" s="13"/>
      <c r="G295" s="13"/>
      <c r="H295" s="13"/>
      <c r="I295" s="13"/>
      <c r="J295" s="14"/>
      <c r="K295" s="11" t="s">
        <v>10</v>
      </c>
      <c r="L295" s="11"/>
      <c r="M295" s="11" t="s">
        <v>10</v>
      </c>
      <c r="N295" s="3"/>
    </row>
    <row r="296" spans="1:14" x14ac:dyDescent="0.4">
      <c r="A296" s="12">
        <f t="shared" si="5"/>
        <v>292</v>
      </c>
      <c r="B296" s="19"/>
      <c r="C296" s="16"/>
      <c r="D296" s="16"/>
      <c r="E296" s="13" t="s">
        <v>1882</v>
      </c>
      <c r="F296" s="13"/>
      <c r="G296" s="13"/>
      <c r="H296" s="13"/>
      <c r="I296" s="13"/>
      <c r="J296" s="14"/>
      <c r="K296" s="11" t="s">
        <v>10</v>
      </c>
      <c r="L296" s="11"/>
      <c r="M296" s="11" t="s">
        <v>10</v>
      </c>
      <c r="N296" s="3"/>
    </row>
    <row r="297" spans="1:14" x14ac:dyDescent="0.4">
      <c r="A297" s="12">
        <f t="shared" si="5"/>
        <v>293</v>
      </c>
      <c r="B297" s="19"/>
      <c r="C297" s="16"/>
      <c r="D297" s="16"/>
      <c r="E297" s="13" t="s">
        <v>2782</v>
      </c>
      <c r="F297" s="13"/>
      <c r="G297" s="13"/>
      <c r="H297" s="13"/>
      <c r="I297" s="13"/>
      <c r="J297" s="14"/>
      <c r="K297" s="11" t="s">
        <v>10</v>
      </c>
      <c r="L297" s="11"/>
      <c r="M297" s="11" t="s">
        <v>10</v>
      </c>
      <c r="N297" s="3"/>
    </row>
    <row r="298" spans="1:14" x14ac:dyDescent="0.4">
      <c r="A298" s="12">
        <f t="shared" si="5"/>
        <v>294</v>
      </c>
      <c r="B298" s="19"/>
      <c r="C298" s="16"/>
      <c r="D298" s="16"/>
      <c r="E298" s="13" t="s">
        <v>1733</v>
      </c>
      <c r="F298" s="13"/>
      <c r="G298" s="13"/>
      <c r="H298" s="13"/>
      <c r="I298" s="13"/>
      <c r="J298" s="14"/>
      <c r="K298" s="11" t="s">
        <v>10</v>
      </c>
      <c r="L298" s="11"/>
      <c r="M298" s="11" t="s">
        <v>10</v>
      </c>
      <c r="N298" s="3"/>
    </row>
    <row r="299" spans="1:14" x14ac:dyDescent="0.4">
      <c r="A299" s="12">
        <f t="shared" si="5"/>
        <v>295</v>
      </c>
      <c r="B299" s="19"/>
      <c r="C299" s="16"/>
      <c r="D299" s="16"/>
      <c r="E299" s="13" t="s">
        <v>2783</v>
      </c>
      <c r="F299" s="13"/>
      <c r="G299" s="13"/>
      <c r="H299" s="13"/>
      <c r="I299" s="13"/>
      <c r="J299" s="14"/>
      <c r="K299" s="11" t="s">
        <v>10</v>
      </c>
      <c r="L299" s="11"/>
      <c r="M299" s="11" t="s">
        <v>10</v>
      </c>
      <c r="N299" s="3"/>
    </row>
    <row r="300" spans="1:14" x14ac:dyDescent="0.4">
      <c r="A300" s="12">
        <f t="shared" si="5"/>
        <v>296</v>
      </c>
      <c r="B300" s="19"/>
      <c r="C300" s="16"/>
      <c r="D300" s="16"/>
      <c r="E300" s="13" t="s">
        <v>1734</v>
      </c>
      <c r="F300" s="13"/>
      <c r="G300" s="13"/>
      <c r="H300" s="13"/>
      <c r="I300" s="13"/>
      <c r="J300" s="14"/>
      <c r="K300" s="11" t="s">
        <v>10</v>
      </c>
      <c r="L300" s="11"/>
      <c r="M300" s="11" t="s">
        <v>10</v>
      </c>
      <c r="N300" s="3"/>
    </row>
    <row r="301" spans="1:14" x14ac:dyDescent="0.4">
      <c r="A301" s="12">
        <f t="shared" si="5"/>
        <v>297</v>
      </c>
      <c r="B301" s="19"/>
      <c r="C301" s="16"/>
      <c r="D301" s="16"/>
      <c r="E301" s="13" t="s">
        <v>1883</v>
      </c>
      <c r="F301" s="13"/>
      <c r="G301" s="13"/>
      <c r="H301" s="13"/>
      <c r="I301" s="13"/>
      <c r="J301" s="14"/>
      <c r="K301" s="11" t="s">
        <v>10</v>
      </c>
      <c r="L301" s="11"/>
      <c r="M301" s="11" t="s">
        <v>10</v>
      </c>
      <c r="N301" s="3"/>
    </row>
    <row r="302" spans="1:14" x14ac:dyDescent="0.4">
      <c r="A302" s="12">
        <f t="shared" si="5"/>
        <v>298</v>
      </c>
      <c r="B302" s="19"/>
      <c r="C302" s="16"/>
      <c r="D302" s="17"/>
      <c r="E302" s="13" t="s">
        <v>2784</v>
      </c>
      <c r="F302" s="13"/>
      <c r="G302" s="13"/>
      <c r="H302" s="13"/>
      <c r="I302" s="13"/>
      <c r="J302" s="14"/>
      <c r="K302" s="11" t="s">
        <v>10</v>
      </c>
      <c r="L302" s="11"/>
      <c r="M302" s="11" t="s">
        <v>10</v>
      </c>
      <c r="N302" s="3"/>
    </row>
    <row r="303" spans="1:14" x14ac:dyDescent="0.4">
      <c r="A303" s="12">
        <f t="shared" si="5"/>
        <v>299</v>
      </c>
      <c r="B303" s="19"/>
      <c r="C303" s="16"/>
      <c r="D303" s="27" t="s">
        <v>2787</v>
      </c>
      <c r="E303" s="9"/>
      <c r="F303" s="9"/>
      <c r="G303" s="9"/>
      <c r="H303" s="9"/>
      <c r="I303" s="9"/>
      <c r="J303" s="10"/>
      <c r="K303" s="8"/>
      <c r="L303" s="8"/>
      <c r="M303" s="8"/>
      <c r="N303" s="8"/>
    </row>
    <row r="304" spans="1:14" x14ac:dyDescent="0.4">
      <c r="A304" s="12">
        <f t="shared" si="5"/>
        <v>300</v>
      </c>
      <c r="B304" s="19"/>
      <c r="C304" s="16"/>
      <c r="D304" s="16"/>
      <c r="E304" s="13" t="s">
        <v>2788</v>
      </c>
      <c r="F304" s="13"/>
      <c r="G304" s="13"/>
      <c r="H304" s="13"/>
      <c r="I304" s="13"/>
      <c r="J304" s="14"/>
      <c r="K304" s="11" t="s">
        <v>9</v>
      </c>
      <c r="L304" s="11"/>
      <c r="M304" s="11" t="s">
        <v>9</v>
      </c>
      <c r="N304" s="3"/>
    </row>
    <row r="305" spans="1:14" x14ac:dyDescent="0.4">
      <c r="A305" s="12">
        <f t="shared" si="5"/>
        <v>301</v>
      </c>
      <c r="B305" s="19"/>
      <c r="C305" s="16"/>
      <c r="D305" s="17"/>
      <c r="E305" s="13" t="s">
        <v>2789</v>
      </c>
      <c r="F305" s="13"/>
      <c r="G305" s="13"/>
      <c r="H305" s="13"/>
      <c r="I305" s="13"/>
      <c r="J305" s="14"/>
      <c r="K305" s="11" t="s">
        <v>10</v>
      </c>
      <c r="L305" s="11"/>
      <c r="M305" s="11" t="s">
        <v>10</v>
      </c>
      <c r="N305" s="3"/>
    </row>
    <row r="306" spans="1:14" x14ac:dyDescent="0.4">
      <c r="A306" s="12">
        <f t="shared" si="5"/>
        <v>302</v>
      </c>
      <c r="B306" s="19"/>
      <c r="C306" s="16"/>
      <c r="D306" s="27" t="s">
        <v>2790</v>
      </c>
      <c r="E306" s="9"/>
      <c r="F306" s="9"/>
      <c r="G306" s="9"/>
      <c r="H306" s="9"/>
      <c r="I306" s="9"/>
      <c r="J306" s="10"/>
      <c r="K306" s="8"/>
      <c r="L306" s="8"/>
      <c r="M306" s="8"/>
      <c r="N306" s="8"/>
    </row>
    <row r="307" spans="1:14" x14ac:dyDescent="0.4">
      <c r="A307" s="12">
        <f t="shared" si="5"/>
        <v>303</v>
      </c>
      <c r="B307" s="19"/>
      <c r="C307" s="16"/>
      <c r="D307" s="16"/>
      <c r="E307" s="13" t="s">
        <v>2791</v>
      </c>
      <c r="F307" s="13"/>
      <c r="G307" s="13"/>
      <c r="H307" s="13"/>
      <c r="I307" s="13"/>
      <c r="J307" s="14"/>
      <c r="K307" s="11" t="s">
        <v>9</v>
      </c>
      <c r="L307" s="11"/>
      <c r="M307" s="11" t="s">
        <v>9</v>
      </c>
      <c r="N307" s="3"/>
    </row>
    <row r="308" spans="1:14" x14ac:dyDescent="0.4">
      <c r="A308" s="12">
        <f t="shared" si="5"/>
        <v>304</v>
      </c>
      <c r="B308" s="19"/>
      <c r="C308" s="16"/>
      <c r="D308" s="17"/>
      <c r="E308" s="13" t="s">
        <v>2792</v>
      </c>
      <c r="F308" s="13"/>
      <c r="G308" s="13"/>
      <c r="H308" s="13"/>
      <c r="I308" s="13"/>
      <c r="J308" s="14"/>
      <c r="K308" s="11" t="s">
        <v>10</v>
      </c>
      <c r="L308" s="11"/>
      <c r="M308" s="11" t="s">
        <v>10</v>
      </c>
      <c r="N308" s="3"/>
    </row>
    <row r="309" spans="1:14" x14ac:dyDescent="0.4">
      <c r="A309" s="12">
        <f t="shared" si="5"/>
        <v>305</v>
      </c>
      <c r="B309" s="19"/>
      <c r="C309" s="16"/>
      <c r="D309" s="27" t="s">
        <v>2793</v>
      </c>
      <c r="E309" s="9"/>
      <c r="F309" s="9"/>
      <c r="G309" s="9"/>
      <c r="H309" s="9"/>
      <c r="I309" s="9"/>
      <c r="J309" s="10"/>
      <c r="K309" s="8"/>
      <c r="L309" s="8"/>
      <c r="M309" s="8"/>
      <c r="N309" s="8"/>
    </row>
    <row r="310" spans="1:14" x14ac:dyDescent="0.4">
      <c r="A310" s="12">
        <f t="shared" si="5"/>
        <v>306</v>
      </c>
      <c r="B310" s="19"/>
      <c r="C310" s="16"/>
      <c r="D310" s="16"/>
      <c r="E310" s="26" t="s">
        <v>2794</v>
      </c>
      <c r="F310" s="13"/>
      <c r="G310" s="13"/>
      <c r="H310" s="13"/>
      <c r="I310" s="13"/>
      <c r="J310" s="14"/>
      <c r="K310" s="11" t="s">
        <v>20</v>
      </c>
      <c r="L310" s="11"/>
      <c r="M310" s="11" t="s">
        <v>20</v>
      </c>
      <c r="N310" s="3"/>
    </row>
    <row r="311" spans="1:14" x14ac:dyDescent="0.4">
      <c r="A311" s="12">
        <f t="shared" si="5"/>
        <v>307</v>
      </c>
      <c r="B311" s="19"/>
      <c r="C311" s="16"/>
      <c r="D311" s="16"/>
      <c r="E311" s="32"/>
      <c r="F311" s="13" t="s">
        <v>2795</v>
      </c>
      <c r="G311" s="13"/>
      <c r="H311" s="13"/>
      <c r="I311" s="13"/>
      <c r="J311" s="14"/>
      <c r="K311" s="11" t="s">
        <v>20</v>
      </c>
      <c r="L311" s="11"/>
      <c r="M311" s="11" t="s">
        <v>20</v>
      </c>
      <c r="N311" s="3"/>
    </row>
    <row r="312" spans="1:14" x14ac:dyDescent="0.4">
      <c r="A312" s="12">
        <f t="shared" si="5"/>
        <v>308</v>
      </c>
      <c r="B312" s="19"/>
      <c r="C312" s="16"/>
      <c r="D312" s="16"/>
      <c r="E312" s="32"/>
      <c r="F312" s="27" t="s">
        <v>2796</v>
      </c>
      <c r="G312" s="9"/>
      <c r="H312" s="9"/>
      <c r="I312" s="9"/>
      <c r="J312" s="10"/>
      <c r="K312" s="8"/>
      <c r="L312" s="8"/>
      <c r="M312" s="8"/>
      <c r="N312" s="8"/>
    </row>
    <row r="313" spans="1:14" x14ac:dyDescent="0.4">
      <c r="A313" s="12">
        <f t="shared" si="5"/>
        <v>309</v>
      </c>
      <c r="B313" s="19"/>
      <c r="C313" s="16"/>
      <c r="D313" s="16"/>
      <c r="E313" s="32"/>
      <c r="F313" s="28"/>
      <c r="G313" s="13" t="s">
        <v>2797</v>
      </c>
      <c r="H313" s="13"/>
      <c r="I313" s="13"/>
      <c r="J313" s="14"/>
      <c r="K313" s="11" t="s">
        <v>10</v>
      </c>
      <c r="L313" s="11"/>
      <c r="M313" s="11" t="s">
        <v>10</v>
      </c>
      <c r="N313" s="3"/>
    </row>
    <row r="314" spans="1:14" x14ac:dyDescent="0.4">
      <c r="A314" s="12">
        <f t="shared" si="5"/>
        <v>310</v>
      </c>
      <c r="B314" s="19"/>
      <c r="C314" s="16"/>
      <c r="D314" s="17"/>
      <c r="E314" s="37"/>
      <c r="F314" s="29"/>
      <c r="G314" s="13" t="s">
        <v>2798</v>
      </c>
      <c r="H314" s="13"/>
      <c r="I314" s="13"/>
      <c r="J314" s="14"/>
      <c r="K314" s="11" t="s">
        <v>9</v>
      </c>
      <c r="L314" s="11"/>
      <c r="M314" s="11" t="s">
        <v>9</v>
      </c>
      <c r="N314" s="3"/>
    </row>
    <row r="315" spans="1:14" x14ac:dyDescent="0.4">
      <c r="A315" s="12">
        <f t="shared" si="5"/>
        <v>311</v>
      </c>
      <c r="B315" s="19"/>
      <c r="C315" s="16"/>
      <c r="D315" s="27" t="s">
        <v>2799</v>
      </c>
      <c r="E315" s="9"/>
      <c r="F315" s="9"/>
      <c r="G315" s="9"/>
      <c r="H315" s="9"/>
      <c r="I315" s="9"/>
      <c r="J315" s="10"/>
      <c r="K315" s="8"/>
      <c r="L315" s="8"/>
      <c r="M315" s="8"/>
      <c r="N315" s="8"/>
    </row>
    <row r="316" spans="1:14" x14ac:dyDescent="0.4">
      <c r="A316" s="12">
        <f t="shared" ref="A316:A379" si="6">A315+1</f>
        <v>312</v>
      </c>
      <c r="B316" s="19"/>
      <c r="C316" s="16"/>
      <c r="D316" s="16"/>
      <c r="E316" s="27" t="s">
        <v>2800</v>
      </c>
      <c r="F316" s="9"/>
      <c r="G316" s="9"/>
      <c r="H316" s="9"/>
      <c r="I316" s="9"/>
      <c r="J316" s="10"/>
      <c r="K316" s="8"/>
      <c r="L316" s="8"/>
      <c r="M316" s="8"/>
      <c r="N316" s="8"/>
    </row>
    <row r="317" spans="1:14" x14ac:dyDescent="0.4">
      <c r="A317" s="12">
        <f t="shared" si="6"/>
        <v>313</v>
      </c>
      <c r="B317" s="19"/>
      <c r="C317" s="16"/>
      <c r="D317" s="16"/>
      <c r="E317" s="29"/>
      <c r="F317" s="13" t="s">
        <v>2763</v>
      </c>
      <c r="G317" s="13"/>
      <c r="H317" s="13"/>
      <c r="I317" s="13"/>
      <c r="J317" s="14"/>
      <c r="K317" s="11" t="s">
        <v>1240</v>
      </c>
      <c r="L317" s="11"/>
      <c r="M317" s="11" t="s">
        <v>1240</v>
      </c>
      <c r="N317" s="3"/>
    </row>
    <row r="318" spans="1:14" x14ac:dyDescent="0.4">
      <c r="A318" s="12">
        <f t="shared" si="6"/>
        <v>314</v>
      </c>
      <c r="B318" s="19"/>
      <c r="C318" s="16"/>
      <c r="D318" s="16"/>
      <c r="E318" s="27" t="s">
        <v>2801</v>
      </c>
      <c r="F318" s="9"/>
      <c r="G318" s="9"/>
      <c r="H318" s="9"/>
      <c r="I318" s="9"/>
      <c r="J318" s="10"/>
      <c r="K318" s="8"/>
      <c r="L318" s="8"/>
      <c r="M318" s="8"/>
      <c r="N318" s="8"/>
    </row>
    <row r="319" spans="1:14" x14ac:dyDescent="0.4">
      <c r="A319" s="12">
        <f t="shared" si="6"/>
        <v>315</v>
      </c>
      <c r="B319" s="19"/>
      <c r="C319" s="16"/>
      <c r="D319" s="16"/>
      <c r="E319" s="16"/>
      <c r="F319" s="13" t="s">
        <v>2766</v>
      </c>
      <c r="G319" s="13"/>
      <c r="H319" s="13"/>
      <c r="I319" s="13"/>
      <c r="J319" s="14"/>
      <c r="K319" s="11" t="s">
        <v>9</v>
      </c>
      <c r="L319" s="11"/>
      <c r="M319" s="11" t="s">
        <v>9</v>
      </c>
      <c r="N319" s="3"/>
    </row>
    <row r="320" spans="1:14" x14ac:dyDescent="0.4">
      <c r="A320" s="12">
        <f t="shared" si="6"/>
        <v>316</v>
      </c>
      <c r="B320" s="19"/>
      <c r="C320" s="16"/>
      <c r="D320" s="16"/>
      <c r="E320" s="16"/>
      <c r="F320" s="26" t="s">
        <v>2767</v>
      </c>
      <c r="G320" s="13"/>
      <c r="H320" s="13"/>
      <c r="I320" s="13"/>
      <c r="J320" s="14"/>
      <c r="K320" s="11" t="s">
        <v>10</v>
      </c>
      <c r="L320" s="11"/>
      <c r="M320" s="11" t="s">
        <v>10</v>
      </c>
      <c r="N320" s="3"/>
    </row>
    <row r="321" spans="1:14" x14ac:dyDescent="0.4">
      <c r="A321" s="12">
        <f t="shared" si="6"/>
        <v>317</v>
      </c>
      <c r="B321" s="19"/>
      <c r="C321" s="16"/>
      <c r="D321" s="16"/>
      <c r="E321" s="16"/>
      <c r="F321" s="19"/>
      <c r="G321" s="13" t="s">
        <v>1611</v>
      </c>
      <c r="H321" s="13"/>
      <c r="I321" s="13"/>
      <c r="J321" s="14"/>
      <c r="K321" s="11" t="s">
        <v>1240</v>
      </c>
      <c r="L321" s="11"/>
      <c r="M321" s="11" t="s">
        <v>1240</v>
      </c>
      <c r="N321" s="3"/>
    </row>
    <row r="322" spans="1:14" x14ac:dyDescent="0.4">
      <c r="A322" s="12">
        <f t="shared" si="6"/>
        <v>318</v>
      </c>
      <c r="B322" s="19"/>
      <c r="C322" s="16"/>
      <c r="D322" s="16"/>
      <c r="E322" s="17"/>
      <c r="F322" s="20"/>
      <c r="G322" s="13" t="s">
        <v>815</v>
      </c>
      <c r="H322" s="13"/>
      <c r="I322" s="13"/>
      <c r="J322" s="14"/>
      <c r="K322" s="11" t="s">
        <v>1240</v>
      </c>
      <c r="L322" s="11"/>
      <c r="M322" s="11" t="s">
        <v>1240</v>
      </c>
      <c r="N322" s="3"/>
    </row>
    <row r="323" spans="1:14" x14ac:dyDescent="0.4">
      <c r="A323" s="12">
        <f t="shared" si="6"/>
        <v>319</v>
      </c>
      <c r="B323" s="19"/>
      <c r="C323" s="16"/>
      <c r="D323" s="17"/>
      <c r="E323" s="13" t="s">
        <v>2802</v>
      </c>
      <c r="F323" s="13"/>
      <c r="G323" s="13"/>
      <c r="H323" s="13"/>
      <c r="I323" s="13"/>
      <c r="J323" s="14"/>
      <c r="K323" s="11" t="s">
        <v>36</v>
      </c>
      <c r="L323" s="11"/>
      <c r="M323" s="11" t="s">
        <v>36</v>
      </c>
      <c r="N323" s="3"/>
    </row>
    <row r="324" spans="1:14" x14ac:dyDescent="0.4">
      <c r="A324" s="12">
        <f t="shared" si="6"/>
        <v>320</v>
      </c>
      <c r="B324" s="19"/>
      <c r="C324" s="16"/>
      <c r="D324" s="27" t="s">
        <v>2803</v>
      </c>
      <c r="E324" s="9"/>
      <c r="F324" s="9"/>
      <c r="G324" s="9"/>
      <c r="H324" s="9"/>
      <c r="I324" s="9"/>
      <c r="J324" s="10"/>
      <c r="K324" s="8"/>
      <c r="L324" s="8"/>
      <c r="M324" s="8"/>
      <c r="N324" s="8"/>
    </row>
    <row r="325" spans="1:14" x14ac:dyDescent="0.4">
      <c r="A325" s="12">
        <f t="shared" si="6"/>
        <v>321</v>
      </c>
      <c r="B325" s="19"/>
      <c r="C325" s="16"/>
      <c r="D325" s="16"/>
      <c r="E325" s="27" t="s">
        <v>2804</v>
      </c>
      <c r="F325" s="9"/>
      <c r="G325" s="9"/>
      <c r="H325" s="9"/>
      <c r="I325" s="9"/>
      <c r="J325" s="10"/>
      <c r="K325" s="8"/>
      <c r="L325" s="8"/>
      <c r="M325" s="8"/>
      <c r="N325" s="8"/>
    </row>
    <row r="326" spans="1:14" x14ac:dyDescent="0.4">
      <c r="A326" s="12">
        <f t="shared" si="6"/>
        <v>322</v>
      </c>
      <c r="B326" s="19"/>
      <c r="C326" s="16"/>
      <c r="D326" s="16"/>
      <c r="E326" s="16"/>
      <c r="F326" s="13" t="s">
        <v>2805</v>
      </c>
      <c r="G326" s="13"/>
      <c r="H326" s="13"/>
      <c r="I326" s="13"/>
      <c r="J326" s="14"/>
      <c r="K326" s="11" t="s">
        <v>10</v>
      </c>
      <c r="L326" s="11"/>
      <c r="M326" s="11" t="s">
        <v>10</v>
      </c>
      <c r="N326" s="3"/>
    </row>
    <row r="327" spans="1:14" x14ac:dyDescent="0.4">
      <c r="A327" s="12">
        <f t="shared" si="6"/>
        <v>323</v>
      </c>
      <c r="B327" s="19"/>
      <c r="C327" s="16"/>
      <c r="D327" s="16"/>
      <c r="E327" s="16"/>
      <c r="F327" s="13" t="s">
        <v>2806</v>
      </c>
      <c r="G327" s="13"/>
      <c r="H327" s="13"/>
      <c r="I327" s="13"/>
      <c r="J327" s="14"/>
      <c r="K327" s="11" t="s">
        <v>10</v>
      </c>
      <c r="L327" s="11"/>
      <c r="M327" s="11" t="s">
        <v>10</v>
      </c>
      <c r="N327" s="3"/>
    </row>
    <row r="328" spans="1:14" x14ac:dyDescent="0.4">
      <c r="A328" s="12">
        <f t="shared" si="6"/>
        <v>324</v>
      </c>
      <c r="B328" s="19"/>
      <c r="C328" s="16"/>
      <c r="D328" s="16"/>
      <c r="E328" s="17"/>
      <c r="F328" s="13" t="s">
        <v>2807</v>
      </c>
      <c r="G328" s="13"/>
      <c r="H328" s="13"/>
      <c r="I328" s="13"/>
      <c r="J328" s="14"/>
      <c r="K328" s="11" t="s">
        <v>9</v>
      </c>
      <c r="L328" s="11"/>
      <c r="M328" s="11" t="s">
        <v>9</v>
      </c>
      <c r="N328" s="3"/>
    </row>
    <row r="329" spans="1:14" x14ac:dyDescent="0.4">
      <c r="A329" s="12">
        <f t="shared" si="6"/>
        <v>325</v>
      </c>
      <c r="B329" s="19"/>
      <c r="C329" s="16"/>
      <c r="D329" s="16"/>
      <c r="E329" s="26" t="s">
        <v>2808</v>
      </c>
      <c r="F329" s="13"/>
      <c r="G329" s="13"/>
      <c r="H329" s="13"/>
      <c r="I329" s="13"/>
      <c r="J329" s="14"/>
      <c r="K329" s="11" t="s">
        <v>36</v>
      </c>
      <c r="L329" s="11"/>
      <c r="M329" s="11" t="s">
        <v>36</v>
      </c>
      <c r="N329" s="3"/>
    </row>
    <row r="330" spans="1:14" x14ac:dyDescent="0.4">
      <c r="A330" s="12">
        <f t="shared" si="6"/>
        <v>326</v>
      </c>
      <c r="B330" s="19"/>
      <c r="C330" s="16"/>
      <c r="D330" s="16"/>
      <c r="E330" s="20"/>
      <c r="F330" s="13" t="s">
        <v>2809</v>
      </c>
      <c r="G330" s="13"/>
      <c r="H330" s="13"/>
      <c r="I330" s="13"/>
      <c r="J330" s="14"/>
      <c r="K330" s="11" t="s">
        <v>1240</v>
      </c>
      <c r="L330" s="11"/>
      <c r="M330" s="11" t="s">
        <v>1240</v>
      </c>
      <c r="N330" s="3"/>
    </row>
    <row r="331" spans="1:14" x14ac:dyDescent="0.4">
      <c r="A331" s="12">
        <f t="shared" si="6"/>
        <v>327</v>
      </c>
      <c r="B331" s="19"/>
      <c r="C331" s="16"/>
      <c r="D331" s="16"/>
      <c r="E331" s="27" t="s">
        <v>2810</v>
      </c>
      <c r="F331" s="9"/>
      <c r="G331" s="9"/>
      <c r="H331" s="9"/>
      <c r="I331" s="9"/>
      <c r="J331" s="10"/>
      <c r="K331" s="8"/>
      <c r="L331" s="8"/>
      <c r="M331" s="8"/>
      <c r="N331" s="8"/>
    </row>
    <row r="332" spans="1:14" x14ac:dyDescent="0.4">
      <c r="A332" s="12">
        <f t="shared" si="6"/>
        <v>328</v>
      </c>
      <c r="B332" s="19"/>
      <c r="C332" s="16"/>
      <c r="D332" s="16"/>
      <c r="E332" s="16"/>
      <c r="F332" s="13" t="s">
        <v>1696</v>
      </c>
      <c r="G332" s="13"/>
      <c r="H332" s="13"/>
      <c r="I332" s="13"/>
      <c r="J332" s="14"/>
      <c r="K332" s="11" t="s">
        <v>9</v>
      </c>
      <c r="L332" s="11"/>
      <c r="M332" s="11" t="s">
        <v>9</v>
      </c>
      <c r="N332" s="3"/>
    </row>
    <row r="333" spans="1:14" x14ac:dyDescent="0.4">
      <c r="A333" s="12">
        <f t="shared" si="6"/>
        <v>329</v>
      </c>
      <c r="B333" s="19"/>
      <c r="C333" s="16"/>
      <c r="D333" s="16"/>
      <c r="E333" s="16"/>
      <c r="F333" s="13" t="s">
        <v>2811</v>
      </c>
      <c r="G333" s="13"/>
      <c r="H333" s="13"/>
      <c r="I333" s="13"/>
      <c r="J333" s="14"/>
      <c r="K333" s="11" t="s">
        <v>10</v>
      </c>
      <c r="L333" s="11"/>
      <c r="M333" s="11" t="s">
        <v>10</v>
      </c>
      <c r="N333" s="3"/>
    </row>
    <row r="334" spans="1:14" x14ac:dyDescent="0.4">
      <c r="A334" s="12">
        <f t="shared" si="6"/>
        <v>330</v>
      </c>
      <c r="B334" s="19"/>
      <c r="C334" s="16"/>
      <c r="D334" s="16"/>
      <c r="E334" s="16"/>
      <c r="F334" s="26" t="s">
        <v>2812</v>
      </c>
      <c r="G334" s="13"/>
      <c r="H334" s="13"/>
      <c r="I334" s="13"/>
      <c r="J334" s="14"/>
      <c r="K334" s="11" t="s">
        <v>10</v>
      </c>
      <c r="L334" s="11"/>
      <c r="M334" s="11" t="s">
        <v>10</v>
      </c>
      <c r="N334" s="3"/>
    </row>
    <row r="335" spans="1:14" x14ac:dyDescent="0.4">
      <c r="A335" s="12">
        <f t="shared" si="6"/>
        <v>331</v>
      </c>
      <c r="B335" s="19"/>
      <c r="C335" s="16"/>
      <c r="D335" s="16"/>
      <c r="E335" s="17"/>
      <c r="F335" s="20"/>
      <c r="G335" s="13" t="s">
        <v>2809</v>
      </c>
      <c r="H335" s="13"/>
      <c r="I335" s="13"/>
      <c r="J335" s="14"/>
      <c r="K335" s="58" t="s">
        <v>1239</v>
      </c>
      <c r="L335" s="59"/>
      <c r="M335" s="59" t="s">
        <v>1239</v>
      </c>
      <c r="N335" s="3"/>
    </row>
    <row r="336" spans="1:14" x14ac:dyDescent="0.4">
      <c r="A336" s="12">
        <f t="shared" si="6"/>
        <v>332</v>
      </c>
      <c r="B336" s="19"/>
      <c r="C336" s="16"/>
      <c r="D336" s="16"/>
      <c r="E336" s="26" t="s">
        <v>2813</v>
      </c>
      <c r="F336" s="13"/>
      <c r="G336" s="13"/>
      <c r="H336" s="13"/>
      <c r="I336" s="13"/>
      <c r="J336" s="14"/>
      <c r="K336" s="11" t="s">
        <v>36</v>
      </c>
      <c r="L336" s="11"/>
      <c r="M336" s="11" t="s">
        <v>36</v>
      </c>
      <c r="N336" s="3"/>
    </row>
    <row r="337" spans="1:14" x14ac:dyDescent="0.4">
      <c r="A337" s="12">
        <f t="shared" si="6"/>
        <v>333</v>
      </c>
      <c r="B337" s="19"/>
      <c r="C337" s="16"/>
      <c r="D337" s="16"/>
      <c r="E337" s="19"/>
      <c r="F337" s="27" t="s">
        <v>2814</v>
      </c>
      <c r="G337" s="9"/>
      <c r="H337" s="9"/>
      <c r="I337" s="9"/>
      <c r="J337" s="10"/>
      <c r="K337" s="8"/>
      <c r="L337" s="8"/>
      <c r="M337" s="8"/>
      <c r="N337" s="8"/>
    </row>
    <row r="338" spans="1:14" x14ac:dyDescent="0.4">
      <c r="A338" s="12">
        <f t="shared" si="6"/>
        <v>334</v>
      </c>
      <c r="B338" s="19"/>
      <c r="C338" s="16"/>
      <c r="D338" s="16"/>
      <c r="E338" s="19"/>
      <c r="F338" s="16"/>
      <c r="G338" s="26" t="s">
        <v>2815</v>
      </c>
      <c r="H338" s="13"/>
      <c r="I338" s="13"/>
      <c r="J338" s="14"/>
      <c r="K338" s="11" t="s">
        <v>36</v>
      </c>
      <c r="L338" s="11"/>
      <c r="M338" s="11" t="s">
        <v>36</v>
      </c>
      <c r="N338" s="3"/>
    </row>
    <row r="339" spans="1:14" x14ac:dyDescent="0.4">
      <c r="A339" s="12">
        <f t="shared" si="6"/>
        <v>335</v>
      </c>
      <c r="B339" s="19"/>
      <c r="C339" s="16"/>
      <c r="D339" s="16"/>
      <c r="E339" s="19"/>
      <c r="F339" s="16"/>
      <c r="G339" s="20"/>
      <c r="H339" s="13" t="s">
        <v>2817</v>
      </c>
      <c r="I339" s="13"/>
      <c r="J339" s="14"/>
      <c r="K339" s="58" t="s">
        <v>1239</v>
      </c>
      <c r="L339" s="59"/>
      <c r="M339" s="59" t="s">
        <v>1239</v>
      </c>
      <c r="N339" s="3"/>
    </row>
    <row r="340" spans="1:14" x14ac:dyDescent="0.4">
      <c r="A340" s="12">
        <f t="shared" si="6"/>
        <v>336</v>
      </c>
      <c r="B340" s="19"/>
      <c r="C340" s="16"/>
      <c r="D340" s="16"/>
      <c r="E340" s="19"/>
      <c r="F340" s="16"/>
      <c r="G340" s="26" t="s">
        <v>2816</v>
      </c>
      <c r="H340" s="13"/>
      <c r="I340" s="13"/>
      <c r="J340" s="14"/>
      <c r="K340" s="11" t="s">
        <v>36</v>
      </c>
      <c r="L340" s="11"/>
      <c r="M340" s="11" t="s">
        <v>36</v>
      </c>
      <c r="N340" s="3"/>
    </row>
    <row r="341" spans="1:14" x14ac:dyDescent="0.4">
      <c r="A341" s="12">
        <f t="shared" si="6"/>
        <v>337</v>
      </c>
      <c r="B341" s="19"/>
      <c r="C341" s="16"/>
      <c r="D341" s="16"/>
      <c r="E341" s="19"/>
      <c r="F341" s="16"/>
      <c r="G341" s="19"/>
      <c r="H341" s="13" t="s">
        <v>2818</v>
      </c>
      <c r="I341" s="13"/>
      <c r="J341" s="14"/>
      <c r="K341" s="58" t="s">
        <v>1239</v>
      </c>
      <c r="L341" s="59"/>
      <c r="M341" s="59" t="s">
        <v>1239</v>
      </c>
      <c r="N341" s="3"/>
    </row>
    <row r="342" spans="1:14" x14ac:dyDescent="0.4">
      <c r="A342" s="12">
        <f t="shared" si="6"/>
        <v>338</v>
      </c>
      <c r="B342" s="19"/>
      <c r="C342" s="16"/>
      <c r="D342" s="16"/>
      <c r="E342" s="20"/>
      <c r="F342" s="17"/>
      <c r="G342" s="20"/>
      <c r="H342" s="13" t="s">
        <v>2819</v>
      </c>
      <c r="I342" s="13"/>
      <c r="J342" s="14"/>
      <c r="K342" s="58" t="s">
        <v>1239</v>
      </c>
      <c r="L342" s="59"/>
      <c r="M342" s="59" t="s">
        <v>1239</v>
      </c>
      <c r="N342" s="3"/>
    </row>
    <row r="343" spans="1:14" x14ac:dyDescent="0.4">
      <c r="A343" s="12">
        <f t="shared" si="6"/>
        <v>339</v>
      </c>
      <c r="B343" s="19"/>
      <c r="C343" s="16"/>
      <c r="D343" s="16"/>
      <c r="E343" s="18" t="s">
        <v>2820</v>
      </c>
      <c r="F343" s="13"/>
      <c r="G343" s="13"/>
      <c r="H343" s="13"/>
      <c r="I343" s="13"/>
      <c r="J343" s="14"/>
      <c r="K343" s="11" t="s">
        <v>36</v>
      </c>
      <c r="L343" s="11"/>
      <c r="M343" s="11" t="s">
        <v>36</v>
      </c>
      <c r="N343" s="3"/>
    </row>
    <row r="344" spans="1:14" x14ac:dyDescent="0.4">
      <c r="A344" s="12">
        <f t="shared" si="6"/>
        <v>340</v>
      </c>
      <c r="B344" s="19"/>
      <c r="C344" s="16"/>
      <c r="D344" s="16"/>
      <c r="E344" s="19"/>
      <c r="F344" s="15" t="s">
        <v>2821</v>
      </c>
      <c r="G344" s="9"/>
      <c r="H344" s="9"/>
      <c r="I344" s="9"/>
      <c r="J344" s="10"/>
      <c r="K344" s="8"/>
      <c r="L344" s="8"/>
      <c r="M344" s="8"/>
      <c r="N344" s="8"/>
    </row>
    <row r="345" spans="1:14" x14ac:dyDescent="0.4">
      <c r="A345" s="12">
        <f t="shared" si="6"/>
        <v>341</v>
      </c>
      <c r="B345" s="19"/>
      <c r="C345" s="16"/>
      <c r="D345" s="16"/>
      <c r="E345" s="19"/>
      <c r="F345" s="16"/>
      <c r="G345" s="18" t="s">
        <v>2822</v>
      </c>
      <c r="H345" s="13"/>
      <c r="I345" s="13"/>
      <c r="J345" s="14"/>
      <c r="K345" s="3"/>
      <c r="L345" s="3"/>
      <c r="M345" s="3"/>
      <c r="N345" s="3"/>
    </row>
    <row r="346" spans="1:14" x14ac:dyDescent="0.4">
      <c r="A346" s="12">
        <f t="shared" si="6"/>
        <v>342</v>
      </c>
      <c r="B346" s="19"/>
      <c r="C346" s="16"/>
      <c r="D346" s="16"/>
      <c r="E346" s="19"/>
      <c r="F346" s="16"/>
      <c r="G346" s="19"/>
      <c r="H346" s="26" t="s">
        <v>2826</v>
      </c>
      <c r="I346" s="13"/>
      <c r="J346" s="14"/>
      <c r="K346" s="11" t="s">
        <v>9</v>
      </c>
      <c r="L346" s="11"/>
      <c r="M346" s="11" t="s">
        <v>9</v>
      </c>
      <c r="N346" s="3"/>
    </row>
    <row r="347" spans="1:14" x14ac:dyDescent="0.4">
      <c r="A347" s="12">
        <f t="shared" si="6"/>
        <v>343</v>
      </c>
      <c r="B347" s="19"/>
      <c r="C347" s="16"/>
      <c r="D347" s="16"/>
      <c r="E347" s="19"/>
      <c r="F347" s="16"/>
      <c r="G347" s="19"/>
      <c r="H347" s="19"/>
      <c r="I347" s="13" t="s">
        <v>2823</v>
      </c>
      <c r="J347" s="14"/>
      <c r="K347" s="58" t="s">
        <v>1239</v>
      </c>
      <c r="L347" s="59"/>
      <c r="M347" s="59" t="s">
        <v>1239</v>
      </c>
      <c r="N347" s="3"/>
    </row>
    <row r="348" spans="1:14" x14ac:dyDescent="0.4">
      <c r="A348" s="12">
        <f t="shared" si="6"/>
        <v>344</v>
      </c>
      <c r="B348" s="19"/>
      <c r="C348" s="16"/>
      <c r="D348" s="16"/>
      <c r="E348" s="19"/>
      <c r="F348" s="16"/>
      <c r="G348" s="19"/>
      <c r="H348" s="20"/>
      <c r="I348" s="13" t="s">
        <v>2824</v>
      </c>
      <c r="J348" s="14"/>
      <c r="K348" s="58" t="s">
        <v>1239</v>
      </c>
      <c r="L348" s="59"/>
      <c r="M348" s="59" t="s">
        <v>1239</v>
      </c>
      <c r="N348" s="3"/>
    </row>
    <row r="349" spans="1:14" x14ac:dyDescent="0.4">
      <c r="A349" s="12">
        <f t="shared" si="6"/>
        <v>345</v>
      </c>
      <c r="B349" s="19"/>
      <c r="C349" s="16"/>
      <c r="D349" s="16"/>
      <c r="E349" s="19"/>
      <c r="F349" s="16"/>
      <c r="G349" s="19"/>
      <c r="H349" s="26" t="s">
        <v>2825</v>
      </c>
      <c r="I349" s="13"/>
      <c r="J349" s="14"/>
      <c r="K349" s="11" t="s">
        <v>10</v>
      </c>
      <c r="L349" s="11"/>
      <c r="M349" s="11" t="s">
        <v>10</v>
      </c>
      <c r="N349" s="3"/>
    </row>
    <row r="350" spans="1:14" x14ac:dyDescent="0.4">
      <c r="A350" s="12">
        <f t="shared" si="6"/>
        <v>346</v>
      </c>
      <c r="B350" s="19"/>
      <c r="C350" s="16"/>
      <c r="D350" s="16"/>
      <c r="E350" s="19"/>
      <c r="F350" s="16"/>
      <c r="G350" s="19"/>
      <c r="H350" s="19"/>
      <c r="I350" s="13" t="s">
        <v>1726</v>
      </c>
      <c r="J350" s="14"/>
      <c r="K350" s="58" t="s">
        <v>1239</v>
      </c>
      <c r="L350" s="59"/>
      <c r="M350" s="59" t="s">
        <v>1239</v>
      </c>
      <c r="N350" s="3"/>
    </row>
    <row r="351" spans="1:14" x14ac:dyDescent="0.4">
      <c r="A351" s="12">
        <f t="shared" si="6"/>
        <v>347</v>
      </c>
      <c r="B351" s="19"/>
      <c r="C351" s="16"/>
      <c r="D351" s="16"/>
      <c r="E351" s="19"/>
      <c r="F351" s="16"/>
      <c r="G351" s="19"/>
      <c r="H351" s="19"/>
      <c r="I351" s="13" t="s">
        <v>2818</v>
      </c>
      <c r="J351" s="14"/>
      <c r="K351" s="58" t="s">
        <v>1239</v>
      </c>
      <c r="L351" s="59"/>
      <c r="M351" s="59" t="s">
        <v>1239</v>
      </c>
      <c r="N351" s="3"/>
    </row>
    <row r="352" spans="1:14" x14ac:dyDescent="0.4">
      <c r="A352" s="12">
        <f t="shared" si="6"/>
        <v>348</v>
      </c>
      <c r="B352" s="19"/>
      <c r="C352" s="16"/>
      <c r="D352" s="16"/>
      <c r="E352" s="20"/>
      <c r="F352" s="17"/>
      <c r="G352" s="20"/>
      <c r="H352" s="20"/>
      <c r="I352" s="13" t="s">
        <v>2827</v>
      </c>
      <c r="J352" s="14"/>
      <c r="K352" s="3">
        <v>1</v>
      </c>
      <c r="L352" s="3"/>
      <c r="M352" s="3">
        <v>1</v>
      </c>
      <c r="N352" s="3"/>
    </row>
    <row r="353" spans="1:14" x14ac:dyDescent="0.4">
      <c r="A353" s="12">
        <f t="shared" si="6"/>
        <v>349</v>
      </c>
      <c r="B353" s="18" t="s">
        <v>2838</v>
      </c>
      <c r="C353" s="13"/>
      <c r="D353" s="13"/>
      <c r="E353" s="13"/>
      <c r="F353" s="13"/>
      <c r="G353" s="13"/>
      <c r="H353" s="13"/>
      <c r="I353" s="13"/>
      <c r="J353" s="14"/>
      <c r="K353" s="11" t="s">
        <v>1240</v>
      </c>
      <c r="L353" s="11"/>
      <c r="M353" s="11" t="s">
        <v>1240</v>
      </c>
      <c r="N353" s="3"/>
    </row>
    <row r="354" spans="1:14" x14ac:dyDescent="0.4">
      <c r="A354" s="12">
        <f t="shared" si="6"/>
        <v>350</v>
      </c>
      <c r="B354" s="19"/>
      <c r="C354" s="27" t="s">
        <v>110</v>
      </c>
      <c r="D354" s="9"/>
      <c r="E354" s="9"/>
      <c r="F354" s="9"/>
      <c r="G354" s="9"/>
      <c r="H354" s="9"/>
      <c r="I354" s="9"/>
      <c r="J354" s="10"/>
      <c r="K354" s="8"/>
      <c r="L354" s="8"/>
      <c r="M354" s="8"/>
      <c r="N354" s="8"/>
    </row>
    <row r="355" spans="1:14" x14ac:dyDescent="0.4">
      <c r="A355" s="12">
        <f t="shared" si="6"/>
        <v>351</v>
      </c>
      <c r="B355" s="19"/>
      <c r="C355" s="16"/>
      <c r="D355" s="13" t="s">
        <v>2750</v>
      </c>
      <c r="E355" s="13"/>
      <c r="F355" s="13"/>
      <c r="G355" s="13"/>
      <c r="H355" s="13"/>
      <c r="I355" s="13"/>
      <c r="J355" s="14"/>
      <c r="K355" s="11" t="s">
        <v>1240</v>
      </c>
      <c r="L355" s="11"/>
      <c r="M355" s="11" t="s">
        <v>1240</v>
      </c>
      <c r="N355" s="3"/>
    </row>
    <row r="356" spans="1:14" x14ac:dyDescent="0.4">
      <c r="A356" s="12">
        <f t="shared" si="6"/>
        <v>352</v>
      </c>
      <c r="B356" s="19"/>
      <c r="C356" s="16"/>
      <c r="D356" s="13" t="s">
        <v>811</v>
      </c>
      <c r="E356" s="13"/>
      <c r="F356" s="13"/>
      <c r="G356" s="13"/>
      <c r="H356" s="13"/>
      <c r="I356" s="13"/>
      <c r="J356" s="14"/>
      <c r="K356" s="3" t="s">
        <v>2840</v>
      </c>
      <c r="L356" s="3"/>
      <c r="M356" s="3" t="s">
        <v>2839</v>
      </c>
      <c r="N356" s="3"/>
    </row>
    <row r="357" spans="1:14" x14ac:dyDescent="0.4">
      <c r="A357" s="12">
        <f t="shared" si="6"/>
        <v>353</v>
      </c>
      <c r="B357" s="19"/>
      <c r="C357" s="16"/>
      <c r="D357" s="13" t="s">
        <v>2754</v>
      </c>
      <c r="E357" s="13"/>
      <c r="F357" s="13"/>
      <c r="G357" s="13"/>
      <c r="H357" s="13"/>
      <c r="I357" s="13"/>
      <c r="J357" s="14"/>
      <c r="K357" s="11" t="s">
        <v>36</v>
      </c>
      <c r="L357" s="11"/>
      <c r="M357" s="11" t="s">
        <v>36</v>
      </c>
      <c r="N357" s="3"/>
    </row>
    <row r="358" spans="1:14" x14ac:dyDescent="0.4">
      <c r="A358" s="12">
        <f t="shared" si="6"/>
        <v>354</v>
      </c>
      <c r="B358" s="19"/>
      <c r="C358" s="16"/>
      <c r="D358" s="13" t="s">
        <v>2755</v>
      </c>
      <c r="E358" s="13"/>
      <c r="F358" s="13"/>
      <c r="G358" s="13"/>
      <c r="H358" s="13"/>
      <c r="I358" s="13"/>
      <c r="J358" s="14"/>
      <c r="K358" s="11" t="s">
        <v>36</v>
      </c>
      <c r="L358" s="11"/>
      <c r="M358" s="11" t="s">
        <v>36</v>
      </c>
      <c r="N358" s="3"/>
    </row>
    <row r="359" spans="1:14" x14ac:dyDescent="0.4">
      <c r="A359" s="12">
        <f t="shared" si="6"/>
        <v>355</v>
      </c>
      <c r="B359" s="19"/>
      <c r="C359" s="16"/>
      <c r="D359" s="13" t="s">
        <v>2756</v>
      </c>
      <c r="E359" s="13"/>
      <c r="F359" s="13"/>
      <c r="G359" s="13"/>
      <c r="H359" s="13"/>
      <c r="I359" s="13"/>
      <c r="J359" s="14"/>
      <c r="K359" s="11" t="s">
        <v>36</v>
      </c>
      <c r="L359" s="11"/>
      <c r="M359" s="11" t="s">
        <v>36</v>
      </c>
      <c r="N359" s="3"/>
    </row>
    <row r="360" spans="1:14" x14ac:dyDescent="0.4">
      <c r="A360" s="12">
        <f t="shared" si="6"/>
        <v>356</v>
      </c>
      <c r="B360" s="19"/>
      <c r="C360" s="16"/>
      <c r="D360" s="13" t="s">
        <v>2757</v>
      </c>
      <c r="E360" s="13"/>
      <c r="F360" s="13"/>
      <c r="G360" s="13"/>
      <c r="H360" s="13"/>
      <c r="I360" s="13"/>
      <c r="J360" s="14"/>
      <c r="K360" s="11" t="s">
        <v>20</v>
      </c>
      <c r="L360" s="11"/>
      <c r="M360" s="11" t="s">
        <v>20</v>
      </c>
      <c r="N360" s="3"/>
    </row>
    <row r="361" spans="1:14" x14ac:dyDescent="0.4">
      <c r="A361" s="12">
        <f t="shared" si="6"/>
        <v>357</v>
      </c>
      <c r="B361" s="19"/>
      <c r="C361" s="17"/>
      <c r="D361" s="13" t="s">
        <v>2758</v>
      </c>
      <c r="E361" s="13"/>
      <c r="F361" s="13"/>
      <c r="G361" s="13"/>
      <c r="H361" s="13"/>
      <c r="I361" s="13"/>
      <c r="J361" s="14"/>
      <c r="K361" s="11" t="s">
        <v>36</v>
      </c>
      <c r="L361" s="11"/>
      <c r="M361" s="11" t="s">
        <v>36</v>
      </c>
      <c r="N361" s="3"/>
    </row>
    <row r="362" spans="1:14" x14ac:dyDescent="0.4">
      <c r="A362" s="12">
        <f t="shared" si="6"/>
        <v>358</v>
      </c>
      <c r="B362" s="19"/>
      <c r="C362" s="15" t="s">
        <v>2759</v>
      </c>
      <c r="D362" s="9"/>
      <c r="E362" s="9"/>
      <c r="F362" s="9"/>
      <c r="G362" s="9"/>
      <c r="H362" s="9"/>
      <c r="I362" s="9"/>
      <c r="J362" s="10"/>
      <c r="K362" s="8"/>
      <c r="L362" s="8"/>
      <c r="M362" s="8"/>
      <c r="N362" s="8"/>
    </row>
    <row r="363" spans="1:14" x14ac:dyDescent="0.4">
      <c r="A363" s="12">
        <f t="shared" si="6"/>
        <v>359</v>
      </c>
      <c r="B363" s="19"/>
      <c r="C363" s="17"/>
      <c r="D363" s="13" t="s">
        <v>2837</v>
      </c>
      <c r="E363" s="13"/>
      <c r="F363" s="13"/>
      <c r="G363" s="13"/>
      <c r="H363" s="13"/>
      <c r="I363" s="13"/>
      <c r="J363" s="14"/>
      <c r="K363" s="11" t="s">
        <v>1240</v>
      </c>
      <c r="L363" s="11"/>
      <c r="M363" s="11" t="s">
        <v>1240</v>
      </c>
      <c r="N363" s="3"/>
    </row>
    <row r="364" spans="1:14" x14ac:dyDescent="0.4">
      <c r="A364" s="12">
        <f t="shared" si="6"/>
        <v>360</v>
      </c>
      <c r="B364" s="19"/>
      <c r="C364" s="21" t="s">
        <v>2761</v>
      </c>
      <c r="D364" s="9"/>
      <c r="E364" s="9"/>
      <c r="F364" s="9"/>
      <c r="G364" s="9"/>
      <c r="H364" s="9"/>
      <c r="I364" s="9"/>
      <c r="J364" s="10"/>
      <c r="K364" s="8"/>
      <c r="L364" s="8"/>
      <c r="M364" s="8"/>
      <c r="N364" s="8"/>
    </row>
    <row r="365" spans="1:14" x14ac:dyDescent="0.4">
      <c r="A365" s="12">
        <f t="shared" si="6"/>
        <v>361</v>
      </c>
      <c r="B365" s="19"/>
      <c r="C365" s="16"/>
      <c r="D365" s="27" t="s">
        <v>2762</v>
      </c>
      <c r="E365" s="9"/>
      <c r="F365" s="9"/>
      <c r="G365" s="9"/>
      <c r="H365" s="9"/>
      <c r="I365" s="9"/>
      <c r="J365" s="10"/>
      <c r="K365" s="8"/>
      <c r="L365" s="8"/>
      <c r="M365" s="8"/>
      <c r="N365" s="8"/>
    </row>
    <row r="366" spans="1:14" x14ac:dyDescent="0.4">
      <c r="A366" s="12">
        <f t="shared" si="6"/>
        <v>362</v>
      </c>
      <c r="B366" s="19"/>
      <c r="C366" s="16"/>
      <c r="D366" s="16"/>
      <c r="E366" s="13" t="s">
        <v>2763</v>
      </c>
      <c r="F366" s="13"/>
      <c r="G366" s="13"/>
      <c r="H366" s="13"/>
      <c r="I366" s="13"/>
      <c r="J366" s="14"/>
      <c r="K366" s="11" t="s">
        <v>1240</v>
      </c>
      <c r="L366" s="11"/>
      <c r="M366" s="11" t="s">
        <v>1240</v>
      </c>
      <c r="N366" s="3"/>
    </row>
    <row r="367" spans="1:14" x14ac:dyDescent="0.4">
      <c r="A367" s="12">
        <f t="shared" si="6"/>
        <v>363</v>
      </c>
      <c r="B367" s="19"/>
      <c r="C367" s="16"/>
      <c r="D367" s="17"/>
      <c r="E367" s="13" t="s">
        <v>2764</v>
      </c>
      <c r="F367" s="13"/>
      <c r="G367" s="13"/>
      <c r="H367" s="13"/>
      <c r="I367" s="13"/>
      <c r="J367" s="14"/>
      <c r="K367" s="11" t="s">
        <v>1240</v>
      </c>
      <c r="L367" s="11"/>
      <c r="M367" s="11" t="s">
        <v>1240</v>
      </c>
      <c r="N367" s="3"/>
    </row>
    <row r="368" spans="1:14" x14ac:dyDescent="0.4">
      <c r="A368" s="12">
        <f t="shared" si="6"/>
        <v>364</v>
      </c>
      <c r="B368" s="19"/>
      <c r="C368" s="16"/>
      <c r="D368" s="27" t="s">
        <v>2765</v>
      </c>
      <c r="E368" s="9"/>
      <c r="F368" s="9"/>
      <c r="G368" s="9"/>
      <c r="H368" s="9"/>
      <c r="I368" s="9"/>
      <c r="J368" s="10"/>
      <c r="K368" s="8"/>
      <c r="L368" s="8"/>
      <c r="M368" s="8"/>
      <c r="N368" s="8"/>
    </row>
    <row r="369" spans="1:14" x14ac:dyDescent="0.4">
      <c r="A369" s="12">
        <f t="shared" si="6"/>
        <v>365</v>
      </c>
      <c r="B369" s="19"/>
      <c r="C369" s="16"/>
      <c r="D369" s="16"/>
      <c r="E369" s="13" t="s">
        <v>2766</v>
      </c>
      <c r="F369" s="13"/>
      <c r="G369" s="13"/>
      <c r="H369" s="13"/>
      <c r="I369" s="13"/>
      <c r="J369" s="14"/>
      <c r="K369" s="11" t="s">
        <v>9</v>
      </c>
      <c r="L369" s="11"/>
      <c r="M369" s="11" t="s">
        <v>9</v>
      </c>
      <c r="N369" s="3"/>
    </row>
    <row r="370" spans="1:14" x14ac:dyDescent="0.4">
      <c r="A370" s="12">
        <f t="shared" si="6"/>
        <v>366</v>
      </c>
      <c r="B370" s="19"/>
      <c r="C370" s="16"/>
      <c r="D370" s="16"/>
      <c r="E370" s="26" t="s">
        <v>2767</v>
      </c>
      <c r="F370" s="13"/>
      <c r="G370" s="13"/>
      <c r="H370" s="13"/>
      <c r="I370" s="13"/>
      <c r="J370" s="14"/>
      <c r="K370" s="11" t="s">
        <v>10</v>
      </c>
      <c r="L370" s="11"/>
      <c r="M370" s="11" t="s">
        <v>10</v>
      </c>
      <c r="N370" s="3"/>
    </row>
    <row r="371" spans="1:14" x14ac:dyDescent="0.4">
      <c r="A371" s="12">
        <f t="shared" si="6"/>
        <v>367</v>
      </c>
      <c r="B371" s="19"/>
      <c r="C371" s="16"/>
      <c r="D371" s="16"/>
      <c r="E371" s="19"/>
      <c r="F371" s="13" t="s">
        <v>1611</v>
      </c>
      <c r="G371" s="13"/>
      <c r="H371" s="13"/>
      <c r="I371" s="13"/>
      <c r="J371" s="14"/>
      <c r="K371" s="3" t="s">
        <v>2768</v>
      </c>
      <c r="L371" s="3"/>
      <c r="M371" s="3" t="s">
        <v>2768</v>
      </c>
      <c r="N371" s="3"/>
    </row>
    <row r="372" spans="1:14" x14ac:dyDescent="0.4">
      <c r="A372" s="12">
        <f t="shared" si="6"/>
        <v>368</v>
      </c>
      <c r="B372" s="19"/>
      <c r="C372" s="16"/>
      <c r="D372" s="17"/>
      <c r="E372" s="20"/>
      <c r="F372" s="13" t="s">
        <v>815</v>
      </c>
      <c r="G372" s="13"/>
      <c r="H372" s="13"/>
      <c r="I372" s="13"/>
      <c r="J372" s="14"/>
      <c r="K372" s="11" t="s">
        <v>1240</v>
      </c>
      <c r="L372" s="11"/>
      <c r="M372" s="11" t="s">
        <v>1240</v>
      </c>
      <c r="N372" s="3"/>
    </row>
    <row r="373" spans="1:14" x14ac:dyDescent="0.4">
      <c r="A373" s="12">
        <f t="shared" si="6"/>
        <v>369</v>
      </c>
      <c r="B373" s="19"/>
      <c r="C373" s="15" t="s">
        <v>2769</v>
      </c>
      <c r="D373" s="9"/>
      <c r="E373" s="9"/>
      <c r="F373" s="9"/>
      <c r="G373" s="9"/>
      <c r="H373" s="9"/>
      <c r="I373" s="9"/>
      <c r="J373" s="10"/>
      <c r="K373" s="8"/>
      <c r="L373" s="8"/>
      <c r="M373" s="8"/>
      <c r="N373" s="8"/>
    </row>
    <row r="374" spans="1:14" x14ac:dyDescent="0.4">
      <c r="A374" s="12">
        <f t="shared" si="6"/>
        <v>370</v>
      </c>
      <c r="B374" s="19"/>
      <c r="C374" s="16"/>
      <c r="D374" s="27" t="s">
        <v>2770</v>
      </c>
      <c r="E374" s="9"/>
      <c r="F374" s="9"/>
      <c r="G374" s="9"/>
      <c r="H374" s="9"/>
      <c r="I374" s="9"/>
      <c r="J374" s="10"/>
      <c r="K374" s="8"/>
      <c r="L374" s="8"/>
      <c r="M374" s="8"/>
      <c r="N374" s="8"/>
    </row>
    <row r="375" spans="1:14" x14ac:dyDescent="0.4">
      <c r="A375" s="12">
        <f t="shared" si="6"/>
        <v>371</v>
      </c>
      <c r="B375" s="19"/>
      <c r="C375" s="16"/>
      <c r="D375" s="16"/>
      <c r="E375" s="26" t="s">
        <v>2771</v>
      </c>
      <c r="F375" s="13"/>
      <c r="G375" s="13"/>
      <c r="H375" s="13"/>
      <c r="I375" s="13"/>
      <c r="J375" s="14"/>
      <c r="K375" s="11" t="s">
        <v>36</v>
      </c>
      <c r="L375" s="11"/>
      <c r="M375" s="11" t="s">
        <v>36</v>
      </c>
      <c r="N375" s="3"/>
    </row>
    <row r="376" spans="1:14" x14ac:dyDescent="0.4">
      <c r="A376" s="12">
        <f t="shared" si="6"/>
        <v>372</v>
      </c>
      <c r="B376" s="19"/>
      <c r="C376" s="16"/>
      <c r="D376" s="16"/>
      <c r="E376" s="19"/>
      <c r="F376" s="13" t="s">
        <v>2772</v>
      </c>
      <c r="G376" s="13"/>
      <c r="H376" s="13"/>
      <c r="I376" s="13"/>
      <c r="J376" s="14"/>
      <c r="K376" s="11" t="s">
        <v>1240</v>
      </c>
      <c r="L376" s="11"/>
      <c r="M376" s="11" t="s">
        <v>1240</v>
      </c>
      <c r="N376" s="3"/>
    </row>
    <row r="377" spans="1:14" x14ac:dyDescent="0.4">
      <c r="A377" s="12">
        <f t="shared" si="6"/>
        <v>373</v>
      </c>
      <c r="B377" s="19"/>
      <c r="C377" s="16"/>
      <c r="D377" s="17"/>
      <c r="E377" s="20"/>
      <c r="F377" s="13" t="s">
        <v>2773</v>
      </c>
      <c r="G377" s="13"/>
      <c r="H377" s="13"/>
      <c r="I377" s="13"/>
      <c r="J377" s="14"/>
      <c r="K377" s="11" t="s">
        <v>1240</v>
      </c>
      <c r="L377" s="11"/>
      <c r="M377" s="11" t="s">
        <v>1240</v>
      </c>
      <c r="N377" s="3"/>
    </row>
    <row r="378" spans="1:14" x14ac:dyDescent="0.4">
      <c r="A378" s="12">
        <f t="shared" si="6"/>
        <v>374</v>
      </c>
      <c r="B378" s="19"/>
      <c r="C378" s="16"/>
      <c r="D378" s="27" t="s">
        <v>2774</v>
      </c>
      <c r="E378" s="9"/>
      <c r="F378" s="9"/>
      <c r="G378" s="9"/>
      <c r="H378" s="9"/>
      <c r="I378" s="9"/>
      <c r="J378" s="10"/>
      <c r="K378" s="8"/>
      <c r="L378" s="8"/>
      <c r="M378" s="8"/>
      <c r="N378" s="8"/>
    </row>
    <row r="379" spans="1:14" x14ac:dyDescent="0.4">
      <c r="A379" s="12">
        <f t="shared" si="6"/>
        <v>375</v>
      </c>
      <c r="B379" s="19"/>
      <c r="C379" s="16"/>
      <c r="D379" s="16"/>
      <c r="E379" s="13" t="s">
        <v>2775</v>
      </c>
      <c r="F379" s="13"/>
      <c r="G379" s="13"/>
      <c r="H379" s="13"/>
      <c r="I379" s="13"/>
      <c r="J379" s="14"/>
      <c r="K379" s="11" t="s">
        <v>20</v>
      </c>
      <c r="L379" s="11"/>
      <c r="M379" s="11" t="s">
        <v>20</v>
      </c>
      <c r="N379" s="3"/>
    </row>
    <row r="380" spans="1:14" x14ac:dyDescent="0.4">
      <c r="A380" s="12">
        <f t="shared" ref="A380:A443" si="7">A379+1</f>
        <v>376</v>
      </c>
      <c r="B380" s="19"/>
      <c r="C380" s="16"/>
      <c r="D380" s="16"/>
      <c r="E380" s="13" t="s">
        <v>2776</v>
      </c>
      <c r="F380" s="13"/>
      <c r="G380" s="13"/>
      <c r="H380" s="13"/>
      <c r="I380" s="13"/>
      <c r="J380" s="14"/>
      <c r="K380" s="11" t="s">
        <v>20</v>
      </c>
      <c r="L380" s="11"/>
      <c r="M380" s="11" t="s">
        <v>20</v>
      </c>
      <c r="N380" s="3"/>
    </row>
    <row r="381" spans="1:14" x14ac:dyDescent="0.4">
      <c r="A381" s="12">
        <f t="shared" si="7"/>
        <v>377</v>
      </c>
      <c r="B381" s="19"/>
      <c r="C381" s="17"/>
      <c r="D381" s="17"/>
      <c r="E381" s="13" t="s">
        <v>2777</v>
      </c>
      <c r="F381" s="13"/>
      <c r="G381" s="13"/>
      <c r="H381" s="13"/>
      <c r="I381" s="13"/>
      <c r="J381" s="14"/>
      <c r="K381" s="11" t="s">
        <v>20</v>
      </c>
      <c r="L381" s="11"/>
      <c r="M381" s="11" t="s">
        <v>20</v>
      </c>
      <c r="N381" s="3"/>
    </row>
    <row r="382" spans="1:14" x14ac:dyDescent="0.4">
      <c r="A382" s="12">
        <f t="shared" si="7"/>
        <v>378</v>
      </c>
      <c r="B382" s="19"/>
      <c r="C382" s="15" t="s">
        <v>619</v>
      </c>
      <c r="D382" s="9"/>
      <c r="E382" s="9"/>
      <c r="F382" s="9"/>
      <c r="G382" s="9"/>
      <c r="H382" s="9"/>
      <c r="I382" s="9"/>
      <c r="J382" s="10"/>
      <c r="K382" s="8"/>
      <c r="L382" s="8"/>
      <c r="M382" s="8"/>
      <c r="N382" s="8"/>
    </row>
    <row r="383" spans="1:14" x14ac:dyDescent="0.4">
      <c r="A383" s="12">
        <f t="shared" si="7"/>
        <v>379</v>
      </c>
      <c r="B383" s="19"/>
      <c r="C383" s="16"/>
      <c r="D383" s="27" t="s">
        <v>2778</v>
      </c>
      <c r="E383" s="9"/>
      <c r="F383" s="9"/>
      <c r="G383" s="9"/>
      <c r="H383" s="9"/>
      <c r="I383" s="9"/>
      <c r="J383" s="10"/>
      <c r="K383" s="8"/>
      <c r="L383" s="8"/>
      <c r="M383" s="8"/>
      <c r="N383" s="8"/>
    </row>
    <row r="384" spans="1:14" x14ac:dyDescent="0.4">
      <c r="A384" s="12">
        <f t="shared" si="7"/>
        <v>380</v>
      </c>
      <c r="B384" s="19"/>
      <c r="C384" s="16"/>
      <c r="D384" s="16"/>
      <c r="E384" s="13" t="s">
        <v>2779</v>
      </c>
      <c r="F384" s="13"/>
      <c r="G384" s="13"/>
      <c r="H384" s="13"/>
      <c r="I384" s="13"/>
      <c r="J384" s="14"/>
      <c r="K384" s="11" t="s">
        <v>9</v>
      </c>
      <c r="L384" s="11"/>
      <c r="M384" s="11" t="s">
        <v>9</v>
      </c>
      <c r="N384" s="3"/>
    </row>
    <row r="385" spans="1:14" x14ac:dyDescent="0.4">
      <c r="A385" s="12">
        <f t="shared" si="7"/>
        <v>381</v>
      </c>
      <c r="B385" s="19"/>
      <c r="C385" s="16"/>
      <c r="D385" s="16"/>
      <c r="E385" s="13" t="s">
        <v>2780</v>
      </c>
      <c r="F385" s="13"/>
      <c r="G385" s="13"/>
      <c r="H385" s="13"/>
      <c r="I385" s="13"/>
      <c r="J385" s="14"/>
      <c r="K385" s="11" t="s">
        <v>10</v>
      </c>
      <c r="L385" s="11"/>
      <c r="M385" s="11" t="s">
        <v>10</v>
      </c>
      <c r="N385" s="3"/>
    </row>
    <row r="386" spans="1:14" x14ac:dyDescent="0.4">
      <c r="A386" s="12">
        <f t="shared" si="7"/>
        <v>382</v>
      </c>
      <c r="B386" s="19"/>
      <c r="C386" s="16"/>
      <c r="D386" s="16"/>
      <c r="E386" s="13" t="s">
        <v>2781</v>
      </c>
      <c r="F386" s="13"/>
      <c r="G386" s="13"/>
      <c r="H386" s="13"/>
      <c r="I386" s="13"/>
      <c r="J386" s="14"/>
      <c r="K386" s="11" t="s">
        <v>10</v>
      </c>
      <c r="L386" s="11"/>
      <c r="M386" s="11" t="s">
        <v>10</v>
      </c>
      <c r="N386" s="3"/>
    </row>
    <row r="387" spans="1:14" x14ac:dyDescent="0.4">
      <c r="A387" s="12">
        <f t="shared" si="7"/>
        <v>383</v>
      </c>
      <c r="B387" s="19"/>
      <c r="C387" s="16"/>
      <c r="D387" s="16"/>
      <c r="E387" s="13" t="s">
        <v>1602</v>
      </c>
      <c r="F387" s="13"/>
      <c r="G387" s="13"/>
      <c r="H387" s="13"/>
      <c r="I387" s="13"/>
      <c r="J387" s="14"/>
      <c r="K387" s="11" t="s">
        <v>10</v>
      </c>
      <c r="L387" s="11"/>
      <c r="M387" s="11" t="s">
        <v>10</v>
      </c>
      <c r="N387" s="3"/>
    </row>
    <row r="388" spans="1:14" x14ac:dyDescent="0.4">
      <c r="A388" s="12">
        <f t="shared" si="7"/>
        <v>384</v>
      </c>
      <c r="B388" s="19"/>
      <c r="C388" s="16"/>
      <c r="D388" s="16"/>
      <c r="E388" s="13" t="s">
        <v>1882</v>
      </c>
      <c r="F388" s="13"/>
      <c r="G388" s="13"/>
      <c r="H388" s="13"/>
      <c r="I388" s="13"/>
      <c r="J388" s="14"/>
      <c r="K388" s="11" t="s">
        <v>10</v>
      </c>
      <c r="L388" s="11"/>
      <c r="M388" s="11" t="s">
        <v>10</v>
      </c>
      <c r="N388" s="3"/>
    </row>
    <row r="389" spans="1:14" x14ac:dyDescent="0.4">
      <c r="A389" s="12">
        <f t="shared" si="7"/>
        <v>385</v>
      </c>
      <c r="B389" s="19"/>
      <c r="C389" s="16"/>
      <c r="D389" s="16"/>
      <c r="E389" s="13" t="s">
        <v>2782</v>
      </c>
      <c r="F389" s="13"/>
      <c r="G389" s="13"/>
      <c r="H389" s="13"/>
      <c r="I389" s="13"/>
      <c r="J389" s="14"/>
      <c r="K389" s="11" t="s">
        <v>10</v>
      </c>
      <c r="L389" s="11"/>
      <c r="M389" s="11" t="s">
        <v>10</v>
      </c>
      <c r="N389" s="3"/>
    </row>
    <row r="390" spans="1:14" x14ac:dyDescent="0.4">
      <c r="A390" s="12">
        <f t="shared" si="7"/>
        <v>386</v>
      </c>
      <c r="B390" s="19"/>
      <c r="C390" s="16"/>
      <c r="D390" s="16"/>
      <c r="E390" s="13" t="s">
        <v>1733</v>
      </c>
      <c r="F390" s="13"/>
      <c r="G390" s="13"/>
      <c r="H390" s="13"/>
      <c r="I390" s="13"/>
      <c r="J390" s="14"/>
      <c r="K390" s="11" t="s">
        <v>10</v>
      </c>
      <c r="L390" s="11"/>
      <c r="M390" s="11" t="s">
        <v>10</v>
      </c>
      <c r="N390" s="3"/>
    </row>
    <row r="391" spans="1:14" x14ac:dyDescent="0.4">
      <c r="A391" s="12">
        <f t="shared" si="7"/>
        <v>387</v>
      </c>
      <c r="B391" s="19"/>
      <c r="C391" s="16"/>
      <c r="D391" s="16"/>
      <c r="E391" s="13" t="s">
        <v>2783</v>
      </c>
      <c r="F391" s="13"/>
      <c r="G391" s="13"/>
      <c r="H391" s="13"/>
      <c r="I391" s="13"/>
      <c r="J391" s="14"/>
      <c r="K391" s="11" t="s">
        <v>10</v>
      </c>
      <c r="L391" s="11"/>
      <c r="M391" s="11" t="s">
        <v>10</v>
      </c>
      <c r="N391" s="3"/>
    </row>
    <row r="392" spans="1:14" x14ac:dyDescent="0.4">
      <c r="A392" s="12">
        <f t="shared" si="7"/>
        <v>388</v>
      </c>
      <c r="B392" s="19"/>
      <c r="C392" s="16"/>
      <c r="D392" s="16"/>
      <c r="E392" s="13" t="s">
        <v>1734</v>
      </c>
      <c r="F392" s="13"/>
      <c r="G392" s="13"/>
      <c r="H392" s="13"/>
      <c r="I392" s="13"/>
      <c r="J392" s="14"/>
      <c r="K392" s="11" t="s">
        <v>10</v>
      </c>
      <c r="L392" s="11"/>
      <c r="M392" s="11" t="s">
        <v>10</v>
      </c>
      <c r="N392" s="3"/>
    </row>
    <row r="393" spans="1:14" x14ac:dyDescent="0.4">
      <c r="A393" s="12">
        <f t="shared" si="7"/>
        <v>389</v>
      </c>
      <c r="B393" s="19"/>
      <c r="C393" s="16"/>
      <c r="D393" s="16"/>
      <c r="E393" s="13" t="s">
        <v>1883</v>
      </c>
      <c r="F393" s="13"/>
      <c r="G393" s="13"/>
      <c r="H393" s="13"/>
      <c r="I393" s="13"/>
      <c r="J393" s="14"/>
      <c r="K393" s="11" t="s">
        <v>10</v>
      </c>
      <c r="L393" s="11"/>
      <c r="M393" s="11" t="s">
        <v>10</v>
      </c>
      <c r="N393" s="3"/>
    </row>
    <row r="394" spans="1:14" x14ac:dyDescent="0.4">
      <c r="A394" s="12">
        <f t="shared" si="7"/>
        <v>390</v>
      </c>
      <c r="B394" s="19"/>
      <c r="C394" s="16"/>
      <c r="D394" s="17"/>
      <c r="E394" s="13" t="s">
        <v>2784</v>
      </c>
      <c r="F394" s="13"/>
      <c r="G394" s="13"/>
      <c r="H394" s="13"/>
      <c r="I394" s="13"/>
      <c r="J394" s="14"/>
      <c r="K394" s="11" t="s">
        <v>10</v>
      </c>
      <c r="L394" s="11"/>
      <c r="M394" s="11" t="s">
        <v>10</v>
      </c>
      <c r="N394" s="3"/>
    </row>
    <row r="395" spans="1:14" x14ac:dyDescent="0.4">
      <c r="A395" s="12">
        <f t="shared" si="7"/>
        <v>391</v>
      </c>
      <c r="B395" s="19"/>
      <c r="C395" s="16"/>
      <c r="D395" s="27" t="s">
        <v>2785</v>
      </c>
      <c r="E395" s="9"/>
      <c r="F395" s="9"/>
      <c r="G395" s="9"/>
      <c r="H395" s="9"/>
      <c r="I395" s="9"/>
      <c r="J395" s="10"/>
      <c r="K395" s="8"/>
      <c r="L395" s="8"/>
      <c r="M395" s="8"/>
      <c r="N395" s="8"/>
    </row>
    <row r="396" spans="1:14" x14ac:dyDescent="0.4">
      <c r="A396" s="12">
        <f t="shared" si="7"/>
        <v>392</v>
      </c>
      <c r="B396" s="19"/>
      <c r="C396" s="16"/>
      <c r="D396" s="16"/>
      <c r="E396" s="13" t="s">
        <v>2779</v>
      </c>
      <c r="F396" s="13"/>
      <c r="G396" s="13"/>
      <c r="H396" s="13"/>
      <c r="I396" s="13"/>
      <c r="J396" s="14"/>
      <c r="K396" s="11" t="s">
        <v>9</v>
      </c>
      <c r="L396" s="11"/>
      <c r="M396" s="11" t="s">
        <v>9</v>
      </c>
      <c r="N396" s="3"/>
    </row>
    <row r="397" spans="1:14" x14ac:dyDescent="0.4">
      <c r="A397" s="12">
        <f t="shared" si="7"/>
        <v>393</v>
      </c>
      <c r="B397" s="19"/>
      <c r="C397" s="16"/>
      <c r="D397" s="16"/>
      <c r="E397" s="13" t="s">
        <v>2780</v>
      </c>
      <c r="F397" s="13"/>
      <c r="G397" s="13"/>
      <c r="H397" s="13"/>
      <c r="I397" s="13"/>
      <c r="J397" s="14"/>
      <c r="K397" s="11" t="s">
        <v>10</v>
      </c>
      <c r="L397" s="11"/>
      <c r="M397" s="11" t="s">
        <v>10</v>
      </c>
      <c r="N397" s="3"/>
    </row>
    <row r="398" spans="1:14" x14ac:dyDescent="0.4">
      <c r="A398" s="12">
        <f t="shared" si="7"/>
        <v>394</v>
      </c>
      <c r="B398" s="19"/>
      <c r="C398" s="16"/>
      <c r="D398" s="16"/>
      <c r="E398" s="13" t="s">
        <v>2781</v>
      </c>
      <c r="F398" s="13"/>
      <c r="G398" s="13"/>
      <c r="H398" s="13"/>
      <c r="I398" s="13"/>
      <c r="J398" s="14"/>
      <c r="K398" s="11" t="s">
        <v>10</v>
      </c>
      <c r="L398" s="11"/>
      <c r="M398" s="11" t="s">
        <v>10</v>
      </c>
      <c r="N398" s="3"/>
    </row>
    <row r="399" spans="1:14" x14ac:dyDescent="0.4">
      <c r="A399" s="12">
        <f t="shared" si="7"/>
        <v>395</v>
      </c>
      <c r="B399" s="19"/>
      <c r="C399" s="16"/>
      <c r="D399" s="16"/>
      <c r="E399" s="13" t="s">
        <v>1602</v>
      </c>
      <c r="F399" s="13"/>
      <c r="G399" s="13"/>
      <c r="H399" s="13"/>
      <c r="I399" s="13"/>
      <c r="J399" s="14"/>
      <c r="K399" s="11" t="s">
        <v>10</v>
      </c>
      <c r="L399" s="11"/>
      <c r="M399" s="11" t="s">
        <v>10</v>
      </c>
      <c r="N399" s="3"/>
    </row>
    <row r="400" spans="1:14" x14ac:dyDescent="0.4">
      <c r="A400" s="12">
        <f t="shared" si="7"/>
        <v>396</v>
      </c>
      <c r="B400" s="19"/>
      <c r="C400" s="16"/>
      <c r="D400" s="16"/>
      <c r="E400" s="13" t="s">
        <v>1882</v>
      </c>
      <c r="F400" s="13"/>
      <c r="G400" s="13"/>
      <c r="H400" s="13"/>
      <c r="I400" s="13"/>
      <c r="J400" s="14"/>
      <c r="K400" s="11" t="s">
        <v>10</v>
      </c>
      <c r="L400" s="11"/>
      <c r="M400" s="11" t="s">
        <v>10</v>
      </c>
      <c r="N400" s="3"/>
    </row>
    <row r="401" spans="1:14" x14ac:dyDescent="0.4">
      <c r="A401" s="12">
        <f t="shared" si="7"/>
        <v>397</v>
      </c>
      <c r="B401" s="19"/>
      <c r="C401" s="16"/>
      <c r="D401" s="16"/>
      <c r="E401" s="13" t="s">
        <v>2782</v>
      </c>
      <c r="F401" s="13"/>
      <c r="G401" s="13"/>
      <c r="H401" s="13"/>
      <c r="I401" s="13"/>
      <c r="J401" s="14"/>
      <c r="K401" s="11" t="s">
        <v>10</v>
      </c>
      <c r="L401" s="11"/>
      <c r="M401" s="11" t="s">
        <v>10</v>
      </c>
      <c r="N401" s="3"/>
    </row>
    <row r="402" spans="1:14" x14ac:dyDescent="0.4">
      <c r="A402" s="12">
        <f t="shared" si="7"/>
        <v>398</v>
      </c>
      <c r="B402" s="19"/>
      <c r="C402" s="16"/>
      <c r="D402" s="16"/>
      <c r="E402" s="13" t="s">
        <v>1733</v>
      </c>
      <c r="F402" s="13"/>
      <c r="G402" s="13"/>
      <c r="H402" s="13"/>
      <c r="I402" s="13"/>
      <c r="J402" s="14"/>
      <c r="K402" s="11" t="s">
        <v>10</v>
      </c>
      <c r="L402" s="11"/>
      <c r="M402" s="11" t="s">
        <v>10</v>
      </c>
      <c r="N402" s="3"/>
    </row>
    <row r="403" spans="1:14" x14ac:dyDescent="0.4">
      <c r="A403" s="12">
        <f t="shared" si="7"/>
        <v>399</v>
      </c>
      <c r="B403" s="19"/>
      <c r="C403" s="16"/>
      <c r="D403" s="16"/>
      <c r="E403" s="13" t="s">
        <v>2783</v>
      </c>
      <c r="F403" s="13"/>
      <c r="G403" s="13"/>
      <c r="H403" s="13"/>
      <c r="I403" s="13"/>
      <c r="J403" s="14"/>
      <c r="K403" s="11" t="s">
        <v>10</v>
      </c>
      <c r="L403" s="11"/>
      <c r="M403" s="11" t="s">
        <v>10</v>
      </c>
      <c r="N403" s="3"/>
    </row>
    <row r="404" spans="1:14" x14ac:dyDescent="0.4">
      <c r="A404" s="12">
        <f t="shared" si="7"/>
        <v>400</v>
      </c>
      <c r="B404" s="19"/>
      <c r="C404" s="16"/>
      <c r="D404" s="16"/>
      <c r="E404" s="13" t="s">
        <v>1734</v>
      </c>
      <c r="F404" s="13"/>
      <c r="G404" s="13"/>
      <c r="H404" s="13"/>
      <c r="I404" s="13"/>
      <c r="J404" s="14"/>
      <c r="K404" s="11" t="s">
        <v>10</v>
      </c>
      <c r="L404" s="11"/>
      <c r="M404" s="11" t="s">
        <v>10</v>
      </c>
      <c r="N404" s="3"/>
    </row>
    <row r="405" spans="1:14" x14ac:dyDescent="0.4">
      <c r="A405" s="12">
        <f t="shared" si="7"/>
        <v>401</v>
      </c>
      <c r="B405" s="19"/>
      <c r="C405" s="16"/>
      <c r="D405" s="16"/>
      <c r="E405" s="13" t="s">
        <v>1883</v>
      </c>
      <c r="F405" s="13"/>
      <c r="G405" s="13"/>
      <c r="H405" s="13"/>
      <c r="I405" s="13"/>
      <c r="J405" s="14"/>
      <c r="K405" s="11" t="s">
        <v>10</v>
      </c>
      <c r="L405" s="11"/>
      <c r="M405" s="11" t="s">
        <v>10</v>
      </c>
      <c r="N405" s="3"/>
    </row>
    <row r="406" spans="1:14" x14ac:dyDescent="0.4">
      <c r="A406" s="12">
        <f t="shared" si="7"/>
        <v>402</v>
      </c>
      <c r="B406" s="19"/>
      <c r="C406" s="16"/>
      <c r="D406" s="17"/>
      <c r="E406" s="13" t="s">
        <v>2784</v>
      </c>
      <c r="F406" s="13"/>
      <c r="G406" s="13"/>
      <c r="H406" s="13"/>
      <c r="I406" s="13"/>
      <c r="J406" s="14"/>
      <c r="K406" s="11" t="s">
        <v>10</v>
      </c>
      <c r="L406" s="11"/>
      <c r="M406" s="11" t="s">
        <v>10</v>
      </c>
      <c r="N406" s="3"/>
    </row>
    <row r="407" spans="1:14" x14ac:dyDescent="0.4">
      <c r="A407" s="12">
        <f t="shared" si="7"/>
        <v>403</v>
      </c>
      <c r="B407" s="19"/>
      <c r="C407" s="16"/>
      <c r="D407" s="27" t="s">
        <v>2786</v>
      </c>
      <c r="E407" s="9"/>
      <c r="F407" s="9"/>
      <c r="G407" s="9"/>
      <c r="H407" s="9"/>
      <c r="I407" s="9"/>
      <c r="J407" s="10"/>
      <c r="K407" s="8"/>
      <c r="L407" s="8"/>
      <c r="M407" s="8"/>
      <c r="N407" s="8"/>
    </row>
    <row r="408" spans="1:14" x14ac:dyDescent="0.4">
      <c r="A408" s="12">
        <f t="shared" si="7"/>
        <v>404</v>
      </c>
      <c r="B408" s="19"/>
      <c r="C408" s="16"/>
      <c r="D408" s="16"/>
      <c r="E408" s="13" t="s">
        <v>2779</v>
      </c>
      <c r="F408" s="13"/>
      <c r="G408" s="13"/>
      <c r="H408" s="13"/>
      <c r="I408" s="13"/>
      <c r="J408" s="14"/>
      <c r="K408" s="11" t="s">
        <v>9</v>
      </c>
      <c r="L408" s="11"/>
      <c r="M408" s="11" t="s">
        <v>9</v>
      </c>
      <c r="N408" s="3"/>
    </row>
    <row r="409" spans="1:14" x14ac:dyDescent="0.4">
      <c r="A409" s="12">
        <f t="shared" si="7"/>
        <v>405</v>
      </c>
      <c r="B409" s="19"/>
      <c r="C409" s="16"/>
      <c r="D409" s="16"/>
      <c r="E409" s="13" t="s">
        <v>2780</v>
      </c>
      <c r="F409" s="13"/>
      <c r="G409" s="13"/>
      <c r="H409" s="13"/>
      <c r="I409" s="13"/>
      <c r="J409" s="14"/>
      <c r="K409" s="11" t="s">
        <v>10</v>
      </c>
      <c r="L409" s="11"/>
      <c r="M409" s="11" t="s">
        <v>10</v>
      </c>
      <c r="N409" s="3"/>
    </row>
    <row r="410" spans="1:14" x14ac:dyDescent="0.4">
      <c r="A410" s="12">
        <f t="shared" si="7"/>
        <v>406</v>
      </c>
      <c r="B410" s="19"/>
      <c r="C410" s="16"/>
      <c r="D410" s="16"/>
      <c r="E410" s="13" t="s">
        <v>2781</v>
      </c>
      <c r="F410" s="13"/>
      <c r="G410" s="13"/>
      <c r="H410" s="13"/>
      <c r="I410" s="13"/>
      <c r="J410" s="14"/>
      <c r="K410" s="11" t="s">
        <v>10</v>
      </c>
      <c r="L410" s="11"/>
      <c r="M410" s="11" t="s">
        <v>10</v>
      </c>
      <c r="N410" s="3"/>
    </row>
    <row r="411" spans="1:14" x14ac:dyDescent="0.4">
      <c r="A411" s="12">
        <f t="shared" si="7"/>
        <v>407</v>
      </c>
      <c r="B411" s="19"/>
      <c r="C411" s="16"/>
      <c r="D411" s="16"/>
      <c r="E411" s="13" t="s">
        <v>1602</v>
      </c>
      <c r="F411" s="13"/>
      <c r="G411" s="13"/>
      <c r="H411" s="13"/>
      <c r="I411" s="13"/>
      <c r="J411" s="14"/>
      <c r="K411" s="11" t="s">
        <v>10</v>
      </c>
      <c r="L411" s="11"/>
      <c r="M411" s="11" t="s">
        <v>10</v>
      </c>
      <c r="N411" s="3"/>
    </row>
    <row r="412" spans="1:14" x14ac:dyDescent="0.4">
      <c r="A412" s="12">
        <f t="shared" si="7"/>
        <v>408</v>
      </c>
      <c r="B412" s="19"/>
      <c r="C412" s="16"/>
      <c r="D412" s="16"/>
      <c r="E412" s="13" t="s">
        <v>1882</v>
      </c>
      <c r="F412" s="13"/>
      <c r="G412" s="13"/>
      <c r="H412" s="13"/>
      <c r="I412" s="13"/>
      <c r="J412" s="14"/>
      <c r="K412" s="11" t="s">
        <v>10</v>
      </c>
      <c r="L412" s="11"/>
      <c r="M412" s="11" t="s">
        <v>10</v>
      </c>
      <c r="N412" s="3"/>
    </row>
    <row r="413" spans="1:14" x14ac:dyDescent="0.4">
      <c r="A413" s="12">
        <f t="shared" si="7"/>
        <v>409</v>
      </c>
      <c r="B413" s="19"/>
      <c r="C413" s="16"/>
      <c r="D413" s="16"/>
      <c r="E413" s="13" t="s">
        <v>2782</v>
      </c>
      <c r="F413" s="13"/>
      <c r="G413" s="13"/>
      <c r="H413" s="13"/>
      <c r="I413" s="13"/>
      <c r="J413" s="14"/>
      <c r="K413" s="11" t="s">
        <v>10</v>
      </c>
      <c r="L413" s="11"/>
      <c r="M413" s="11" t="s">
        <v>10</v>
      </c>
      <c r="N413" s="3"/>
    </row>
    <row r="414" spans="1:14" x14ac:dyDescent="0.4">
      <c r="A414" s="12">
        <f t="shared" si="7"/>
        <v>410</v>
      </c>
      <c r="B414" s="19"/>
      <c r="C414" s="16"/>
      <c r="D414" s="16"/>
      <c r="E414" s="13" t="s">
        <v>1733</v>
      </c>
      <c r="F414" s="13"/>
      <c r="G414" s="13"/>
      <c r="H414" s="13"/>
      <c r="I414" s="13"/>
      <c r="J414" s="14"/>
      <c r="K414" s="11" t="s">
        <v>10</v>
      </c>
      <c r="L414" s="11"/>
      <c r="M414" s="11" t="s">
        <v>10</v>
      </c>
      <c r="N414" s="3"/>
    </row>
    <row r="415" spans="1:14" x14ac:dyDescent="0.4">
      <c r="A415" s="12">
        <f t="shared" si="7"/>
        <v>411</v>
      </c>
      <c r="B415" s="19"/>
      <c r="C415" s="16"/>
      <c r="D415" s="16"/>
      <c r="E415" s="13" t="s">
        <v>2783</v>
      </c>
      <c r="F415" s="13"/>
      <c r="G415" s="13"/>
      <c r="H415" s="13"/>
      <c r="I415" s="13"/>
      <c r="J415" s="14"/>
      <c r="K415" s="11" t="s">
        <v>10</v>
      </c>
      <c r="L415" s="11"/>
      <c r="M415" s="11" t="s">
        <v>10</v>
      </c>
      <c r="N415" s="3"/>
    </row>
    <row r="416" spans="1:14" x14ac:dyDescent="0.4">
      <c r="A416" s="12">
        <f t="shared" si="7"/>
        <v>412</v>
      </c>
      <c r="B416" s="19"/>
      <c r="C416" s="16"/>
      <c r="D416" s="16"/>
      <c r="E416" s="13" t="s">
        <v>1734</v>
      </c>
      <c r="F416" s="13"/>
      <c r="G416" s="13"/>
      <c r="H416" s="13"/>
      <c r="I416" s="13"/>
      <c r="J416" s="14"/>
      <c r="K416" s="11" t="s">
        <v>10</v>
      </c>
      <c r="L416" s="11"/>
      <c r="M416" s="11" t="s">
        <v>10</v>
      </c>
      <c r="N416" s="3"/>
    </row>
    <row r="417" spans="1:14" x14ac:dyDescent="0.4">
      <c r="A417" s="12">
        <f t="shared" si="7"/>
        <v>413</v>
      </c>
      <c r="B417" s="19"/>
      <c r="C417" s="16"/>
      <c r="D417" s="16"/>
      <c r="E417" s="13" t="s">
        <v>1883</v>
      </c>
      <c r="F417" s="13"/>
      <c r="G417" s="13"/>
      <c r="H417" s="13"/>
      <c r="I417" s="13"/>
      <c r="J417" s="14"/>
      <c r="K417" s="11" t="s">
        <v>10</v>
      </c>
      <c r="L417" s="11"/>
      <c r="M417" s="11" t="s">
        <v>10</v>
      </c>
      <c r="N417" s="3"/>
    </row>
    <row r="418" spans="1:14" x14ac:dyDescent="0.4">
      <c r="A418" s="12">
        <f t="shared" si="7"/>
        <v>414</v>
      </c>
      <c r="B418" s="19"/>
      <c r="C418" s="16"/>
      <c r="D418" s="17"/>
      <c r="E418" s="13" t="s">
        <v>2784</v>
      </c>
      <c r="F418" s="13"/>
      <c r="G418" s="13"/>
      <c r="H418" s="13"/>
      <c r="I418" s="13"/>
      <c r="J418" s="14"/>
      <c r="K418" s="11" t="s">
        <v>10</v>
      </c>
      <c r="L418" s="11"/>
      <c r="M418" s="11" t="s">
        <v>10</v>
      </c>
      <c r="N418" s="3"/>
    </row>
    <row r="419" spans="1:14" x14ac:dyDescent="0.4">
      <c r="A419" s="12">
        <f t="shared" si="7"/>
        <v>415</v>
      </c>
      <c r="B419" s="19"/>
      <c r="C419" s="16"/>
      <c r="D419" s="27" t="s">
        <v>2787</v>
      </c>
      <c r="E419" s="9"/>
      <c r="F419" s="9"/>
      <c r="G419" s="9"/>
      <c r="H419" s="9"/>
      <c r="I419" s="9"/>
      <c r="J419" s="10"/>
      <c r="K419" s="8"/>
      <c r="L419" s="8"/>
      <c r="M419" s="8"/>
      <c r="N419" s="8"/>
    </row>
    <row r="420" spans="1:14" x14ac:dyDescent="0.4">
      <c r="A420" s="12">
        <f t="shared" si="7"/>
        <v>416</v>
      </c>
      <c r="B420" s="19"/>
      <c r="C420" s="16"/>
      <c r="D420" s="16"/>
      <c r="E420" s="13" t="s">
        <v>2788</v>
      </c>
      <c r="F420" s="13"/>
      <c r="G420" s="13"/>
      <c r="H420" s="13"/>
      <c r="I420" s="13"/>
      <c r="J420" s="14"/>
      <c r="K420" s="11" t="s">
        <v>9</v>
      </c>
      <c r="L420" s="11"/>
      <c r="M420" s="11" t="s">
        <v>9</v>
      </c>
      <c r="N420" s="3"/>
    </row>
    <row r="421" spans="1:14" x14ac:dyDescent="0.4">
      <c r="A421" s="12">
        <f t="shared" si="7"/>
        <v>417</v>
      </c>
      <c r="B421" s="19"/>
      <c r="C421" s="16"/>
      <c r="D421" s="17"/>
      <c r="E421" s="13" t="s">
        <v>2789</v>
      </c>
      <c r="F421" s="13"/>
      <c r="G421" s="13"/>
      <c r="H421" s="13"/>
      <c r="I421" s="13"/>
      <c r="J421" s="14"/>
      <c r="K421" s="11" t="s">
        <v>10</v>
      </c>
      <c r="L421" s="11"/>
      <c r="M421" s="11" t="s">
        <v>10</v>
      </c>
      <c r="N421" s="3"/>
    </row>
    <row r="422" spans="1:14" x14ac:dyDescent="0.4">
      <c r="A422" s="12">
        <f t="shared" si="7"/>
        <v>418</v>
      </c>
      <c r="B422" s="19"/>
      <c r="C422" s="16"/>
      <c r="D422" s="27" t="s">
        <v>2790</v>
      </c>
      <c r="E422" s="9"/>
      <c r="F422" s="9"/>
      <c r="G422" s="9"/>
      <c r="H422" s="9"/>
      <c r="I422" s="9"/>
      <c r="J422" s="10"/>
      <c r="K422" s="8"/>
      <c r="L422" s="8"/>
      <c r="M422" s="8"/>
      <c r="N422" s="8"/>
    </row>
    <row r="423" spans="1:14" x14ac:dyDescent="0.4">
      <c r="A423" s="12">
        <f t="shared" si="7"/>
        <v>419</v>
      </c>
      <c r="B423" s="19"/>
      <c r="C423" s="16"/>
      <c r="D423" s="16"/>
      <c r="E423" s="13" t="s">
        <v>2791</v>
      </c>
      <c r="F423" s="13"/>
      <c r="G423" s="13"/>
      <c r="H423" s="13"/>
      <c r="I423" s="13"/>
      <c r="J423" s="14"/>
      <c r="K423" s="11" t="s">
        <v>9</v>
      </c>
      <c r="L423" s="11"/>
      <c r="M423" s="11" t="s">
        <v>9</v>
      </c>
      <c r="N423" s="3"/>
    </row>
    <row r="424" spans="1:14" x14ac:dyDescent="0.4">
      <c r="A424" s="12">
        <f t="shared" si="7"/>
        <v>420</v>
      </c>
      <c r="B424" s="19"/>
      <c r="C424" s="16"/>
      <c r="D424" s="17"/>
      <c r="E424" s="13" t="s">
        <v>2792</v>
      </c>
      <c r="F424" s="13"/>
      <c r="G424" s="13"/>
      <c r="H424" s="13"/>
      <c r="I424" s="13"/>
      <c r="J424" s="14"/>
      <c r="K424" s="11" t="s">
        <v>10</v>
      </c>
      <c r="L424" s="11"/>
      <c r="M424" s="11" t="s">
        <v>10</v>
      </c>
      <c r="N424" s="3"/>
    </row>
    <row r="425" spans="1:14" x14ac:dyDescent="0.4">
      <c r="A425" s="12">
        <f t="shared" si="7"/>
        <v>421</v>
      </c>
      <c r="B425" s="19"/>
      <c r="C425" s="16"/>
      <c r="D425" s="27" t="s">
        <v>2793</v>
      </c>
      <c r="E425" s="9"/>
      <c r="F425" s="9"/>
      <c r="G425" s="9"/>
      <c r="H425" s="9"/>
      <c r="I425" s="9"/>
      <c r="J425" s="10"/>
      <c r="K425" s="8"/>
      <c r="L425" s="8"/>
      <c r="M425" s="8"/>
      <c r="N425" s="8"/>
    </row>
    <row r="426" spans="1:14" x14ac:dyDescent="0.4">
      <c r="A426" s="12">
        <f t="shared" si="7"/>
        <v>422</v>
      </c>
      <c r="B426" s="19"/>
      <c r="C426" s="16"/>
      <c r="D426" s="16"/>
      <c r="E426" s="26" t="s">
        <v>2794</v>
      </c>
      <c r="F426" s="13"/>
      <c r="G426" s="13"/>
      <c r="H426" s="13"/>
      <c r="I426" s="13"/>
      <c r="J426" s="14"/>
      <c r="K426" s="11" t="s">
        <v>20</v>
      </c>
      <c r="L426" s="11"/>
      <c r="M426" s="11" t="s">
        <v>20</v>
      </c>
      <c r="N426" s="3"/>
    </row>
    <row r="427" spans="1:14" x14ac:dyDescent="0.4">
      <c r="A427" s="12">
        <f t="shared" si="7"/>
        <v>423</v>
      </c>
      <c r="B427" s="19"/>
      <c r="C427" s="16"/>
      <c r="D427" s="16"/>
      <c r="E427" s="32"/>
      <c r="F427" s="13" t="s">
        <v>2795</v>
      </c>
      <c r="G427" s="13"/>
      <c r="H427" s="13"/>
      <c r="I427" s="13"/>
      <c r="J427" s="14"/>
      <c r="K427" s="11" t="s">
        <v>20</v>
      </c>
      <c r="L427" s="11"/>
      <c r="M427" s="11" t="s">
        <v>20</v>
      </c>
      <c r="N427" s="3"/>
    </row>
    <row r="428" spans="1:14" x14ac:dyDescent="0.4">
      <c r="A428" s="12">
        <f t="shared" si="7"/>
        <v>424</v>
      </c>
      <c r="B428" s="19"/>
      <c r="C428" s="16"/>
      <c r="D428" s="16"/>
      <c r="E428" s="32"/>
      <c r="F428" s="27" t="s">
        <v>2796</v>
      </c>
      <c r="G428" s="9"/>
      <c r="H428" s="9"/>
      <c r="I428" s="9"/>
      <c r="J428" s="10"/>
      <c r="K428" s="8"/>
      <c r="L428" s="8"/>
      <c r="M428" s="8"/>
      <c r="N428" s="8"/>
    </row>
    <row r="429" spans="1:14" x14ac:dyDescent="0.4">
      <c r="A429" s="12">
        <f t="shared" si="7"/>
        <v>425</v>
      </c>
      <c r="B429" s="19"/>
      <c r="C429" s="16"/>
      <c r="D429" s="16"/>
      <c r="E429" s="32"/>
      <c r="F429" s="28"/>
      <c r="G429" s="13" t="s">
        <v>2797</v>
      </c>
      <c r="H429" s="13"/>
      <c r="I429" s="13"/>
      <c r="J429" s="14"/>
      <c r="K429" s="11" t="s">
        <v>10</v>
      </c>
      <c r="L429" s="11"/>
      <c r="M429" s="11" t="s">
        <v>10</v>
      </c>
      <c r="N429" s="3"/>
    </row>
    <row r="430" spans="1:14" x14ac:dyDescent="0.4">
      <c r="A430" s="12">
        <f t="shared" si="7"/>
        <v>426</v>
      </c>
      <c r="B430" s="19"/>
      <c r="C430" s="16"/>
      <c r="D430" s="17"/>
      <c r="E430" s="37"/>
      <c r="F430" s="29"/>
      <c r="G430" s="13" t="s">
        <v>2798</v>
      </c>
      <c r="H430" s="13"/>
      <c r="I430" s="13"/>
      <c r="J430" s="14"/>
      <c r="K430" s="11" t="s">
        <v>9</v>
      </c>
      <c r="L430" s="11"/>
      <c r="M430" s="11" t="s">
        <v>9</v>
      </c>
      <c r="N430" s="3"/>
    </row>
    <row r="431" spans="1:14" x14ac:dyDescent="0.4">
      <c r="A431" s="12">
        <f t="shared" si="7"/>
        <v>427</v>
      </c>
      <c r="B431" s="19"/>
      <c r="C431" s="16"/>
      <c r="D431" s="27" t="s">
        <v>2799</v>
      </c>
      <c r="E431" s="9"/>
      <c r="F431" s="9"/>
      <c r="G431" s="9"/>
      <c r="H431" s="9"/>
      <c r="I431" s="9"/>
      <c r="J431" s="10"/>
      <c r="K431" s="8"/>
      <c r="L431" s="8"/>
      <c r="M431" s="8"/>
      <c r="N431" s="8"/>
    </row>
    <row r="432" spans="1:14" x14ac:dyDescent="0.4">
      <c r="A432" s="12">
        <f t="shared" si="7"/>
        <v>428</v>
      </c>
      <c r="B432" s="19"/>
      <c r="C432" s="16"/>
      <c r="D432" s="16"/>
      <c r="E432" s="27" t="s">
        <v>2800</v>
      </c>
      <c r="F432" s="9"/>
      <c r="G432" s="9"/>
      <c r="H432" s="9"/>
      <c r="I432" s="9"/>
      <c r="J432" s="10"/>
      <c r="K432" s="8"/>
      <c r="L432" s="8"/>
      <c r="M432" s="8"/>
      <c r="N432" s="8"/>
    </row>
    <row r="433" spans="1:14" x14ac:dyDescent="0.4">
      <c r="A433" s="12">
        <f t="shared" si="7"/>
        <v>429</v>
      </c>
      <c r="B433" s="19"/>
      <c r="C433" s="16"/>
      <c r="D433" s="16"/>
      <c r="E433" s="29"/>
      <c r="F433" s="13" t="s">
        <v>2763</v>
      </c>
      <c r="G433" s="13"/>
      <c r="H433" s="13"/>
      <c r="I433" s="13"/>
      <c r="J433" s="14"/>
      <c r="K433" s="11" t="s">
        <v>1240</v>
      </c>
      <c r="L433" s="11"/>
      <c r="M433" s="11" t="s">
        <v>1240</v>
      </c>
      <c r="N433" s="3"/>
    </row>
    <row r="434" spans="1:14" x14ac:dyDescent="0.4">
      <c r="A434" s="12">
        <f t="shared" si="7"/>
        <v>430</v>
      </c>
      <c r="B434" s="19"/>
      <c r="C434" s="16"/>
      <c r="D434" s="16"/>
      <c r="E434" s="27" t="s">
        <v>2801</v>
      </c>
      <c r="F434" s="9"/>
      <c r="G434" s="9"/>
      <c r="H434" s="9"/>
      <c r="I434" s="9"/>
      <c r="J434" s="10"/>
      <c r="K434" s="8"/>
      <c r="L434" s="8"/>
      <c r="M434" s="8"/>
      <c r="N434" s="8"/>
    </row>
    <row r="435" spans="1:14" x14ac:dyDescent="0.4">
      <c r="A435" s="12">
        <f t="shared" si="7"/>
        <v>431</v>
      </c>
      <c r="B435" s="19"/>
      <c r="C435" s="16"/>
      <c r="D435" s="16"/>
      <c r="E435" s="16"/>
      <c r="F435" s="13" t="s">
        <v>2766</v>
      </c>
      <c r="G435" s="13"/>
      <c r="H435" s="13"/>
      <c r="I435" s="13"/>
      <c r="J435" s="14"/>
      <c r="K435" s="11" t="s">
        <v>9</v>
      </c>
      <c r="L435" s="11"/>
      <c r="M435" s="11" t="s">
        <v>9</v>
      </c>
      <c r="N435" s="3"/>
    </row>
    <row r="436" spans="1:14" x14ac:dyDescent="0.4">
      <c r="A436" s="12">
        <f t="shared" si="7"/>
        <v>432</v>
      </c>
      <c r="B436" s="19"/>
      <c r="C436" s="16"/>
      <c r="D436" s="16"/>
      <c r="E436" s="16"/>
      <c r="F436" s="26" t="s">
        <v>2767</v>
      </c>
      <c r="G436" s="13"/>
      <c r="H436" s="13"/>
      <c r="I436" s="13"/>
      <c r="J436" s="14"/>
      <c r="K436" s="11" t="s">
        <v>10</v>
      </c>
      <c r="L436" s="11"/>
      <c r="M436" s="11" t="s">
        <v>10</v>
      </c>
      <c r="N436" s="3"/>
    </row>
    <row r="437" spans="1:14" x14ac:dyDescent="0.4">
      <c r="A437" s="12">
        <f t="shared" si="7"/>
        <v>433</v>
      </c>
      <c r="B437" s="19"/>
      <c r="C437" s="16"/>
      <c r="D437" s="16"/>
      <c r="E437" s="16"/>
      <c r="F437" s="19"/>
      <c r="G437" s="13" t="s">
        <v>1611</v>
      </c>
      <c r="H437" s="13"/>
      <c r="I437" s="13"/>
      <c r="J437" s="14"/>
      <c r="K437" s="11" t="s">
        <v>1240</v>
      </c>
      <c r="L437" s="11"/>
      <c r="M437" s="11" t="s">
        <v>1240</v>
      </c>
      <c r="N437" s="3"/>
    </row>
    <row r="438" spans="1:14" x14ac:dyDescent="0.4">
      <c r="A438" s="12">
        <f t="shared" si="7"/>
        <v>434</v>
      </c>
      <c r="B438" s="19"/>
      <c r="C438" s="16"/>
      <c r="D438" s="16"/>
      <c r="E438" s="17"/>
      <c r="F438" s="20"/>
      <c r="G438" s="13" t="s">
        <v>815</v>
      </c>
      <c r="H438" s="13"/>
      <c r="I438" s="13"/>
      <c r="J438" s="14"/>
      <c r="K438" s="11" t="s">
        <v>1240</v>
      </c>
      <c r="L438" s="11"/>
      <c r="M438" s="11" t="s">
        <v>1240</v>
      </c>
      <c r="N438" s="3"/>
    </row>
    <row r="439" spans="1:14" x14ac:dyDescent="0.4">
      <c r="A439" s="12">
        <f t="shared" si="7"/>
        <v>435</v>
      </c>
      <c r="B439" s="19"/>
      <c r="C439" s="16"/>
      <c r="D439" s="17"/>
      <c r="E439" s="13" t="s">
        <v>2802</v>
      </c>
      <c r="F439" s="13"/>
      <c r="G439" s="13"/>
      <c r="H439" s="13"/>
      <c r="I439" s="13"/>
      <c r="J439" s="14"/>
      <c r="K439" s="11" t="s">
        <v>36</v>
      </c>
      <c r="L439" s="11"/>
      <c r="M439" s="11" t="s">
        <v>36</v>
      </c>
      <c r="N439" s="3"/>
    </row>
    <row r="440" spans="1:14" x14ac:dyDescent="0.4">
      <c r="A440" s="12">
        <f t="shared" si="7"/>
        <v>436</v>
      </c>
      <c r="B440" s="19"/>
      <c r="C440" s="16"/>
      <c r="D440" s="27" t="s">
        <v>2803</v>
      </c>
      <c r="E440" s="9"/>
      <c r="F440" s="9"/>
      <c r="G440" s="9"/>
      <c r="H440" s="9"/>
      <c r="I440" s="9"/>
      <c r="J440" s="10"/>
      <c r="K440" s="8"/>
      <c r="L440" s="8"/>
      <c r="M440" s="8"/>
      <c r="N440" s="8"/>
    </row>
    <row r="441" spans="1:14" x14ac:dyDescent="0.4">
      <c r="A441" s="12">
        <f t="shared" si="7"/>
        <v>437</v>
      </c>
      <c r="B441" s="19"/>
      <c r="C441" s="16"/>
      <c r="D441" s="16"/>
      <c r="E441" s="27" t="s">
        <v>2804</v>
      </c>
      <c r="F441" s="9"/>
      <c r="G441" s="9"/>
      <c r="H441" s="9"/>
      <c r="I441" s="9"/>
      <c r="J441" s="10"/>
      <c r="K441" s="8"/>
      <c r="L441" s="8"/>
      <c r="M441" s="8"/>
      <c r="N441" s="8"/>
    </row>
    <row r="442" spans="1:14" x14ac:dyDescent="0.4">
      <c r="A442" s="12">
        <f t="shared" si="7"/>
        <v>438</v>
      </c>
      <c r="B442" s="19"/>
      <c r="C442" s="16"/>
      <c r="D442" s="16"/>
      <c r="E442" s="16"/>
      <c r="F442" s="13" t="s">
        <v>2805</v>
      </c>
      <c r="G442" s="13"/>
      <c r="H442" s="13"/>
      <c r="I442" s="13"/>
      <c r="J442" s="14"/>
      <c r="K442" s="11" t="s">
        <v>10</v>
      </c>
      <c r="L442" s="11"/>
      <c r="M442" s="11" t="s">
        <v>10</v>
      </c>
      <c r="N442" s="3"/>
    </row>
    <row r="443" spans="1:14" x14ac:dyDescent="0.4">
      <c r="A443" s="12">
        <f t="shared" si="7"/>
        <v>439</v>
      </c>
      <c r="B443" s="19"/>
      <c r="C443" s="16"/>
      <c r="D443" s="16"/>
      <c r="E443" s="16"/>
      <c r="F443" s="13" t="s">
        <v>2806</v>
      </c>
      <c r="G443" s="13"/>
      <c r="H443" s="13"/>
      <c r="I443" s="13"/>
      <c r="J443" s="14"/>
      <c r="K443" s="11" t="s">
        <v>10</v>
      </c>
      <c r="L443" s="11"/>
      <c r="M443" s="11" t="s">
        <v>10</v>
      </c>
      <c r="N443" s="3"/>
    </row>
    <row r="444" spans="1:14" x14ac:dyDescent="0.4">
      <c r="A444" s="12">
        <f t="shared" ref="A444:A468" si="8">A443+1</f>
        <v>440</v>
      </c>
      <c r="B444" s="19"/>
      <c r="C444" s="16"/>
      <c r="D444" s="16"/>
      <c r="E444" s="17"/>
      <c r="F444" s="13" t="s">
        <v>2807</v>
      </c>
      <c r="G444" s="13"/>
      <c r="H444" s="13"/>
      <c r="I444" s="13"/>
      <c r="J444" s="14"/>
      <c r="K444" s="11" t="s">
        <v>9</v>
      </c>
      <c r="L444" s="11"/>
      <c r="M444" s="11" t="s">
        <v>9</v>
      </c>
      <c r="N444" s="3"/>
    </row>
    <row r="445" spans="1:14" x14ac:dyDescent="0.4">
      <c r="A445" s="12">
        <f t="shared" si="8"/>
        <v>441</v>
      </c>
      <c r="B445" s="19"/>
      <c r="C445" s="16"/>
      <c r="D445" s="16"/>
      <c r="E445" s="26" t="s">
        <v>2808</v>
      </c>
      <c r="F445" s="13"/>
      <c r="G445" s="13"/>
      <c r="H445" s="13"/>
      <c r="I445" s="13"/>
      <c r="J445" s="14"/>
      <c r="K445" s="11" t="s">
        <v>36</v>
      </c>
      <c r="L445" s="11"/>
      <c r="M445" s="11" t="s">
        <v>36</v>
      </c>
      <c r="N445" s="3"/>
    </row>
    <row r="446" spans="1:14" x14ac:dyDescent="0.4">
      <c r="A446" s="12">
        <f t="shared" si="8"/>
        <v>442</v>
      </c>
      <c r="B446" s="19"/>
      <c r="C446" s="16"/>
      <c r="D446" s="16"/>
      <c r="E446" s="20"/>
      <c r="F446" s="13" t="s">
        <v>2809</v>
      </c>
      <c r="G446" s="13"/>
      <c r="H446" s="13"/>
      <c r="I446" s="13"/>
      <c r="J446" s="14"/>
      <c r="K446" s="11" t="s">
        <v>1240</v>
      </c>
      <c r="L446" s="11"/>
      <c r="M446" s="11" t="s">
        <v>1240</v>
      </c>
      <c r="N446" s="3"/>
    </row>
    <row r="447" spans="1:14" x14ac:dyDescent="0.4">
      <c r="A447" s="12">
        <f t="shared" si="8"/>
        <v>443</v>
      </c>
      <c r="B447" s="19"/>
      <c r="C447" s="16"/>
      <c r="D447" s="16"/>
      <c r="E447" s="27" t="s">
        <v>2810</v>
      </c>
      <c r="F447" s="9"/>
      <c r="G447" s="9"/>
      <c r="H447" s="9"/>
      <c r="I447" s="9"/>
      <c r="J447" s="10"/>
      <c r="K447" s="8"/>
      <c r="L447" s="8"/>
      <c r="M447" s="8"/>
      <c r="N447" s="8"/>
    </row>
    <row r="448" spans="1:14" x14ac:dyDescent="0.4">
      <c r="A448" s="12">
        <f t="shared" si="8"/>
        <v>444</v>
      </c>
      <c r="B448" s="19"/>
      <c r="C448" s="16"/>
      <c r="D448" s="16"/>
      <c r="E448" s="16"/>
      <c r="F448" s="13" t="s">
        <v>1696</v>
      </c>
      <c r="G448" s="13"/>
      <c r="H448" s="13"/>
      <c r="I448" s="13"/>
      <c r="J448" s="14"/>
      <c r="K448" s="11" t="s">
        <v>9</v>
      </c>
      <c r="L448" s="11"/>
      <c r="M448" s="11" t="s">
        <v>9</v>
      </c>
      <c r="N448" s="3"/>
    </row>
    <row r="449" spans="1:14" x14ac:dyDescent="0.4">
      <c r="A449" s="12">
        <f t="shared" si="8"/>
        <v>445</v>
      </c>
      <c r="B449" s="19"/>
      <c r="C449" s="16"/>
      <c r="D449" s="16"/>
      <c r="E449" s="16"/>
      <c r="F449" s="13" t="s">
        <v>2811</v>
      </c>
      <c r="G449" s="13"/>
      <c r="H449" s="13"/>
      <c r="I449" s="13"/>
      <c r="J449" s="14"/>
      <c r="K449" s="11" t="s">
        <v>10</v>
      </c>
      <c r="L449" s="11"/>
      <c r="M449" s="11" t="s">
        <v>10</v>
      </c>
      <c r="N449" s="3"/>
    </row>
    <row r="450" spans="1:14" x14ac:dyDescent="0.4">
      <c r="A450" s="12">
        <f t="shared" si="8"/>
        <v>446</v>
      </c>
      <c r="B450" s="19"/>
      <c r="C450" s="16"/>
      <c r="D450" s="16"/>
      <c r="E450" s="16"/>
      <c r="F450" s="26" t="s">
        <v>2812</v>
      </c>
      <c r="G450" s="13"/>
      <c r="H450" s="13"/>
      <c r="I450" s="13"/>
      <c r="J450" s="14"/>
      <c r="K450" s="11" t="s">
        <v>10</v>
      </c>
      <c r="L450" s="11"/>
      <c r="M450" s="11" t="s">
        <v>10</v>
      </c>
      <c r="N450" s="3"/>
    </row>
    <row r="451" spans="1:14" x14ac:dyDescent="0.4">
      <c r="A451" s="12">
        <f t="shared" si="8"/>
        <v>447</v>
      </c>
      <c r="B451" s="19"/>
      <c r="C451" s="16"/>
      <c r="D451" s="16"/>
      <c r="E451" s="17"/>
      <c r="F451" s="20"/>
      <c r="G451" s="13" t="s">
        <v>2809</v>
      </c>
      <c r="H451" s="13"/>
      <c r="I451" s="13"/>
      <c r="J451" s="14"/>
      <c r="K451" s="58" t="s">
        <v>1239</v>
      </c>
      <c r="L451" s="59"/>
      <c r="M451" s="59" t="s">
        <v>1239</v>
      </c>
      <c r="N451" s="3"/>
    </row>
    <row r="452" spans="1:14" x14ac:dyDescent="0.4">
      <c r="A452" s="12">
        <f t="shared" si="8"/>
        <v>448</v>
      </c>
      <c r="B452" s="19"/>
      <c r="C452" s="16"/>
      <c r="D452" s="16"/>
      <c r="E452" s="26" t="s">
        <v>2813</v>
      </c>
      <c r="F452" s="13"/>
      <c r="G452" s="13"/>
      <c r="H452" s="13"/>
      <c r="I452" s="13"/>
      <c r="J452" s="14"/>
      <c r="K452" s="11" t="s">
        <v>36</v>
      </c>
      <c r="L452" s="11"/>
      <c r="M452" s="11" t="s">
        <v>36</v>
      </c>
      <c r="N452" s="3"/>
    </row>
    <row r="453" spans="1:14" x14ac:dyDescent="0.4">
      <c r="A453" s="12">
        <f t="shared" si="8"/>
        <v>449</v>
      </c>
      <c r="B453" s="19"/>
      <c r="C453" s="16"/>
      <c r="D453" s="16"/>
      <c r="E453" s="19"/>
      <c r="F453" s="27" t="s">
        <v>2814</v>
      </c>
      <c r="G453" s="9"/>
      <c r="H453" s="9"/>
      <c r="I453" s="9"/>
      <c r="J453" s="10"/>
      <c r="K453" s="8"/>
      <c r="L453" s="8"/>
      <c r="M453" s="8"/>
      <c r="N453" s="8"/>
    </row>
    <row r="454" spans="1:14" x14ac:dyDescent="0.4">
      <c r="A454" s="12">
        <f t="shared" si="8"/>
        <v>450</v>
      </c>
      <c r="B454" s="19"/>
      <c r="C454" s="16"/>
      <c r="D454" s="16"/>
      <c r="E454" s="19"/>
      <c r="F454" s="16"/>
      <c r="G454" s="26" t="s">
        <v>2815</v>
      </c>
      <c r="H454" s="13"/>
      <c r="I454" s="13"/>
      <c r="J454" s="14"/>
      <c r="K454" s="11" t="s">
        <v>36</v>
      </c>
      <c r="L454" s="11"/>
      <c r="M454" s="11" t="s">
        <v>36</v>
      </c>
      <c r="N454" s="3"/>
    </row>
    <row r="455" spans="1:14" x14ac:dyDescent="0.4">
      <c r="A455" s="12">
        <f t="shared" si="8"/>
        <v>451</v>
      </c>
      <c r="B455" s="19"/>
      <c r="C455" s="16"/>
      <c r="D455" s="16"/>
      <c r="E455" s="19"/>
      <c r="F455" s="16"/>
      <c r="G455" s="20"/>
      <c r="H455" s="13" t="s">
        <v>2817</v>
      </c>
      <c r="I455" s="13"/>
      <c r="J455" s="14"/>
      <c r="K455" s="58" t="s">
        <v>1239</v>
      </c>
      <c r="L455" s="59"/>
      <c r="M455" s="59" t="s">
        <v>1239</v>
      </c>
      <c r="N455" s="3"/>
    </row>
    <row r="456" spans="1:14" x14ac:dyDescent="0.4">
      <c r="A456" s="12">
        <f t="shared" si="8"/>
        <v>452</v>
      </c>
      <c r="B456" s="19"/>
      <c r="C456" s="16"/>
      <c r="D456" s="16"/>
      <c r="E456" s="19"/>
      <c r="F456" s="16"/>
      <c r="G456" s="26" t="s">
        <v>2816</v>
      </c>
      <c r="H456" s="13"/>
      <c r="I456" s="13"/>
      <c r="J456" s="14"/>
      <c r="K456" s="11" t="s">
        <v>36</v>
      </c>
      <c r="L456" s="11"/>
      <c r="M456" s="11" t="s">
        <v>36</v>
      </c>
      <c r="N456" s="3"/>
    </row>
    <row r="457" spans="1:14" x14ac:dyDescent="0.4">
      <c r="A457" s="12">
        <f t="shared" si="8"/>
        <v>453</v>
      </c>
      <c r="B457" s="19"/>
      <c r="C457" s="16"/>
      <c r="D457" s="16"/>
      <c r="E457" s="19"/>
      <c r="F457" s="16"/>
      <c r="G457" s="19"/>
      <c r="H457" s="13" t="s">
        <v>2818</v>
      </c>
      <c r="I457" s="13"/>
      <c r="J457" s="14"/>
      <c r="K457" s="58" t="s">
        <v>1239</v>
      </c>
      <c r="L457" s="59"/>
      <c r="M457" s="59" t="s">
        <v>1239</v>
      </c>
      <c r="N457" s="3"/>
    </row>
    <row r="458" spans="1:14" x14ac:dyDescent="0.4">
      <c r="A458" s="12">
        <f t="shared" si="8"/>
        <v>454</v>
      </c>
      <c r="B458" s="19"/>
      <c r="C458" s="16"/>
      <c r="D458" s="16"/>
      <c r="E458" s="20"/>
      <c r="F458" s="17"/>
      <c r="G458" s="20"/>
      <c r="H458" s="13" t="s">
        <v>2819</v>
      </c>
      <c r="I458" s="13"/>
      <c r="J458" s="14"/>
      <c r="K458" s="58" t="s">
        <v>1239</v>
      </c>
      <c r="L458" s="59"/>
      <c r="M458" s="59" t="s">
        <v>1239</v>
      </c>
      <c r="N458" s="3"/>
    </row>
    <row r="459" spans="1:14" x14ac:dyDescent="0.4">
      <c r="A459" s="12">
        <f t="shared" si="8"/>
        <v>455</v>
      </c>
      <c r="B459" s="19"/>
      <c r="C459" s="16"/>
      <c r="D459" s="16"/>
      <c r="E459" s="18" t="s">
        <v>2820</v>
      </c>
      <c r="F459" s="13"/>
      <c r="G459" s="13"/>
      <c r="H459" s="13"/>
      <c r="I459" s="13"/>
      <c r="J459" s="14"/>
      <c r="K459" s="11" t="s">
        <v>36</v>
      </c>
      <c r="L459" s="11"/>
      <c r="M459" s="11" t="s">
        <v>36</v>
      </c>
      <c r="N459" s="3"/>
    </row>
    <row r="460" spans="1:14" x14ac:dyDescent="0.4">
      <c r="A460" s="12">
        <f t="shared" si="8"/>
        <v>456</v>
      </c>
      <c r="B460" s="19"/>
      <c r="C460" s="16"/>
      <c r="D460" s="16"/>
      <c r="E460" s="19"/>
      <c r="F460" s="15" t="s">
        <v>2821</v>
      </c>
      <c r="G460" s="9"/>
      <c r="H460" s="9"/>
      <c r="I460" s="9"/>
      <c r="J460" s="10"/>
      <c r="K460" s="8"/>
      <c r="L460" s="8"/>
      <c r="M460" s="8"/>
      <c r="N460" s="8"/>
    </row>
    <row r="461" spans="1:14" x14ac:dyDescent="0.4">
      <c r="A461" s="12">
        <f t="shared" si="8"/>
        <v>457</v>
      </c>
      <c r="B461" s="19"/>
      <c r="C461" s="16"/>
      <c r="D461" s="16"/>
      <c r="E461" s="19"/>
      <c r="F461" s="16"/>
      <c r="G461" s="18" t="s">
        <v>2822</v>
      </c>
      <c r="H461" s="13"/>
      <c r="I461" s="13"/>
      <c r="J461" s="14"/>
      <c r="K461" s="3"/>
      <c r="L461" s="3"/>
      <c r="M461" s="3"/>
      <c r="N461" s="3"/>
    </row>
    <row r="462" spans="1:14" x14ac:dyDescent="0.4">
      <c r="A462" s="12">
        <f t="shared" si="8"/>
        <v>458</v>
      </c>
      <c r="B462" s="19"/>
      <c r="C462" s="16"/>
      <c r="D462" s="16"/>
      <c r="E462" s="19"/>
      <c r="F462" s="16"/>
      <c r="G462" s="19"/>
      <c r="H462" s="26" t="s">
        <v>2826</v>
      </c>
      <c r="I462" s="13"/>
      <c r="J462" s="14"/>
      <c r="K462" s="11" t="s">
        <v>9</v>
      </c>
      <c r="L462" s="11"/>
      <c r="M462" s="11" t="s">
        <v>9</v>
      </c>
      <c r="N462" s="3"/>
    </row>
    <row r="463" spans="1:14" x14ac:dyDescent="0.4">
      <c r="A463" s="12">
        <f t="shared" si="8"/>
        <v>459</v>
      </c>
      <c r="B463" s="19"/>
      <c r="C463" s="16"/>
      <c r="D463" s="16"/>
      <c r="E463" s="19"/>
      <c r="F463" s="16"/>
      <c r="G463" s="19"/>
      <c r="H463" s="19"/>
      <c r="I463" s="13" t="s">
        <v>2823</v>
      </c>
      <c r="J463" s="14"/>
      <c r="K463" s="58" t="s">
        <v>1239</v>
      </c>
      <c r="L463" s="59"/>
      <c r="M463" s="59" t="s">
        <v>1239</v>
      </c>
      <c r="N463" s="3"/>
    </row>
    <row r="464" spans="1:14" x14ac:dyDescent="0.4">
      <c r="A464" s="12">
        <f t="shared" si="8"/>
        <v>460</v>
      </c>
      <c r="B464" s="19"/>
      <c r="C464" s="16"/>
      <c r="D464" s="16"/>
      <c r="E464" s="19"/>
      <c r="F464" s="16"/>
      <c r="G464" s="19"/>
      <c r="H464" s="20"/>
      <c r="I464" s="13" t="s">
        <v>2824</v>
      </c>
      <c r="J464" s="14"/>
      <c r="K464" s="58" t="s">
        <v>1239</v>
      </c>
      <c r="L464" s="59"/>
      <c r="M464" s="59" t="s">
        <v>1239</v>
      </c>
      <c r="N464" s="3"/>
    </row>
    <row r="465" spans="1:14" x14ac:dyDescent="0.4">
      <c r="A465" s="12">
        <f t="shared" si="8"/>
        <v>461</v>
      </c>
      <c r="B465" s="19"/>
      <c r="C465" s="16"/>
      <c r="D465" s="16"/>
      <c r="E465" s="19"/>
      <c r="F465" s="16"/>
      <c r="G465" s="19"/>
      <c r="H465" s="26" t="s">
        <v>2825</v>
      </c>
      <c r="I465" s="13"/>
      <c r="J465" s="14"/>
      <c r="K465" s="11" t="s">
        <v>10</v>
      </c>
      <c r="L465" s="11"/>
      <c r="M465" s="11" t="s">
        <v>10</v>
      </c>
      <c r="N465" s="3"/>
    </row>
    <row r="466" spans="1:14" x14ac:dyDescent="0.4">
      <c r="A466" s="12">
        <f t="shared" si="8"/>
        <v>462</v>
      </c>
      <c r="B466" s="19"/>
      <c r="C466" s="16"/>
      <c r="D466" s="16"/>
      <c r="E466" s="19"/>
      <c r="F466" s="16"/>
      <c r="G466" s="19"/>
      <c r="H466" s="19"/>
      <c r="I466" s="13" t="s">
        <v>1726</v>
      </c>
      <c r="J466" s="14"/>
      <c r="K466" s="58" t="s">
        <v>1239</v>
      </c>
      <c r="L466" s="59"/>
      <c r="M466" s="59" t="s">
        <v>1239</v>
      </c>
      <c r="N466" s="3"/>
    </row>
    <row r="467" spans="1:14" x14ac:dyDescent="0.4">
      <c r="A467" s="12">
        <f t="shared" si="8"/>
        <v>463</v>
      </c>
      <c r="B467" s="19"/>
      <c r="C467" s="16"/>
      <c r="D467" s="16"/>
      <c r="E467" s="19"/>
      <c r="F467" s="16"/>
      <c r="G467" s="19"/>
      <c r="H467" s="19"/>
      <c r="I467" s="13" t="s">
        <v>2818</v>
      </c>
      <c r="J467" s="14"/>
      <c r="K467" s="58" t="s">
        <v>1239</v>
      </c>
      <c r="L467" s="59"/>
      <c r="M467" s="59" t="s">
        <v>1239</v>
      </c>
      <c r="N467" s="3"/>
    </row>
    <row r="468" spans="1:14" x14ac:dyDescent="0.4">
      <c r="A468" s="12">
        <f t="shared" si="8"/>
        <v>464</v>
      </c>
      <c r="B468" s="20"/>
      <c r="C468" s="17"/>
      <c r="D468" s="17"/>
      <c r="E468" s="20"/>
      <c r="F468" s="17"/>
      <c r="G468" s="20"/>
      <c r="H468" s="20"/>
      <c r="I468" s="13" t="s">
        <v>2827</v>
      </c>
      <c r="J468" s="14"/>
      <c r="K468" s="3">
        <v>1</v>
      </c>
      <c r="L468" s="3"/>
      <c r="M468" s="3">
        <v>1</v>
      </c>
      <c r="N468" s="3"/>
    </row>
  </sheetData>
  <phoneticPr fontId="1"/>
  <conditionalFormatting sqref="M5:M468">
    <cfRule type="expression" dxfId="2" priority="1">
      <formula>$K5&lt;&gt;$M5</formula>
    </cfRule>
  </conditionalFormatting>
  <dataValidations count="3">
    <dataValidation type="list" allowBlank="1" showInputMessage="1" showErrorMessage="1" sqref="M27 M31:M33 M78:M79 M91 M97 M104 M106 M108 M111 M125:M129 M143 M147:M149 M194:M195 M207 M213 M220 M222 M224 M227 M241:M245 M259 M263:M265 M310:M311 M323 M329 M336 M338 M340 M343 M459 M375 M379:M381 M426:M427 M439 M445 M452 M454 M456 M357:M361 K357:K361 K456 K454 K452 K445 K439 K426:K427 K379:K381 K375 K459 K343 K340 K338 K336 K329 K323 K310:K311 K263:K265 K259 K241:K245 K227 K224 K222 K220 K213 K207 K194:K195 K147:K149 K143 K125:K129 K111 K108 K106 K104 K97 K91 K78:K79 K31:K33 K27 K9:K13 M9:M13" xr:uid="{053EF9C3-1F7C-0544-A981-A2F69B0B3658}">
      <formula1>work_チェックボックス</formula1>
    </dataValidation>
    <dataValidation type="list" allowBlank="1" showInputMessage="1" showErrorMessage="1" sqref="M36:M46 M48:M58 M60:M70 M72:M73 M75:M76 M81:M82 M87:M88 M94:M96 M100:M102 M114 M117 M137:M138 M152:M162 M164:M174 M176:M186 M188:M189 M191:M192 M197:M198 M203:M204 M210:M212 M216:M218 M230 M233 M253:M254 M268:M278 M280:M290 M292:M302 M304:M305 M307:M308 M313:M314 M319:M320 M326:M328 M332:M334 M346 M349 M369:M370 M384:M394 M396:M406 M408:M418 M420:M421 M423:M424 M429:M430 M435:M436 M442:M444 M448:M450 M462 M465 K465 K462 K448:K450 K442:K444 K435:K436 K429:K430 K423:K424 K420:K421 K408:K418 K396:K406 K384:K394 K369:K370 K349 K346 K332:K334 K326:K328 K319:K320 K313:K314 K307:K308 K304:K305 K292:K302 K280:K290 K268:K278 K253:K254 K233 K230 K216:K218 K210:K212 K203:K204 K197:K198 K191:K192 K188:K189 K176:K186 K164:K174 K152:K162 K137:K138 K117 K114 K100:K102 K94:K96 K87:K88 K81:K82 K75:K76 K72:K73 K60:K70 K48:K58 K36:K46 K21:K22 M21:M22" xr:uid="{BA3AB61C-7004-1343-91D7-0D73BAE03855}">
      <formula1>work_ラジオボタン</formula1>
    </dataValidation>
    <dataValidation type="list" allowBlank="1" showInputMessage="1" showErrorMessage="1" sqref="L5:L468" xr:uid="{B0D8E38B-D6E1-45C1-AC61-F6788B73640B}">
      <formula1>"-,変更"</formula1>
    </dataValidation>
  </dataValidations>
  <pageMargins left="0.7" right="0.7" top="0.75" bottom="0.75" header="0.3" footer="0.3"/>
  <pageSetup paperSize="9" orientation="portrait" horizontalDpi="0" verticalDpi="0"/>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FBC97-6689-B649-BDA2-F5D11564465C}">
  <dimension ref="A1:G29"/>
  <sheetViews>
    <sheetView zoomScale="90" zoomScaleNormal="90" workbookViewId="0">
      <selection activeCell="E5" sqref="E5:E29"/>
    </sheetView>
  </sheetViews>
  <sheetFormatPr defaultColWidth="11.5546875" defaultRowHeight="19.5" x14ac:dyDescent="0.4"/>
  <cols>
    <col min="1" max="1" width="4.6640625" customWidth="1"/>
    <col min="2" max="2" width="24.33203125" bestFit="1" customWidth="1"/>
    <col min="3" max="3" width="100.6640625" customWidth="1"/>
    <col min="4" max="4" width="30.6640625" customWidth="1"/>
    <col min="5" max="5" width="8.6640625" bestFit="1" customWidth="1"/>
    <col min="6" max="6" width="30.6640625" customWidth="1"/>
    <col min="7" max="7" width="28.88671875" bestFit="1" customWidth="1"/>
  </cols>
  <sheetData>
    <row r="1" spans="1:7" x14ac:dyDescent="0.4">
      <c r="A1" s="1" t="str">
        <f ca="1">RIGHT(CELL("filename",A1),LEN(CELL("filename",A1))-FIND("]",CELL("filename",A1)))</f>
        <v>12.グループ</v>
      </c>
    </row>
    <row r="3" spans="1:7" x14ac:dyDescent="0.4">
      <c r="A3" s="61" t="s">
        <v>3</v>
      </c>
      <c r="B3" s="62" t="s">
        <v>2841</v>
      </c>
      <c r="C3" s="62" t="s">
        <v>811</v>
      </c>
      <c r="D3" s="62" t="s">
        <v>2842</v>
      </c>
      <c r="E3" s="207" t="s">
        <v>2915</v>
      </c>
      <c r="F3" s="207"/>
      <c r="G3" s="62" t="s">
        <v>5</v>
      </c>
    </row>
    <row r="4" spans="1:7" x14ac:dyDescent="0.4">
      <c r="A4" s="63"/>
      <c r="B4" s="64"/>
      <c r="C4" s="64"/>
      <c r="D4" s="64"/>
      <c r="E4" s="223" t="s">
        <v>2913</v>
      </c>
      <c r="F4" s="224" t="s">
        <v>3037</v>
      </c>
      <c r="G4" s="64"/>
    </row>
    <row r="5" spans="1:7" x14ac:dyDescent="0.4">
      <c r="A5" s="12">
        <v>1</v>
      </c>
      <c r="B5" s="3" t="s">
        <v>2843</v>
      </c>
      <c r="C5" s="3" t="s">
        <v>2844</v>
      </c>
      <c r="D5" s="46" t="s">
        <v>1240</v>
      </c>
      <c r="E5" s="46"/>
      <c r="F5" s="46" t="s">
        <v>1240</v>
      </c>
      <c r="G5" s="23"/>
    </row>
    <row r="6" spans="1:7" x14ac:dyDescent="0.4">
      <c r="A6" s="12">
        <f>A5+1</f>
        <v>2</v>
      </c>
      <c r="B6" s="3" t="s">
        <v>304</v>
      </c>
      <c r="C6" s="3" t="s">
        <v>2845</v>
      </c>
      <c r="D6" s="23" t="s">
        <v>2749</v>
      </c>
      <c r="E6" s="23"/>
      <c r="F6" s="23" t="s">
        <v>2749</v>
      </c>
      <c r="G6" s="23"/>
    </row>
    <row r="7" spans="1:7" x14ac:dyDescent="0.4">
      <c r="A7" s="12">
        <f t="shared" ref="A7:A29" si="0">A6+1</f>
        <v>3</v>
      </c>
      <c r="B7" s="3" t="s">
        <v>2846</v>
      </c>
      <c r="C7" s="3" t="s">
        <v>2847</v>
      </c>
      <c r="D7" s="46" t="s">
        <v>1240</v>
      </c>
      <c r="E7" s="46"/>
      <c r="F7" s="46" t="s">
        <v>1240</v>
      </c>
      <c r="G7" s="23"/>
    </row>
    <row r="8" spans="1:7" x14ac:dyDescent="0.4">
      <c r="A8" s="12">
        <f t="shared" si="0"/>
        <v>4</v>
      </c>
      <c r="B8" s="3" t="s">
        <v>2848</v>
      </c>
      <c r="C8" s="3" t="s">
        <v>2849</v>
      </c>
      <c r="D8" s="46" t="s">
        <v>1240</v>
      </c>
      <c r="E8" s="46"/>
      <c r="F8" s="46" t="s">
        <v>1240</v>
      </c>
      <c r="G8" s="23"/>
    </row>
    <row r="9" spans="1:7" x14ac:dyDescent="0.4">
      <c r="A9" s="12">
        <f t="shared" si="0"/>
        <v>5</v>
      </c>
      <c r="B9" s="3" t="s">
        <v>2850</v>
      </c>
      <c r="C9" s="3" t="s">
        <v>2851</v>
      </c>
      <c r="D9" s="46" t="s">
        <v>1240</v>
      </c>
      <c r="E9" s="46"/>
      <c r="F9" s="46" t="s">
        <v>1240</v>
      </c>
      <c r="G9" s="23"/>
    </row>
    <row r="10" spans="1:7" x14ac:dyDescent="0.4">
      <c r="A10" s="12">
        <f t="shared" si="0"/>
        <v>6</v>
      </c>
      <c r="B10" s="3" t="s">
        <v>2852</v>
      </c>
      <c r="C10" s="3" t="s">
        <v>2853</v>
      </c>
      <c r="D10" s="46" t="s">
        <v>1240</v>
      </c>
      <c r="E10" s="46"/>
      <c r="F10" s="46" t="s">
        <v>1240</v>
      </c>
      <c r="G10" s="23"/>
    </row>
    <row r="11" spans="1:7" x14ac:dyDescent="0.4">
      <c r="A11" s="12">
        <f t="shared" si="0"/>
        <v>7</v>
      </c>
      <c r="B11" s="3" t="s">
        <v>2854</v>
      </c>
      <c r="C11" s="3" t="s">
        <v>2855</v>
      </c>
      <c r="D11" s="46" t="s">
        <v>1240</v>
      </c>
      <c r="E11" s="46"/>
      <c r="F11" s="46" t="s">
        <v>1240</v>
      </c>
      <c r="G11" s="23"/>
    </row>
    <row r="12" spans="1:7" x14ac:dyDescent="0.4">
      <c r="A12" s="12">
        <f t="shared" si="0"/>
        <v>8</v>
      </c>
      <c r="B12" s="3" t="s">
        <v>2856</v>
      </c>
      <c r="C12" s="3" t="s">
        <v>2857</v>
      </c>
      <c r="D12" s="46" t="s">
        <v>1240</v>
      </c>
      <c r="E12" s="46"/>
      <c r="F12" s="46" t="s">
        <v>1240</v>
      </c>
      <c r="G12" s="23"/>
    </row>
    <row r="13" spans="1:7" x14ac:dyDescent="0.4">
      <c r="A13" s="12">
        <f t="shared" si="0"/>
        <v>9</v>
      </c>
      <c r="B13" s="3" t="s">
        <v>2836</v>
      </c>
      <c r="C13" s="3" t="s">
        <v>2858</v>
      </c>
      <c r="D13" s="23" t="s">
        <v>2833</v>
      </c>
      <c r="E13" s="23"/>
      <c r="F13" s="23" t="s">
        <v>2833</v>
      </c>
      <c r="G13" s="23"/>
    </row>
    <row r="14" spans="1:7" x14ac:dyDescent="0.4">
      <c r="A14" s="12">
        <f t="shared" si="0"/>
        <v>10</v>
      </c>
      <c r="B14" s="3" t="s">
        <v>2859</v>
      </c>
      <c r="C14" s="3" t="s">
        <v>2860</v>
      </c>
      <c r="D14" s="46" t="s">
        <v>1240</v>
      </c>
      <c r="E14" s="46"/>
      <c r="F14" s="46" t="s">
        <v>1240</v>
      </c>
      <c r="G14" s="23"/>
    </row>
    <row r="15" spans="1:7" x14ac:dyDescent="0.4">
      <c r="A15" s="12">
        <f t="shared" si="0"/>
        <v>11</v>
      </c>
      <c r="B15" s="3" t="s">
        <v>2861</v>
      </c>
      <c r="C15" s="3" t="s">
        <v>2862</v>
      </c>
      <c r="D15" s="23" t="s">
        <v>2889</v>
      </c>
      <c r="E15" s="23"/>
      <c r="F15" s="23" t="s">
        <v>2889</v>
      </c>
      <c r="G15" s="23"/>
    </row>
    <row r="16" spans="1:7" x14ac:dyDescent="0.4">
      <c r="A16" s="12">
        <f t="shared" si="0"/>
        <v>12</v>
      </c>
      <c r="B16" s="3" t="s">
        <v>2863</v>
      </c>
      <c r="C16" s="3" t="s">
        <v>2864</v>
      </c>
      <c r="D16" s="46" t="s">
        <v>1240</v>
      </c>
      <c r="E16" s="46"/>
      <c r="F16" s="46" t="s">
        <v>1240</v>
      </c>
      <c r="G16" s="23"/>
    </row>
    <row r="17" spans="1:7" x14ac:dyDescent="0.4">
      <c r="A17" s="12">
        <f t="shared" si="0"/>
        <v>13</v>
      </c>
      <c r="B17" s="3" t="s">
        <v>2865</v>
      </c>
      <c r="C17" s="3" t="s">
        <v>2866</v>
      </c>
      <c r="D17" s="46" t="s">
        <v>1240</v>
      </c>
      <c r="E17" s="46"/>
      <c r="F17" s="46" t="s">
        <v>1240</v>
      </c>
      <c r="G17" s="23"/>
    </row>
    <row r="18" spans="1:7" x14ac:dyDescent="0.4">
      <c r="A18" s="12">
        <f t="shared" si="0"/>
        <v>14</v>
      </c>
      <c r="B18" s="3" t="s">
        <v>2867</v>
      </c>
      <c r="C18" s="3" t="s">
        <v>2868</v>
      </c>
      <c r="D18" s="46" t="s">
        <v>1240</v>
      </c>
      <c r="E18" s="46"/>
      <c r="F18" s="46" t="s">
        <v>1240</v>
      </c>
      <c r="G18" s="23"/>
    </row>
    <row r="19" spans="1:7" x14ac:dyDescent="0.4">
      <c r="A19" s="12">
        <f t="shared" si="0"/>
        <v>15</v>
      </c>
      <c r="B19" s="3" t="s">
        <v>2869</v>
      </c>
      <c r="C19" s="3" t="s">
        <v>2870</v>
      </c>
      <c r="D19" s="46" t="s">
        <v>1240</v>
      </c>
      <c r="E19" s="46"/>
      <c r="F19" s="46" t="s">
        <v>1240</v>
      </c>
      <c r="G19" s="23"/>
    </row>
    <row r="20" spans="1:7" x14ac:dyDescent="0.4">
      <c r="A20" s="12">
        <f t="shared" si="0"/>
        <v>16</v>
      </c>
      <c r="B20" s="3" t="s">
        <v>2871</v>
      </c>
      <c r="C20" s="3" t="s">
        <v>2872</v>
      </c>
      <c r="D20" s="46" t="s">
        <v>1240</v>
      </c>
      <c r="E20" s="46"/>
      <c r="F20" s="46" t="s">
        <v>1240</v>
      </c>
      <c r="G20" s="23"/>
    </row>
    <row r="21" spans="1:7" x14ac:dyDescent="0.4">
      <c r="A21" s="12">
        <f t="shared" si="0"/>
        <v>17</v>
      </c>
      <c r="B21" s="3" t="s">
        <v>2873</v>
      </c>
      <c r="C21" s="3" t="s">
        <v>2874</v>
      </c>
      <c r="D21" s="46" t="s">
        <v>1240</v>
      </c>
      <c r="E21" s="46"/>
      <c r="F21" s="46" t="s">
        <v>1240</v>
      </c>
      <c r="G21" s="23"/>
    </row>
    <row r="22" spans="1:7" x14ac:dyDescent="0.4">
      <c r="A22" s="12">
        <f t="shared" si="0"/>
        <v>18</v>
      </c>
      <c r="B22" s="3" t="s">
        <v>2875</v>
      </c>
      <c r="C22" s="3" t="s">
        <v>2876</v>
      </c>
      <c r="D22" s="46" t="s">
        <v>1240</v>
      </c>
      <c r="E22" s="46"/>
      <c r="F22" s="46" t="s">
        <v>1240</v>
      </c>
      <c r="G22" s="23"/>
    </row>
    <row r="23" spans="1:7" x14ac:dyDescent="0.4">
      <c r="A23" s="12">
        <f t="shared" si="0"/>
        <v>19</v>
      </c>
      <c r="B23" s="3" t="s">
        <v>2877</v>
      </c>
      <c r="C23" s="3" t="s">
        <v>2878</v>
      </c>
      <c r="D23" s="46" t="s">
        <v>1240</v>
      </c>
      <c r="E23" s="46"/>
      <c r="F23" s="46" t="s">
        <v>1240</v>
      </c>
      <c r="G23" s="23"/>
    </row>
    <row r="24" spans="1:7" x14ac:dyDescent="0.4">
      <c r="A24" s="12">
        <f t="shared" si="0"/>
        <v>20</v>
      </c>
      <c r="B24" s="3" t="s">
        <v>2879</v>
      </c>
      <c r="C24" s="3" t="s">
        <v>2880</v>
      </c>
      <c r="D24" s="46" t="s">
        <v>1240</v>
      </c>
      <c r="E24" s="46"/>
      <c r="F24" s="46" t="s">
        <v>1240</v>
      </c>
      <c r="G24" s="23"/>
    </row>
    <row r="25" spans="1:7" x14ac:dyDescent="0.4">
      <c r="A25" s="12">
        <f t="shared" si="0"/>
        <v>21</v>
      </c>
      <c r="B25" s="3" t="s">
        <v>2881</v>
      </c>
      <c r="C25" s="3" t="s">
        <v>2882</v>
      </c>
      <c r="D25" s="46" t="s">
        <v>1240</v>
      </c>
      <c r="E25" s="46"/>
      <c r="F25" s="46" t="s">
        <v>1240</v>
      </c>
      <c r="G25" s="23"/>
    </row>
    <row r="26" spans="1:7" x14ac:dyDescent="0.4">
      <c r="A26" s="12">
        <f t="shared" si="0"/>
        <v>22</v>
      </c>
      <c r="B26" s="3" t="s">
        <v>2883</v>
      </c>
      <c r="C26" s="3" t="s">
        <v>2884</v>
      </c>
      <c r="D26" s="46" t="s">
        <v>1240</v>
      </c>
      <c r="E26" s="46"/>
      <c r="F26" s="46" t="s">
        <v>1240</v>
      </c>
      <c r="G26" s="23"/>
    </row>
    <row r="27" spans="1:7" x14ac:dyDescent="0.4">
      <c r="A27" s="12">
        <f t="shared" si="0"/>
        <v>23</v>
      </c>
      <c r="B27" s="3" t="s">
        <v>2885</v>
      </c>
      <c r="C27" s="3" t="s">
        <v>2886</v>
      </c>
      <c r="D27" s="46" t="s">
        <v>1240</v>
      </c>
      <c r="E27" s="46"/>
      <c r="F27" s="46" t="s">
        <v>1240</v>
      </c>
      <c r="G27" s="23"/>
    </row>
    <row r="28" spans="1:7" x14ac:dyDescent="0.4">
      <c r="A28" s="12">
        <f t="shared" si="0"/>
        <v>24</v>
      </c>
      <c r="B28" s="3" t="s">
        <v>2831</v>
      </c>
      <c r="C28" s="3" t="s">
        <v>2887</v>
      </c>
      <c r="D28" s="23" t="s">
        <v>2828</v>
      </c>
      <c r="E28" s="23"/>
      <c r="F28" s="23" t="s">
        <v>2828</v>
      </c>
      <c r="G28" s="23"/>
    </row>
    <row r="29" spans="1:7" ht="58.5" x14ac:dyDescent="0.4">
      <c r="A29" s="12">
        <f t="shared" si="0"/>
        <v>25</v>
      </c>
      <c r="B29" s="3" t="s">
        <v>268</v>
      </c>
      <c r="C29" s="3" t="s">
        <v>2888</v>
      </c>
      <c r="D29" s="60" t="s">
        <v>2890</v>
      </c>
      <c r="E29" s="60"/>
      <c r="F29" s="60" t="s">
        <v>2890</v>
      </c>
      <c r="G29" s="23"/>
    </row>
  </sheetData>
  <phoneticPr fontId="1"/>
  <conditionalFormatting sqref="F5:F29">
    <cfRule type="expression" dxfId="1" priority="1">
      <formula>$D5&lt;&gt;$F5</formula>
    </cfRule>
  </conditionalFormatting>
  <dataValidations count="1">
    <dataValidation type="list" allowBlank="1" showInputMessage="1" showErrorMessage="1" sqref="E5:E29" xr:uid="{2828A1B2-144D-467B-A0D8-825167BD2468}">
      <formula1>"-,変更"</formula1>
    </dataValidation>
  </dataValidations>
  <pageMargins left="0.7" right="0.7" top="0.75" bottom="0.75" header="0.3" footer="0.3"/>
  <pageSetup paperSize="9" orientation="portrait" horizontalDpi="0" verticalDpi="0"/>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AAC8C1-0D66-B742-98C6-09D39A4695AF}">
  <dimension ref="A1:L11"/>
  <sheetViews>
    <sheetView zoomScale="90" zoomScaleNormal="90" workbookViewId="0">
      <selection activeCell="D17" sqref="D17"/>
    </sheetView>
  </sheetViews>
  <sheetFormatPr defaultColWidth="11.5546875" defaultRowHeight="19.5" x14ac:dyDescent="0.4"/>
  <cols>
    <col min="1" max="1" width="3.88671875" customWidth="1"/>
    <col min="2" max="2" width="6.88671875" bestFit="1" customWidth="1"/>
    <col min="3" max="3" width="24.33203125" bestFit="1" customWidth="1"/>
    <col min="4" max="5" width="50.6640625" customWidth="1"/>
    <col min="6" max="6" width="20.6640625" customWidth="1"/>
    <col min="7" max="8" width="4.6640625" customWidth="1"/>
    <col min="9" max="9" width="100.6640625" customWidth="1"/>
    <col min="10" max="11" width="30.6640625" customWidth="1"/>
    <col min="12" max="12" width="28.88671875" bestFit="1" customWidth="1"/>
  </cols>
  <sheetData>
    <row r="1" spans="1:12" x14ac:dyDescent="0.4">
      <c r="A1" s="1" t="str">
        <f ca="1">RIGHT(CELL("filename",A1),LEN(CELL("filename",A1))-FIND("]",CELL("filename",A1)))</f>
        <v>16.共有</v>
      </c>
    </row>
    <row r="2" spans="1:12" x14ac:dyDescent="0.4">
      <c r="B2" s="1"/>
    </row>
    <row r="3" spans="1:12" x14ac:dyDescent="0.4">
      <c r="C3" t="s">
        <v>2906</v>
      </c>
    </row>
    <row r="4" spans="1:12" x14ac:dyDescent="0.4">
      <c r="A4" s="222" t="s">
        <v>3</v>
      </c>
      <c r="B4" s="222"/>
      <c r="C4" s="62" t="s">
        <v>2891</v>
      </c>
      <c r="D4" s="62" t="s">
        <v>2892</v>
      </c>
      <c r="E4" s="62" t="s">
        <v>811</v>
      </c>
      <c r="F4" s="62" t="s">
        <v>2905</v>
      </c>
      <c r="G4" s="66" t="s">
        <v>2893</v>
      </c>
      <c r="H4" s="67"/>
      <c r="I4" s="67"/>
      <c r="J4" s="67"/>
      <c r="K4" s="68"/>
      <c r="L4" s="62" t="s">
        <v>5</v>
      </c>
    </row>
    <row r="5" spans="1:12" x14ac:dyDescent="0.4">
      <c r="A5" s="225"/>
      <c r="B5" s="224" t="s">
        <v>3035</v>
      </c>
      <c r="C5" s="64"/>
      <c r="D5" s="64"/>
      <c r="E5" s="64"/>
      <c r="F5" s="64"/>
      <c r="G5" s="65" t="s">
        <v>4</v>
      </c>
      <c r="H5" s="6"/>
      <c r="I5" s="7"/>
      <c r="J5" s="7" t="s">
        <v>2901</v>
      </c>
      <c r="K5" s="4" t="s">
        <v>1228</v>
      </c>
      <c r="L5" s="64"/>
    </row>
    <row r="6" spans="1:12" x14ac:dyDescent="0.4">
      <c r="A6" s="226">
        <v>1</v>
      </c>
      <c r="B6" s="12">
        <v>1</v>
      </c>
      <c r="C6" s="35" t="s">
        <v>2894</v>
      </c>
      <c r="D6" s="35" t="s">
        <v>2895</v>
      </c>
      <c r="E6" s="35" t="s">
        <v>2896</v>
      </c>
      <c r="F6" s="35" t="s">
        <v>2897</v>
      </c>
      <c r="G6" s="30" t="s">
        <v>2899</v>
      </c>
      <c r="H6" s="8"/>
      <c r="I6" s="8"/>
      <c r="J6" s="8"/>
      <c r="K6" s="8"/>
      <c r="L6" s="47"/>
    </row>
    <row r="7" spans="1:12" x14ac:dyDescent="0.4">
      <c r="A7" s="226"/>
      <c r="B7" s="12">
        <f>B6+1</f>
        <v>2</v>
      </c>
      <c r="C7" s="19"/>
      <c r="D7" s="19"/>
      <c r="E7" s="19"/>
      <c r="F7" s="19"/>
      <c r="G7" s="16"/>
      <c r="H7" s="35" t="s">
        <v>2898</v>
      </c>
      <c r="I7" s="3"/>
      <c r="J7" s="11" t="s">
        <v>9</v>
      </c>
      <c r="K7" s="11" t="s">
        <v>9</v>
      </c>
      <c r="L7" s="23"/>
    </row>
    <row r="8" spans="1:12" x14ac:dyDescent="0.4">
      <c r="A8" s="226"/>
      <c r="B8" s="12">
        <f t="shared" ref="B8:B11" si="0">B7+1</f>
        <v>3</v>
      </c>
      <c r="C8" s="19"/>
      <c r="D8" s="19"/>
      <c r="E8" s="19"/>
      <c r="F8" s="19"/>
      <c r="G8" s="16"/>
      <c r="H8" s="20"/>
      <c r="I8" s="3" t="s">
        <v>2900</v>
      </c>
      <c r="J8" s="11" t="s">
        <v>36</v>
      </c>
      <c r="K8" s="11" t="s">
        <v>36</v>
      </c>
      <c r="L8" s="23"/>
    </row>
    <row r="9" spans="1:12" x14ac:dyDescent="0.4">
      <c r="A9" s="226"/>
      <c r="B9" s="12">
        <f t="shared" si="0"/>
        <v>4</v>
      </c>
      <c r="C9" s="19"/>
      <c r="D9" s="19"/>
      <c r="E9" s="19"/>
      <c r="F9" s="19"/>
      <c r="G9" s="16"/>
      <c r="H9" s="3" t="s">
        <v>2902</v>
      </c>
      <c r="I9" s="3"/>
      <c r="J9" s="11" t="s">
        <v>10</v>
      </c>
      <c r="K9" s="11" t="s">
        <v>10</v>
      </c>
      <c r="L9" s="23"/>
    </row>
    <row r="10" spans="1:12" x14ac:dyDescent="0.4">
      <c r="A10" s="226"/>
      <c r="B10" s="12">
        <f t="shared" si="0"/>
        <v>5</v>
      </c>
      <c r="C10" s="19"/>
      <c r="D10" s="19"/>
      <c r="E10" s="19"/>
      <c r="F10" s="19"/>
      <c r="G10" s="16"/>
      <c r="H10" s="35" t="s">
        <v>2903</v>
      </c>
      <c r="I10" s="3"/>
      <c r="J10" s="11" t="s">
        <v>10</v>
      </c>
      <c r="K10" s="11" t="s">
        <v>10</v>
      </c>
      <c r="L10" s="23"/>
    </row>
    <row r="11" spans="1:12" x14ac:dyDescent="0.4">
      <c r="A11" s="20"/>
      <c r="B11" s="12">
        <f t="shared" si="0"/>
        <v>6</v>
      </c>
      <c r="C11" s="20"/>
      <c r="D11" s="20"/>
      <c r="E11" s="20"/>
      <c r="F11" s="20"/>
      <c r="G11" s="17"/>
      <c r="H11" s="20"/>
      <c r="I11" s="3" t="s">
        <v>2904</v>
      </c>
      <c r="J11" s="11" t="s">
        <v>36</v>
      </c>
      <c r="K11" s="11" t="s">
        <v>36</v>
      </c>
      <c r="L11" s="23"/>
    </row>
  </sheetData>
  <phoneticPr fontId="1"/>
  <conditionalFormatting sqref="K6:K11">
    <cfRule type="expression" dxfId="0" priority="25">
      <formula>$J6&lt;&gt;$K6</formula>
    </cfRule>
  </conditionalFormatting>
  <dataValidations count="2">
    <dataValidation type="list" allowBlank="1" showInputMessage="1" showErrorMessage="1" sqref="J7:K7 J9:K10" xr:uid="{18511FE5-4E57-4542-8DD3-57415AAEB3B0}">
      <formula1>work_ラジオボタン</formula1>
    </dataValidation>
    <dataValidation type="list" allowBlank="1" showInputMessage="1" showErrorMessage="1" sqref="J8:K8 J11:K11" xr:uid="{D23B00A3-7D72-7847-8D9A-0171938D8405}">
      <formula1>work_チェックボックス</formula1>
    </dataValidation>
  </dataValidations>
  <pageMargins left="0.7" right="0.7" top="0.75" bottom="0.75" header="0.3" footer="0.3"/>
  <pageSetup paperSize="9" orientation="portrait" horizontalDpi="0" verticalDpi="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AD906B-E07E-3B42-9483-162BB23402C8}">
  <dimension ref="A1:D3"/>
  <sheetViews>
    <sheetView workbookViewId="0"/>
  </sheetViews>
  <sheetFormatPr defaultColWidth="11.5546875" defaultRowHeight="19.5" x14ac:dyDescent="0.4"/>
  <cols>
    <col min="1" max="1" width="12" bestFit="1" customWidth="1"/>
    <col min="2" max="2" width="15.6640625" bestFit="1" customWidth="1"/>
    <col min="3" max="3" width="16.6640625" bestFit="1" customWidth="1"/>
  </cols>
  <sheetData>
    <row r="1" spans="1:4" x14ac:dyDescent="0.4">
      <c r="A1" s="8" t="s">
        <v>1655</v>
      </c>
      <c r="B1" s="8" t="s">
        <v>19</v>
      </c>
      <c r="C1" s="8" t="s">
        <v>16</v>
      </c>
      <c r="D1" s="8" t="s">
        <v>1238</v>
      </c>
    </row>
    <row r="2" spans="1:4" x14ac:dyDescent="0.4">
      <c r="A2" s="3" t="s">
        <v>10</v>
      </c>
      <c r="B2" s="3" t="s">
        <v>8</v>
      </c>
      <c r="C2" s="3" t="s">
        <v>18</v>
      </c>
      <c r="D2" s="3" t="s">
        <v>1229</v>
      </c>
    </row>
    <row r="3" spans="1:4" x14ac:dyDescent="0.4">
      <c r="A3" s="3" t="s">
        <v>9</v>
      </c>
      <c r="B3" s="3" t="s">
        <v>7</v>
      </c>
      <c r="C3" s="3" t="s">
        <v>17</v>
      </c>
      <c r="D3" s="3" t="s">
        <v>99</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DocSecurity>0</DocSecurity>
  <ScaleCrop>false</ScaleCrop>
  <HeadingPairs>
    <vt:vector size="4" baseType="variant">
      <vt:variant>
        <vt:lpstr>ワークシート</vt:lpstr>
      </vt:variant>
      <vt:variant>
        <vt:i4>30</vt:i4>
      </vt:variant>
      <vt:variant>
        <vt:lpstr>名前付き一覧</vt:lpstr>
      </vt:variant>
      <vt:variant>
        <vt:i4>4</vt:i4>
      </vt:variant>
    </vt:vector>
  </HeadingPairs>
  <TitlesOfParts>
    <vt:vector size="34" baseType="lpstr">
      <vt:lpstr>表紙</vt:lpstr>
      <vt:lpstr>改訂履歴</vt:lpstr>
      <vt:lpstr>目次</vt:lpstr>
      <vt:lpstr>説明</vt:lpstr>
      <vt:lpstr>1.仮想マシン環境</vt:lpstr>
      <vt:lpstr>2.インストール設定</vt:lpstr>
      <vt:lpstr>3.Windows基本設定</vt:lpstr>
      <vt:lpstr>3.1.ネットワーク</vt:lpstr>
      <vt:lpstr>3.1.2.ルーティング</vt:lpstr>
      <vt:lpstr>3.2.Windows Defenderファイアウォール</vt:lpstr>
      <vt:lpstr>3.2.1.ファイアウォール規則(受信)</vt:lpstr>
      <vt:lpstr>3.2.2.ファイアウォール規則(送信)</vt:lpstr>
      <vt:lpstr>3.3.コントロールパネル(共通)</vt:lpstr>
      <vt:lpstr>4.ディスク</vt:lpstr>
      <vt:lpstr>4.2.ボリューム</vt:lpstr>
      <vt:lpstr>4.3.ドライブのデフラグと最適化</vt:lpstr>
      <vt:lpstr>4.4.シャドウコピー</vt:lpstr>
      <vt:lpstr>4.5.クォータ</vt:lpstr>
      <vt:lpstr>5.役割と機能</vt:lpstr>
      <vt:lpstr>6.プログラム</vt:lpstr>
      <vt:lpstr>6.1.更新プログラム</vt:lpstr>
      <vt:lpstr>7.サービス</vt:lpstr>
      <vt:lpstr>8.イベントビューアー</vt:lpstr>
      <vt:lpstr>9.タスクスケジューラー</vt:lpstr>
      <vt:lpstr>10.ローカルセキュリティポリシー</vt:lpstr>
      <vt:lpstr>10.1.ローカルセキュリティポリシー2</vt:lpstr>
      <vt:lpstr>11.ユーザー</vt:lpstr>
      <vt:lpstr>12.グループ</vt:lpstr>
      <vt:lpstr>16.共有</vt:lpstr>
      <vt:lpstr>work</vt:lpstr>
      <vt:lpstr>work_アクセス許可</vt:lpstr>
      <vt:lpstr>work_オンオフ</vt:lpstr>
      <vt:lpstr>work_チェックボックス</vt:lpstr>
      <vt:lpstr>work_ラジオボタン</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dcterms:created xsi:type="dcterms:W3CDTF">2020-04-30T07:06:02Z</dcterms:created>
  <dcterms:modified xsi:type="dcterms:W3CDTF">2025-03-11T03:03:30Z</dcterms:modified>
  <cp:category/>
</cp:coreProperties>
</file>